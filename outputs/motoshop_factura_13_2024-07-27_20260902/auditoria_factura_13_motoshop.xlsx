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cf1082b2e142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e754a22485464b3c"/>
    <x:sheet xmlns:r="http://schemas.openxmlformats.org/officeDocument/2006/relationships" name="Detalle SKU" sheetId="2" r:id="R287ffffebcf741b7"/>
    <x:sheet xmlns:r="http://schemas.openxmlformats.org/officeDocument/2006/relationships" name="Riesgos" sheetId="3" r:id="Rc9a482c9d6ba4547"/>
    <x:sheet xmlns:r="http://schemas.openxmlformats.org/officeDocument/2006/relationships" name="Top ventas" sheetId="4" r:id="R0b7cd99c07e14bdb"/>
    <x:sheet xmlns:r="http://schemas.openxmlformats.org/officeDocument/2006/relationships" name="Tendencia mensual" sheetId="5" r:id="R2cda7b0aef1f40e7"/>
    <x:sheet xmlns:r="http://schemas.openxmlformats.org/officeDocument/2006/relationships" name="Controles" sheetId="6" r:id="Re91b2d99f73947e7"/>
    <x:sheet xmlns:r="http://schemas.openxmlformats.org/officeDocument/2006/relationships" name="Fuentes" sheetId="7" r:id="R14621e3f402447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#,##0"/>
    <x:numFmt numFmtId="201" formatCode="#,##0;[Red](#,##0)"/>
    <x:numFmt numFmtId="202" formatCode="$#,##0;[Red]($#,##0)"/>
    <x:numFmt numFmtId="203" formatCode="0.0%"/>
    <x:numFmt numFmtId="204" formatCode="yyyy-mm-dd"/>
    <x:numFmt numFmtId="205" formatCode="yyyy-mm-dd hh:mm"/>
    <x:numFmt numFmtId="206" formatCode="$#,##0"/>
    <x:numFmt numFmtId="207" formatCode="mmm yyyy"/>
  </x:numFmts>
  <x:fonts count="11">
    <x:font>
      <x:sz val="11"/>
      <x:name val="Carlito"/>
    </x:font>
    <x:font>
      <x:b/>
      <x:sz val="18"/>
      <x:color rgb="FFFFFFFF"/>
      <x:name val="Carlito"/>
    </x:font>
    <x:font>
      <x:sz val="10"/>
      <x:color rgb="FF0B1F33"/>
      <x:name val="Carlito"/>
    </x:font>
    <x:font>
      <x:b/>
      <x:sz val="9"/>
      <x:color rgb="FFFFFFFF"/>
      <x:name val="Carlito"/>
    </x:font>
    <x:font>
      <x:sz val="9"/>
      <x:color rgb="FF172B4D"/>
      <x:name val="Carlito"/>
    </x:font>
    <x:font>
      <x:sz val="9"/>
      <x:color rgb="FF5B6B7A"/>
      <x:name val="Carlito"/>
    </x:font>
    <x:font>
      <x:b/>
      <x:sz val="13"/>
      <x:color rgb="FF8A1C1C"/>
      <x:name val="Carlito"/>
    </x:font>
    <x:font>
      <x:b/>
      <x:sz val="17"/>
      <x:color rgb="FF0B1F33"/>
      <x:name val="Carlito"/>
    </x:font>
    <x:font>
      <x:sz val="11"/>
      <x:color rgb="FF172B4D"/>
      <x:name val="Carlito"/>
    </x:font>
    <x:font>
      <x:b/>
      <x:sz val="11"/>
      <x:color rgb="FFFFFFFF"/>
      <x:name val="Carlito"/>
    </x:font>
    <x:font>
      <x:b/>
      <x:sz val="11"/>
      <x:color rgb="FF0B1F33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DCE7F3"/>
      </x:patternFill>
    </x:fill>
    <x:fill>
      <x:patternFill patternType="solid">
        <x:fgColor rgb="FF2F6FED"/>
      </x:patternFill>
    </x:fill>
    <x:fill>
      <x:patternFill patternType="solid">
        <x:fgColor rgb="FFFDECEC"/>
      </x:patternFill>
    </x:fill>
    <x:fill>
      <x:patternFill patternType="solid">
        <x:fgColor rgb="FFEAF1FF"/>
      </x:patternFill>
    </x:fill>
    <x:fill>
      <x:patternFill patternType="solid">
        <x:fgColor rgb="FFFFF4DD"/>
      </x:patternFill>
    </x:fill>
  </x:fills>
  <x:borders count="36">
    <x:border/>
    <x:border>
      <x:left style="thin">
        <x:color rgb="FFD9E2EC"/>
      </x:left>
      <x:top style="thin">
        <x:color rgb="FFD9E2EC"/>
      </x:top>
      <x:bottom style="thin">
        <x:color rgb="FFD9E2EC"/>
      </x:bottom>
    </x:border>
    <x:border>
      <x:top style="thin">
        <x:color rgb="FFD9E2EC"/>
      </x:top>
      <x:bottom style="thin">
        <x:color rgb="FFD9E2EC"/>
      </x:bottom>
    </x:border>
    <x:border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right style="thin">
        <x:color rgb="FFE8EDF3"/>
      </x:right>
      <x:bottom style="thin">
        <x:color rgb="FFE8EDF3"/>
      </x:bottom>
    </x:border>
    <x:border>
      <x:left style="thin">
        <x:color rgb="FFE8EDF3"/>
      </x:left>
      <x:right style="thin">
        <x:color rgb="FFE8EDF3"/>
      </x:right>
      <x:bottom style="thin">
        <x:color rgb="FFE8EDF3"/>
      </x:bottom>
    </x:border>
    <x:border>
      <x:left style="thin">
        <x:color rgb="FFE8EDF3"/>
      </x:left>
      <x:bottom style="thin">
        <x:color rgb="FFE8EDF3"/>
      </x:bottom>
    </x:border>
    <x:border>
      <x:right style="thin">
        <x:color rgb="FFE8EDF3"/>
      </x:right>
      <x:top style="thin">
        <x:color rgb="FFE8EDF3"/>
      </x:top>
      <x:bottom style="thin">
        <x:color rgb="FFE8EDF3"/>
      </x:bottom>
    </x:border>
    <x:border>
      <x:left style="thin">
        <x:color rgb="FFE8EDF3"/>
      </x:left>
      <x:right style="thin">
        <x:color rgb="FFE8EDF3"/>
      </x:right>
      <x:top style="thin">
        <x:color rgb="FFE8EDF3"/>
      </x:top>
      <x:bottom style="thin">
        <x:color rgb="FFE8EDF3"/>
      </x:bottom>
    </x:border>
    <x:border>
      <x:left style="thin">
        <x:color rgb="FFE8EDF3"/>
      </x:left>
      <x:top style="thin">
        <x:color rgb="FFE8EDF3"/>
      </x:top>
      <x:bottom style="thin">
        <x:color rgb="FFE8EDF3"/>
      </x:bottom>
    </x:border>
    <x:border>
      <x:right style="thin">
        <x:color rgb="FFE8EDF3"/>
      </x:right>
      <x:top style="thin">
        <x:color rgb="FFE8EDF3"/>
      </x:top>
    </x:border>
    <x:border>
      <x:left style="thin">
        <x:color rgb="FFE8EDF3"/>
      </x:left>
      <x:right style="thin">
        <x:color rgb="FFE8EDF3"/>
      </x:right>
      <x:top style="thin">
        <x:color rgb="FFE8EDF3"/>
      </x:top>
    </x:border>
    <x:border>
      <x:left style="thin">
        <x:color rgb="FFE8EDF3"/>
      </x:left>
      <x:top style="thin">
        <x:color rgb="FFE8EDF3"/>
      </x:top>
    </x:border>
    <x:border>
      <x:left style="medium">
        <x:color rgb="FFD95C5C"/>
      </x:left>
      <x:top style="medium">
        <x:color rgb="FFD95C5C"/>
      </x:top>
    </x:border>
    <x:border>
      <x:top style="medium">
        <x:color rgb="FFD95C5C"/>
      </x:top>
    </x:border>
    <x:border>
      <x:right style="medium">
        <x:color rgb="FFD95C5C"/>
      </x:right>
      <x:top style="medium">
        <x:color rgb="FFD95C5C"/>
      </x:top>
    </x:border>
    <x:border>
      <x:left style="medium">
        <x:color rgb="FFD95C5C"/>
      </x:left>
    </x:border>
    <x:border>
      <x:right style="medium">
        <x:color rgb="FFD95C5C"/>
      </x:right>
    </x:border>
    <x:border>
      <x:left style="medium">
        <x:color rgb="FFD95C5C"/>
      </x:left>
      <x:bottom style="medium">
        <x:color rgb="FFD95C5C"/>
      </x:bottom>
    </x:border>
    <x:border>
      <x:bottom style="medium">
        <x:color rgb="FFD95C5C"/>
      </x:bottom>
    </x:border>
    <x:border>
      <x:right style="medium">
        <x:color rgb="FFD95C5C"/>
      </x:right>
      <x:bottom style="medium">
        <x:color rgb="FFD95C5C"/>
      </x:bottom>
    </x:border>
    <x:border>
      <x:left style="thin">
        <x:color rgb="FFD9E2EC"/>
      </x:left>
      <x:top style="thin">
        <x:color rgb="FFD9E2EC"/>
      </x:top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  <x:bottom style="thin">
        <x:color rgb="FFD9E2EC"/>
      </x:bottom>
    </x:border>
    <x:border>
      <x:right style="thin">
        <x:color rgb="FFD9E2EC"/>
      </x:right>
      <x:bottom style="thin">
        <x:color rgb="FFD9E2EC"/>
      </x:bottom>
    </x:border>
    <x:border>
      <x:top style="thin">
        <x:color rgb="FFD9E2EC"/>
      </x:top>
    </x:border>
    <x:border>
      <x:left style="thin">
        <x:color rgb="FFD9E2EC"/>
      </x:left>
    </x:border>
    <x:border>
      <x:right style="thin">
        <x:color rgb="FFD9E2EC"/>
      </x:right>
    </x:border>
    <x:border>
      <x:bottom style="thin">
        <x:color rgb="FFD9E2EC"/>
      </x:bottom>
    </x:border>
    <x:border>
      <x:left style="thin">
        <x:color rgb="FFD9E2EC"/>
      </x:left>
      <x:right style="thin">
        <x:color rgb="FFE8EDF3"/>
      </x:right>
      <x:top style="thin">
        <x:color rgb="FFD9E2EC"/>
      </x:top>
      <x:bottom style="thin">
        <x:color rgb="FFE8EDF3"/>
      </x:bottom>
    </x:border>
    <x:border>
      <x:left style="thin">
        <x:color rgb="FFE8EDF3"/>
      </x:left>
      <x:right style="thin">
        <x:color rgb="FFE8EDF3"/>
      </x:right>
      <x:top style="thin">
        <x:color rgb="FFD9E2EC"/>
      </x:top>
      <x:bottom style="thin">
        <x:color rgb="FFE8EDF3"/>
      </x:bottom>
    </x:border>
    <x:border>
      <x:left style="thin">
        <x:color rgb="FFE8EDF3"/>
      </x:left>
      <x:top style="thin">
        <x:color rgb="FFD9E2EC"/>
      </x:top>
      <x:bottom style="thin">
        <x:color rgb="FFE8EDF3"/>
      </x:bottom>
    </x:border>
    <x:border>
      <x:left style="thin">
        <x:color rgb="FFD9E2EC"/>
      </x:left>
      <x:right style="thin">
        <x:color rgb="FFE8EDF3"/>
      </x:right>
      <x:top style="thin">
        <x:color rgb="FFE8EDF3"/>
      </x:top>
      <x:bottom style="thin">
        <x:color rgb="FFE8EDF3"/>
      </x:bottom>
    </x:border>
    <x:border>
      <x:left style="thin">
        <x:color rgb="FFD9E2EC"/>
      </x:left>
      <x:right style="thin">
        <x:color rgb="FFE8EDF3"/>
      </x:right>
      <x:top style="thin">
        <x:color rgb="FFE8EDF3"/>
      </x:top>
      <x:bottom style="thin">
        <x:color rgb="FFD9E2EC"/>
      </x:bottom>
    </x:border>
    <x:border>
      <x:left style="thin">
        <x:color rgb="FFE8EDF3"/>
      </x:left>
      <x:right style="thin">
        <x:color rgb="FFE8EDF3"/>
      </x:right>
      <x:top style="thin">
        <x:color rgb="FFE8EDF3"/>
      </x:top>
      <x:bottom style="thin">
        <x:color rgb="FFD9E2EC"/>
      </x:bottom>
    </x:border>
    <x:border>
      <x:left style="thin">
        <x:color rgb="FFE8EDF3"/>
      </x:left>
      <x:top style="thin">
        <x:color rgb="FFE8EDF3"/>
      </x:top>
      <x:bottom style="thin">
        <x:color rgb="FFD9E2EC"/>
      </x:bottom>
    </x:border>
  </x:borders>
  <x:cellStyleXfs count="1">
    <x:xf numFmtId="0" fontId="0" fillId="0" borderId="0"/>
  </x:cellStyleXfs>
  <x:cellXfs count="2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10" xfId="0" applyNumberFormat="1" applyFont="1" applyFill="1" applyBorder="1"/>
    <x:xf numFmtId="0" fontId="4" fillId="0" borderId="11" xfId="0" applyNumberFormat="1" applyFont="1" applyFill="1" applyBorder="1"/>
    <x:xf numFmtId="0" fontId="4" fillId="0" borderId="12" xfId="0" applyNumberFormat="1" applyFont="1" applyFill="1" applyBorder="1"/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0" fontId="4" fillId="0" borderId="7" xfId="0" applyNumberFormat="1" applyFont="1" applyFill="1" applyBorder="1" applyAlignment="1">
      <x:alignment vertical="center"/>
    </x:xf>
    <x:xf numFmtId="0" fontId="4" fillId="0" borderId="8" xfId="0" applyNumberFormat="1" applyFont="1" applyFill="1" applyBorder="1" applyAlignment="1">
      <x:alignment vertical="center"/>
    </x:xf>
    <x:xf numFmtId="0" fontId="4" fillId="0" borderId="9" xfId="0" applyNumberFormat="1" applyFont="1" applyFill="1" applyBorder="1" applyAlignment="1">
      <x:alignment vertical="center"/>
    </x:xf>
    <x:xf numFmtId="0" fontId="4" fillId="0" borderId="10" xfId="0" applyNumberFormat="1" applyFont="1" applyFill="1" applyBorder="1" applyAlignment="1">
      <x:alignment vertical="center"/>
    </x:xf>
    <x:xf numFmtId="0" fontId="4" fillId="0" borderId="11" xfId="0" applyNumberFormat="1" applyFont="1" applyFill="1" applyBorder="1" applyAlignment="1">
      <x:alignment vertical="center"/>
    </x:xf>
    <x:xf numFmtId="0" fontId="4" fillId="0" borderId="12" xfId="0" applyNumberFormat="1" applyFont="1" applyFill="1" applyBorder="1" applyAlignment="1">
      <x:alignment vertical="center"/>
    </x:xf>
    <x:xf numFmtId="200" fontId="4" fillId="0" borderId="5" xfId="0" applyNumberFormat="1" applyFont="1" applyFill="1" applyBorder="1" applyAlignment="1">
      <x:alignment vertical="center"/>
    </x:xf>
    <x:xf numFmtId="200" fontId="4" fillId="0" borderId="8" xfId="0" applyNumberFormat="1" applyFont="1" applyFill="1" applyBorder="1" applyAlignment="1">
      <x:alignment vertical="center"/>
    </x:xf>
    <x:xf numFmtId="200" fontId="4" fillId="0" borderId="11" xfId="0" applyNumberFormat="1" applyFont="1" applyFill="1" applyBorder="1" applyAlignment="1">
      <x:alignment vertical="center"/>
    </x:xf>
    <x:xf numFmtId="201" fontId="4" fillId="0" borderId="5" xfId="0" applyNumberFormat="1" applyFont="1" applyFill="1" applyBorder="1" applyAlignment="1">
      <x:alignment vertical="center"/>
    </x:xf>
    <x:xf numFmtId="201" fontId="4" fillId="0" borderId="8" xfId="0" applyNumberFormat="1" applyFont="1" applyFill="1" applyBorder="1" applyAlignment="1">
      <x:alignment vertical="center"/>
    </x:xf>
    <x:xf numFmtId="201" fontId="4" fillId="0" borderId="11" xfId="0" applyNumberFormat="1" applyFont="1" applyFill="1" applyBorder="1" applyAlignment="1">
      <x:alignment vertical="center"/>
    </x:xf>
    <x:xf numFmtId="202" fontId="4" fillId="0" borderId="5" xfId="0" applyNumberFormat="1" applyFont="1" applyFill="1" applyBorder="1" applyAlignment="1">
      <x:alignment vertical="center"/>
    </x:xf>
    <x:xf numFmtId="202" fontId="4" fillId="0" borderId="8" xfId="0" applyNumberFormat="1" applyFont="1" applyFill="1" applyBorder="1" applyAlignment="1">
      <x:alignment vertical="center"/>
    </x:xf>
    <x:xf numFmtId="202" fontId="4" fillId="0" borderId="11" xfId="0" applyNumberFormat="1" applyFont="1" applyFill="1" applyBorder="1" applyAlignment="1">
      <x:alignment vertical="center"/>
    </x:xf>
    <x:xf numFmtId="203" fontId="4" fillId="0" borderId="5" xfId="0" applyNumberFormat="1" applyFont="1" applyFill="1" applyBorder="1" applyAlignment="1">
      <x:alignment vertical="center"/>
    </x:xf>
    <x:xf numFmtId="203" fontId="4" fillId="0" borderId="8" xfId="0" applyNumberFormat="1" applyFont="1" applyFill="1" applyBorder="1" applyAlignment="1">
      <x:alignment vertical="center"/>
    </x:xf>
    <x:xf numFmtId="203" fontId="4" fillId="0" borderId="11" xfId="0" applyNumberFormat="1" applyFont="1" applyFill="1" applyBorder="1" applyAlignment="1">
      <x:alignment vertical="center"/>
    </x:xf>
    <x:xf numFmtId="204" fontId="4" fillId="0" borderId="5" xfId="0" applyNumberFormat="1" applyFont="1" applyFill="1" applyBorder="1" applyAlignment="1">
      <x:alignment vertical="center"/>
    </x:xf>
    <x:xf numFmtId="204" fontId="4" fillId="0" borderId="8" xfId="0" applyNumberFormat="1" applyFont="1" applyFill="1" applyBorder="1" applyAlignment="1">
      <x:alignment vertical="center"/>
    </x:xf>
    <x:xf numFmtId="204" fontId="4" fillId="0" borderId="11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8" xfId="0" applyNumberFormat="1" applyFont="1" applyFill="1" applyBorder="1" applyAlignment="1">
      <x:alignment vertical="center" wrapText="1"/>
    </x:xf>
    <x:xf numFmtId="0" fontId="4" fillId="0" borderId="11" xfId="0" applyNumberFormat="1" applyFont="1" applyFill="1" applyBorder="1" applyAlignment="1">
      <x:alignment vertical="center" wrapText="1"/>
    </x:xf>
    <x:xf numFmtId="204" fontId="0" fillId="0" borderId="0" xfId="0" applyNumberFormat="1" applyFont="1" applyFill="1" applyBorder="1"/>
    <x:xf numFmtId="205" fontId="0" fillId="0" borderId="0" xfId="0" applyNumberFormat="1" applyFont="1" applyFill="1" applyBorder="1"/>
    <x:xf numFmtId="0" fontId="5" fillId="0" borderId="0" xfId="0" applyNumberFormat="1" applyFont="1" applyFill="1" applyBorder="1"/>
    <x:xf numFmtId="204" fontId="5" fillId="0" borderId="0" xfId="0" applyNumberFormat="1" applyFont="1" applyFill="1" applyBorder="1"/>
    <x:xf numFmtId="205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204" fontId="5" fillId="0" borderId="0" xfId="0" applyNumberFormat="1" applyFont="1" applyFill="1" applyBorder="1" applyAlignment="1">
      <x:alignment vertical="center"/>
    </x:xf>
    <x:xf numFmtId="205" fontId="5" fillId="0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13" xfId="0" applyNumberFormat="1" applyFont="1" applyFill="1" applyBorder="1"/>
    <x:xf numFmtId="0" fontId="6" fillId="5" borderId="14" xfId="0" applyNumberFormat="1" applyFont="1" applyFill="1" applyBorder="1"/>
    <x:xf numFmtId="0" fontId="6" fillId="5" borderId="15" xfId="0" applyNumberFormat="1" applyFont="1" applyFill="1" applyBorder="1"/>
    <x:xf numFmtId="0" fontId="6" fillId="5" borderId="16" xfId="0" applyNumberFormat="1" applyFont="1" applyFill="1" applyBorder="1"/>
    <x:xf numFmtId="0" fontId="6" fillId="5" borderId="17" xfId="0" applyNumberFormat="1" applyFont="1" applyFill="1" applyBorder="1"/>
    <x:xf numFmtId="0" fontId="6" fillId="5" borderId="18" xfId="0" applyNumberFormat="1" applyFont="1" applyFill="1" applyBorder="1"/>
    <x:xf numFmtId="0" fontId="6" fillId="5" borderId="19" xfId="0" applyNumberFormat="1" applyFont="1" applyFill="1" applyBorder="1"/>
    <x:xf numFmtId="0" fontId="6" fillId="5" borderId="20" xfId="0" applyNumberFormat="1" applyFont="1" applyFill="1" applyBorder="1"/>
    <x:xf numFmtId="0" fontId="6" fillId="5" borderId="13" xfId="0" applyNumberFormat="1" applyFont="1" applyFill="1" applyBorder="1" applyAlignment="1">
      <x:alignment wrapText="1"/>
    </x:xf>
    <x:xf numFmtId="0" fontId="6" fillId="5" borderId="14" xfId="0" applyNumberFormat="1" applyFont="1" applyFill="1" applyBorder="1" applyAlignment="1">
      <x:alignment wrapText="1"/>
    </x:xf>
    <x:xf numFmtId="0" fontId="6" fillId="5" borderId="15" xfId="0" applyNumberFormat="1" applyFont="1" applyFill="1" applyBorder="1" applyAlignment="1">
      <x:alignment wrapText="1"/>
    </x:xf>
    <x:xf numFmtId="0" fontId="6" fillId="5" borderId="16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wrapText="1"/>
    </x:xf>
    <x:xf numFmtId="0" fontId="6" fillId="5" borderId="17" xfId="0" applyNumberFormat="1" applyFont="1" applyFill="1" applyBorder="1" applyAlignment="1">
      <x:alignment wrapText="1"/>
    </x:xf>
    <x:xf numFmtId="0" fontId="6" fillId="5" borderId="18" xfId="0" applyNumberFormat="1" applyFont="1" applyFill="1" applyBorder="1" applyAlignment="1">
      <x:alignment wrapText="1"/>
    </x:xf>
    <x:xf numFmtId="0" fontId="6" fillId="5" borderId="19" xfId="0" applyNumberFormat="1" applyFont="1" applyFill="1" applyBorder="1" applyAlignment="1">
      <x:alignment wrapText="1"/>
    </x:xf>
    <x:xf numFmtId="0" fontId="6" fillId="5" borderId="20" xfId="0" applyNumberFormat="1" applyFont="1" applyFill="1" applyBorder="1" applyAlignment="1">
      <x:alignment wrapText="1"/>
    </x:xf>
    <x:xf numFmtId="0" fontId="6" fillId="5" borderId="13" xfId="0" applyNumberFormat="1" applyFont="1" applyFill="1" applyBorder="1" applyAlignment="1">
      <x:alignment horizontal="center" wrapText="1"/>
    </x:xf>
    <x:xf numFmtId="0" fontId="6" fillId="5" borderId="14" xfId="0" applyNumberFormat="1" applyFont="1" applyFill="1" applyBorder="1" applyAlignment="1">
      <x:alignment horizontal="center" wrapText="1"/>
    </x:xf>
    <x:xf numFmtId="0" fontId="6" fillId="5" borderId="15" xfId="0" applyNumberFormat="1" applyFont="1" applyFill="1" applyBorder="1" applyAlignment="1">
      <x:alignment horizontal="center" wrapText="1"/>
    </x:xf>
    <x:xf numFmtId="0" fontId="6" fillId="5" borderId="16" xfId="0" applyNumberFormat="1" applyFont="1" applyFill="1" applyBorder="1" applyAlignment="1">
      <x:alignment horizontal="center" wrapText="1"/>
    </x:xf>
    <x:xf numFmtId="0" fontId="6" fillId="5" borderId="0" xfId="0" applyNumberFormat="1" applyFont="1" applyFill="1" applyBorder="1" applyAlignment="1">
      <x:alignment horizontal="center" wrapText="1"/>
    </x:xf>
    <x:xf numFmtId="0" fontId="6" fillId="5" borderId="17" xfId="0" applyNumberFormat="1" applyFont="1" applyFill="1" applyBorder="1" applyAlignment="1">
      <x:alignment horizontal="center" wrapText="1"/>
    </x:xf>
    <x:xf numFmtId="0" fontId="6" fillId="5" borderId="18" xfId="0" applyNumberFormat="1" applyFont="1" applyFill="1" applyBorder="1" applyAlignment="1">
      <x:alignment horizontal="center" wrapText="1"/>
    </x:xf>
    <x:xf numFmtId="0" fontId="6" fillId="5" borderId="19" xfId="0" applyNumberFormat="1" applyFont="1" applyFill="1" applyBorder="1" applyAlignment="1">
      <x:alignment horizontal="center" wrapText="1"/>
    </x:xf>
    <x:xf numFmtId="0" fontId="6" fillId="5" borderId="20" xfId="0" applyNumberFormat="1" applyFont="1" applyFill="1" applyBorder="1" applyAlignment="1">
      <x:alignment horizontal="center" wrapText="1"/>
    </x:xf>
    <x:xf numFmtId="0" fontId="6" fillId="5" borderId="13" xfId="0" applyNumberFormat="1" applyFont="1" applyFill="1" applyBorder="1" applyAlignment="1">
      <x:alignment horizontal="center" vertical="center" wrapText="1"/>
    </x:xf>
    <x:xf numFmtId="0" fontId="6" fillId="5" borderId="14" xfId="0" applyNumberFormat="1" applyFont="1" applyFill="1" applyBorder="1" applyAlignment="1">
      <x:alignment horizontal="center" vertical="center" wrapText="1"/>
    </x:xf>
    <x:xf numFmtId="0" fontId="6" fillId="5" borderId="15" xfId="0" applyNumberFormat="1" applyFont="1" applyFill="1" applyBorder="1" applyAlignment="1">
      <x:alignment horizontal="center" vertical="center" wrapText="1"/>
    </x:xf>
    <x:xf numFmtId="0" fontId="6" fillId="5" borderId="16" xfId="0" applyNumberFormat="1" applyFont="1" applyFill="1" applyBorder="1" applyAlignment="1">
      <x:alignment horizontal="center" vertical="center" wrapText="1"/>
    </x:xf>
    <x:xf numFmtId="0" fontId="6" fillId="5" borderId="0" xfId="0" applyNumberFormat="1" applyFont="1" applyFill="1" applyBorder="1" applyAlignment="1">
      <x:alignment horizontal="center" vertical="center" wrapText="1"/>
    </x:xf>
    <x:xf numFmtId="0" fontId="6" fillId="5" borderId="17" xfId="0" applyNumberFormat="1" applyFont="1" applyFill="1" applyBorder="1" applyAlignment="1">
      <x:alignment horizontal="center" vertical="center" wrapText="1"/>
    </x:xf>
    <x:xf numFmtId="0" fontId="6" fillId="5" borderId="18" xfId="0" applyNumberFormat="1" applyFont="1" applyFill="1" applyBorder="1" applyAlignment="1">
      <x:alignment horizontal="center" vertical="center" wrapText="1"/>
    </x:xf>
    <x:xf numFmtId="0" fontId="6" fillId="5" borderId="19" xfId="0" applyNumberFormat="1" applyFont="1" applyFill="1" applyBorder="1" applyAlignment="1">
      <x:alignment horizontal="center" vertical="center" wrapText="1"/>
    </x:xf>
    <x:xf numFmtId="0" fontId="6" fillId="5" borderId="2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21" xfId="0" applyNumberFormat="1" applyFont="1" applyFill="1" applyBorder="1"/>
    <x:xf numFmtId="0" fontId="7" fillId="6" borderId="22" xfId="0" applyNumberFormat="1" applyFont="1" applyFill="1" applyBorder="1"/>
    <x:xf numFmtId="0" fontId="7" fillId="6" borderId="23" xfId="0" applyNumberFormat="1" applyFont="1" applyFill="1" applyBorder="1"/>
    <x:xf numFmtId="0" fontId="7" fillId="6" borderId="24" xfId="0" applyNumberFormat="1" applyFont="1" applyFill="1" applyBorder="1"/>
    <x:xf numFmtId="0" fontId="7" fillId="6" borderId="21" xfId="0" applyNumberFormat="1" applyFont="1" applyFill="1" applyBorder="1" applyAlignment="1">
      <x:alignment horizontal="center"/>
    </x:xf>
    <x:xf numFmtId="0" fontId="7" fillId="6" borderId="22" xfId="0" applyNumberFormat="1" applyFont="1" applyFill="1" applyBorder="1" applyAlignment="1">
      <x:alignment horizontal="center"/>
    </x:xf>
    <x:xf numFmtId="0" fontId="7" fillId="6" borderId="23" xfId="0" applyNumberFormat="1" applyFont="1" applyFill="1" applyBorder="1" applyAlignment="1">
      <x:alignment horizontal="center"/>
    </x:xf>
    <x:xf numFmtId="0" fontId="7" fillId="6" borderId="24" xfId="0" applyNumberFormat="1" applyFont="1" applyFill="1" applyBorder="1" applyAlignment="1">
      <x:alignment horizontal="center"/>
    </x:xf>
    <x:xf numFmtId="0" fontId="7" fillId="6" borderId="21" xfId="0" applyNumberFormat="1" applyFont="1" applyFill="1" applyBorder="1" applyAlignment="1">
      <x:alignment horizontal="center" vertical="center"/>
    </x:xf>
    <x:xf numFmtId="0" fontId="7" fillId="6" borderId="22" xfId="0" applyNumberFormat="1" applyFont="1" applyFill="1" applyBorder="1" applyAlignment="1">
      <x:alignment horizontal="center" vertical="center"/>
    </x:xf>
    <x:xf numFmtId="0" fontId="7" fillId="6" borderId="23" xfId="0" applyNumberFormat="1" applyFont="1" applyFill="1" applyBorder="1" applyAlignment="1">
      <x:alignment horizontal="center" vertical="center"/>
    </x:xf>
    <x:xf numFmtId="0" fontId="7" fillId="6" borderId="24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21" xfId="0" applyNumberFormat="1" applyFont="1" applyFill="1" applyBorder="1"/>
    <x:xf numFmtId="0" fontId="7" fillId="7" borderId="22" xfId="0" applyNumberFormat="1" applyFont="1" applyFill="1" applyBorder="1"/>
    <x:xf numFmtId="0" fontId="7" fillId="7" borderId="23" xfId="0" applyNumberFormat="1" applyFont="1" applyFill="1" applyBorder="1"/>
    <x:xf numFmtId="0" fontId="7" fillId="7" borderId="24" xfId="0" applyNumberFormat="1" applyFont="1" applyFill="1" applyBorder="1"/>
    <x:xf numFmtId="0" fontId="7" fillId="7" borderId="21" xfId="0" applyNumberFormat="1" applyFont="1" applyFill="1" applyBorder="1" applyAlignment="1">
      <x:alignment horizontal="center"/>
    </x:xf>
    <x:xf numFmtId="0" fontId="7" fillId="7" borderId="22" xfId="0" applyNumberFormat="1" applyFont="1" applyFill="1" applyBorder="1" applyAlignment="1">
      <x:alignment horizontal="center"/>
    </x:xf>
    <x:xf numFmtId="0" fontId="7" fillId="7" borderId="23" xfId="0" applyNumberFormat="1" applyFont="1" applyFill="1" applyBorder="1" applyAlignment="1">
      <x:alignment horizontal="center"/>
    </x:xf>
    <x:xf numFmtId="0" fontId="7" fillId="7" borderId="24" xfId="0" applyNumberFormat="1" applyFont="1" applyFill="1" applyBorder="1" applyAlignment="1">
      <x:alignment horizontal="center"/>
    </x:xf>
    <x:xf numFmtId="0" fontId="7" fillId="7" borderId="21" xfId="0" applyNumberFormat="1" applyFont="1" applyFill="1" applyBorder="1" applyAlignment="1">
      <x:alignment horizontal="center" vertical="center"/>
    </x:xf>
    <x:xf numFmtId="0" fontId="7" fillId="7" borderId="22" xfId="0" applyNumberFormat="1" applyFont="1" applyFill="1" applyBorder="1" applyAlignment="1">
      <x:alignment horizontal="center" vertical="center"/>
    </x:xf>
    <x:xf numFmtId="0" fontId="7" fillId="7" borderId="23" xfId="0" applyNumberFormat="1" applyFont="1" applyFill="1" applyBorder="1" applyAlignment="1">
      <x:alignment horizontal="center" vertical="center"/>
    </x:xf>
    <x:xf numFmtId="0" fontId="7" fillId="7" borderId="24" xfId="0" applyNumberFormat="1" applyFont="1" applyFill="1" applyBorder="1" applyAlignment="1">
      <x:alignment horizontal="center" vertical="center"/>
    </x:xf>
    <x:xf numFmtId="0" fontId="7" fillId="5" borderId="0" xfId="0" applyNumberFormat="1" applyFont="1" applyFill="1" applyBorder="1"/>
    <x:xf numFmtId="0" fontId="7" fillId="5" borderId="21" xfId="0" applyNumberFormat="1" applyFont="1" applyFill="1" applyBorder="1"/>
    <x:xf numFmtId="0" fontId="7" fillId="5" borderId="22" xfId="0" applyNumberFormat="1" applyFont="1" applyFill="1" applyBorder="1"/>
    <x:xf numFmtId="0" fontId="7" fillId="5" borderId="23" xfId="0" applyNumberFormat="1" applyFont="1" applyFill="1" applyBorder="1"/>
    <x:xf numFmtId="0" fontId="7" fillId="5" borderId="24" xfId="0" applyNumberFormat="1" applyFont="1" applyFill="1" applyBorder="1"/>
    <x:xf numFmtId="0" fontId="7" fillId="5" borderId="21" xfId="0" applyNumberFormat="1" applyFont="1" applyFill="1" applyBorder="1" applyAlignment="1">
      <x:alignment horizontal="center"/>
    </x:xf>
    <x:xf numFmtId="0" fontId="7" fillId="5" borderId="22" xfId="0" applyNumberFormat="1" applyFont="1" applyFill="1" applyBorder="1" applyAlignment="1">
      <x:alignment horizontal="center"/>
    </x:xf>
    <x:xf numFmtId="0" fontId="7" fillId="5" borderId="23" xfId="0" applyNumberFormat="1" applyFont="1" applyFill="1" applyBorder="1" applyAlignment="1">
      <x:alignment horizontal="center"/>
    </x:xf>
    <x:xf numFmtId="0" fontId="7" fillId="5" borderId="24" xfId="0" applyNumberFormat="1" applyFont="1" applyFill="1" applyBorder="1" applyAlignment="1">
      <x:alignment horizontal="center"/>
    </x:xf>
    <x:xf numFmtId="0" fontId="7" fillId="5" borderId="21" xfId="0" applyNumberFormat="1" applyFont="1" applyFill="1" applyBorder="1" applyAlignment="1">
      <x:alignment horizontal="center" vertical="center"/>
    </x:xf>
    <x:xf numFmtId="0" fontId="7" fillId="5" borderId="22" xfId="0" applyNumberFormat="1" applyFont="1" applyFill="1" applyBorder="1" applyAlignment="1">
      <x:alignment horizontal="center" vertical="center"/>
    </x:xf>
    <x:xf numFmtId="0" fontId="7" fillId="5" borderId="23" xfId="0" applyNumberFormat="1" applyFont="1" applyFill="1" applyBorder="1" applyAlignment="1">
      <x:alignment horizontal="center" vertical="center"/>
    </x:xf>
    <x:xf numFmtId="0" fontId="7" fillId="5" borderId="24" xfId="0" applyNumberFormat="1" applyFont="1" applyFill="1" applyBorder="1" applyAlignment="1">
      <x:alignment horizontal="center" vertical="center"/>
    </x:xf>
    <x:xf numFmtId="206" fontId="7" fillId="6" borderId="21" xfId="0" applyNumberFormat="1" applyFont="1" applyFill="1" applyBorder="1" applyAlignment="1">
      <x:alignment horizontal="center" vertical="center"/>
    </x:xf>
    <x:xf numFmtId="200" fontId="7" fillId="6" borderId="21" xfId="0" applyNumberFormat="1" applyFont="1" applyFill="1" applyBorder="1" applyAlignment="1">
      <x:alignment horizontal="center" vertical="center"/>
    </x:xf>
    <x:xf numFmtId="203" fontId="7" fillId="7" borderId="21" xfId="0" applyNumberFormat="1" applyFont="1" applyFill="1" applyBorder="1" applyAlignment="1">
      <x:alignment horizontal="center" vertical="center"/>
    </x:xf>
    <x:xf numFmtId="206" fontId="7" fillId="5" borderId="21" xfId="0" applyNumberFormat="1" applyFont="1" applyFill="1" applyBorder="1" applyAlignment="1">
      <x:alignment horizontal="center" vertical="center"/>
    </x:xf>
    <x:xf numFmtId="200" fontId="7" fillId="5" borderId="21" xfId="0" applyNumberFormat="1" applyFont="1" applyFill="1" applyBorder="1" applyAlignment="1">
      <x:alignment horizontal="center" vertical="center"/>
    </x:xf>
    <x:xf numFmtId="0" fontId="8" fillId="6" borderId="0" xfId="0" applyNumberFormat="1" applyFont="1" applyFill="1" applyBorder="1"/>
    <x:xf numFmtId="0" fontId="8" fillId="6" borderId="21" xfId="0" applyNumberFormat="1" applyFont="1" applyFill="1" applyBorder="1"/>
    <x:xf numFmtId="0" fontId="8" fillId="6" borderId="25" xfId="0" applyNumberFormat="1" applyFont="1" applyFill="1" applyBorder="1"/>
    <x:xf numFmtId="0" fontId="8" fillId="6" borderId="22" xfId="0" applyNumberFormat="1" applyFont="1" applyFill="1" applyBorder="1"/>
    <x:xf numFmtId="0" fontId="8" fillId="6" borderId="26" xfId="0" applyNumberFormat="1" applyFont="1" applyFill="1" applyBorder="1"/>
    <x:xf numFmtId="0" fontId="8" fillId="6" borderId="27" xfId="0" applyNumberFormat="1" applyFont="1" applyFill="1" applyBorder="1"/>
    <x:xf numFmtId="0" fontId="8" fillId="6" borderId="23" xfId="0" applyNumberFormat="1" applyFont="1" applyFill="1" applyBorder="1"/>
    <x:xf numFmtId="0" fontId="8" fillId="6" borderId="28" xfId="0" applyNumberFormat="1" applyFont="1" applyFill="1" applyBorder="1"/>
    <x:xf numFmtId="0" fontId="8" fillId="6" borderId="24" xfId="0" applyNumberFormat="1" applyFont="1" applyFill="1" applyBorder="1"/>
    <x:xf numFmtId="0" fontId="8" fillId="6" borderId="21" xfId="0" applyNumberFormat="1" applyFont="1" applyFill="1" applyBorder="1" applyAlignment="1">
      <x:alignment wrapText="1"/>
    </x:xf>
    <x:xf numFmtId="0" fontId="8" fillId="6" borderId="25" xfId="0" applyNumberFormat="1" applyFont="1" applyFill="1" applyBorder="1" applyAlignment="1">
      <x:alignment wrapText="1"/>
    </x:xf>
    <x:xf numFmtId="0" fontId="8" fillId="6" borderId="22" xfId="0" applyNumberFormat="1" applyFont="1" applyFill="1" applyBorder="1" applyAlignment="1">
      <x:alignment wrapText="1"/>
    </x:xf>
    <x:xf numFmtId="0" fontId="8" fillId="6" borderId="26" xfId="0" applyNumberFormat="1" applyFont="1" applyFill="1" applyBorder="1" applyAlignment="1">
      <x:alignment wrapText="1"/>
    </x:xf>
    <x:xf numFmtId="0" fontId="8" fillId="6" borderId="0" xfId="0" applyNumberFormat="1" applyFont="1" applyFill="1" applyBorder="1" applyAlignment="1">
      <x:alignment wrapText="1"/>
    </x:xf>
    <x:xf numFmtId="0" fontId="8" fillId="6" borderId="27" xfId="0" applyNumberFormat="1" applyFont="1" applyFill="1" applyBorder="1" applyAlignment="1">
      <x:alignment wrapText="1"/>
    </x:xf>
    <x:xf numFmtId="0" fontId="8" fillId="6" borderId="23" xfId="0" applyNumberFormat="1" applyFont="1" applyFill="1" applyBorder="1" applyAlignment="1">
      <x:alignment wrapText="1"/>
    </x:xf>
    <x:xf numFmtId="0" fontId="8" fillId="6" borderId="28" xfId="0" applyNumberFormat="1" applyFont="1" applyFill="1" applyBorder="1" applyAlignment="1">
      <x:alignment wrapText="1"/>
    </x:xf>
    <x:xf numFmtId="0" fontId="8" fillId="6" borderId="24" xfId="0" applyNumberFormat="1" applyFont="1" applyFill="1" applyBorder="1" applyAlignment="1">
      <x:alignment wrapText="1"/>
    </x:xf>
    <x:xf numFmtId="0" fontId="8" fillId="6" borderId="21" xfId="0" applyNumberFormat="1" applyFont="1" applyFill="1" applyBorder="1" applyAlignment="1">
      <x:alignment vertical="center" wrapText="1"/>
    </x:xf>
    <x:xf numFmtId="0" fontId="8" fillId="6" borderId="25" xfId="0" applyNumberFormat="1" applyFont="1" applyFill="1" applyBorder="1" applyAlignment="1">
      <x:alignment vertical="center" wrapText="1"/>
    </x:xf>
    <x:xf numFmtId="0" fontId="8" fillId="6" borderId="22" xfId="0" applyNumberFormat="1" applyFont="1" applyFill="1" applyBorder="1" applyAlignment="1">
      <x:alignment vertical="center" wrapText="1"/>
    </x:xf>
    <x:xf numFmtId="0" fontId="8" fillId="6" borderId="26" xfId="0" applyNumberFormat="1" applyFont="1" applyFill="1" applyBorder="1" applyAlignment="1">
      <x:alignment vertical="center" wrapText="1"/>
    </x:xf>
    <x:xf numFmtId="0" fontId="8" fillId="6" borderId="0" xfId="0" applyNumberFormat="1" applyFont="1" applyFill="1" applyBorder="1" applyAlignment="1">
      <x:alignment vertical="center" wrapText="1"/>
    </x:xf>
    <x:xf numFmtId="0" fontId="8" fillId="6" borderId="27" xfId="0" applyNumberFormat="1" applyFont="1" applyFill="1" applyBorder="1" applyAlignment="1">
      <x:alignment vertical="center" wrapText="1"/>
    </x:xf>
    <x:xf numFmtId="0" fontId="8" fillId="6" borderId="23" xfId="0" applyNumberFormat="1" applyFont="1" applyFill="1" applyBorder="1" applyAlignment="1">
      <x:alignment vertical="center" wrapText="1"/>
    </x:xf>
    <x:xf numFmtId="0" fontId="8" fillId="6" borderId="28" xfId="0" applyNumberFormat="1" applyFont="1" applyFill="1" applyBorder="1" applyAlignment="1">
      <x:alignment vertical="center" wrapText="1"/>
    </x:xf>
    <x:xf numFmtId="0" fontId="8" fillId="6" borderId="24" xfId="0" applyNumberFormat="1" applyFont="1" applyFill="1" applyBorder="1" applyAlignment="1">
      <x:alignment vertical="center" wrapText="1"/>
    </x:xf>
    <x:xf numFmtId="206" fontId="0" fillId="0" borderId="0" xfId="0" applyNumberFormat="1" applyFont="1" applyFill="1" applyBorder="1"/>
    <x:xf numFmtId="207" fontId="4" fillId="0" borderId="4" xfId="0" applyNumberFormat="1" applyFont="1" applyFill="1" applyBorder="1" applyAlignment="1">
      <x:alignment vertical="center"/>
    </x:xf>
    <x:xf numFmtId="207" fontId="4" fillId="0" borderId="7" xfId="0" applyNumberFormat="1" applyFont="1" applyFill="1" applyBorder="1" applyAlignment="1">
      <x:alignment vertical="center"/>
    </x:xf>
    <x:xf numFmtId="207" fontId="4" fillId="0" borderId="10" xfId="0" applyNumberFormat="1" applyFont="1" applyFill="1" applyBorder="1" applyAlignment="1">
      <x:alignment vertical="center"/>
    </x:xf>
    <x:xf numFmtId="206" fontId="4" fillId="0" borderId="5" xfId="0" applyNumberFormat="1" applyFont="1" applyFill="1" applyBorder="1" applyAlignment="1">
      <x:alignment vertical="center"/>
    </x:xf>
    <x:xf numFmtId="206" fontId="4" fillId="0" borderId="8" xfId="0" applyNumberFormat="1" applyFont="1" applyFill="1" applyBorder="1" applyAlignment="1">
      <x:alignment vertical="center"/>
    </x:xf>
    <x:xf numFmtId="206" fontId="4" fillId="0" borderId="11" xfId="0" applyNumberFormat="1" applyFont="1" applyFill="1" applyBorder="1" applyAlignment="1">
      <x:alignment vertical="center"/>
    </x:xf>
    <x:xf numFmtId="200" fontId="4" fillId="0" borderId="6" xfId="0" applyNumberFormat="1" applyFont="1" applyFill="1" applyBorder="1" applyAlignment="1">
      <x:alignment vertical="center"/>
    </x:xf>
    <x:xf numFmtId="200" fontId="4" fillId="0" borderId="9" xfId="0" applyNumberFormat="1" applyFont="1" applyFill="1" applyBorder="1" applyAlignment="1">
      <x:alignment vertical="center"/>
    </x:xf>
    <x:xf numFmtId="200" fontId="4" fillId="0" borderId="12" xfId="0" applyNumberFormat="1" applyFont="1" applyFill="1" applyBorder="1" applyAlignment="1">
      <x:alignment vertical="center"/>
    </x:xf>
    <x:xf numFmtId="0" fontId="9" fillId="2" borderId="0" xfId="0" applyNumberFormat="1" applyFont="1" applyFill="1" applyBorder="1"/>
    <x:xf numFmtId="0" fontId="9" fillId="2" borderId="0" xfId="0" applyNumberFormat="1" applyFont="1" applyFill="1" applyBorder="1" applyAlignment="1">
      <x:alignment vertical="center"/>
    </x:xf>
    <x:xf numFmtId="0" fontId="10" fillId="6" borderId="0" xfId="0" applyNumberFormat="1" applyFont="1" applyFill="1" applyBorder="1"/>
    <x:xf numFmtId="0" fontId="10" fillId="6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0" fontId="3" fillId="4" borderId="29" xfId="0" applyNumberFormat="1" applyFont="1" applyFill="1" applyBorder="1" applyAlignment="1">
      <x:alignment vertical="center" wrapText="1"/>
    </x:xf>
    <x:xf numFmtId="0" fontId="3" fillId="4" borderId="30" xfId="0" applyNumberFormat="1" applyFont="1" applyFill="1" applyBorder="1" applyAlignment="1">
      <x:alignment vertical="center" wrapText="1"/>
    </x:xf>
    <x:xf numFmtId="0" fontId="3" fillId="4" borderId="31" xfId="0" applyNumberFormat="1" applyFont="1" applyFill="1" applyBorder="1" applyAlignment="1">
      <x:alignment vertical="center" wrapText="1"/>
    </x:xf>
    <x:xf numFmtId="0" fontId="0" fillId="0" borderId="32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33" xfId="0" applyNumberFormat="1" applyFont="1" applyFill="1" applyBorder="1"/>
    <x:xf numFmtId="0" fontId="0" fillId="0" borderId="34" xfId="0" applyNumberFormat="1" applyFont="1" applyFill="1" applyBorder="1"/>
    <x:xf numFmtId="0" fontId="0" fillId="0" borderId="35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10" xfId="0" applyNumberFormat="1" applyFont="1" applyFill="1" applyBorder="1" applyAlignment="1">
      <x:alignment wrapText="1"/>
    </x:xf>
    <x:xf numFmtId="0" fontId="4" fillId="0" borderId="11" xfId="0" applyNumberFormat="1" applyFont="1" applyFill="1" applyBorder="1" applyAlignment="1">
      <x:alignment wrapText="1"/>
    </x:xf>
    <x:xf numFmtId="0" fontId="4" fillId="0" borderId="12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0" fontId="4" fillId="0" borderId="10" xfId="0" applyNumberFormat="1" applyFont="1" applyFill="1" applyBorder="1" applyAlignment="1">
      <x:alignment vertical="top" wrapText="1"/>
    </x:xf>
    <x:xf numFmtId="0" fontId="4" fillId="0" borderId="11" xfId="0" applyNumberFormat="1" applyFont="1" applyFill="1" applyBorder="1" applyAlignment="1">
      <x:alignment vertical="top" wrapText="1"/>
    </x:xf>
    <x:xf numFmtId="0" fontId="4" fillId="0" borderId="12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  <x:color rgb="FF9B1C1C"/>
      </x:font>
      <x:fill>
        <x:patternFill patternType="solid">
          <x:bgColor rgb="FFFDECEC"/>
        </x:patternFill>
      </x:fill>
    </x:dxf>
    <x:dxf>
      <x:font>
        <x:b/>
        <x:color rgb="FF9B1C1C"/>
      </x:font>
      <x:fill>
        <x:patternFill patternType="solid">
          <x:bgColor rgb="FFFDECEC"/>
        </x:patternFill>
      </x:fill>
    </x:dxf>
    <x:dxf>
      <x:font>
        <x:b/>
        <x:color rgb="FF087F5B"/>
      </x:font>
      <x:fill>
        <x:patternFill patternType="solid">
          <x:bgColor rgb="FFE7F6F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1d600819354ab5" /><Relationship Type="http://schemas.openxmlformats.org/officeDocument/2006/relationships/theme" Target="/xl/theme/theme1.xml" Id="Rd7500988abbe4b2b" /><Relationship Type="http://schemas.openxmlformats.org/officeDocument/2006/relationships/sharedStrings" Target="/xl/sharedStrings.xml" Id="Rd2514ea624824975" /><Relationship Type="http://schemas.openxmlformats.org/officeDocument/2006/relationships/worksheet" Target="/xl/worksheets/sheet1.xml" Id="Re754a22485464b3c" /><Relationship Type="http://schemas.openxmlformats.org/officeDocument/2006/relationships/worksheet" Target="/xl/worksheets/sheet2.xml" Id="R287ffffebcf741b7" /><Relationship Type="http://schemas.openxmlformats.org/officeDocument/2006/relationships/worksheet" Target="/xl/worksheets/sheet3.xml" Id="Rc9a482c9d6ba4547" /><Relationship Type="http://schemas.openxmlformats.org/officeDocument/2006/relationships/worksheet" Target="/xl/worksheets/sheet4.xml" Id="R0b7cd99c07e14bdb" /><Relationship Type="http://schemas.openxmlformats.org/officeDocument/2006/relationships/worksheet" Target="/xl/worksheets/sheet5.xml" Id="R2cda7b0aef1f40e7" /><Relationship Type="http://schemas.openxmlformats.org/officeDocument/2006/relationships/worksheet" Target="/xl/worksheets/sheet6.xml" Id="Re91b2d99f73947e7" /><Relationship Type="http://schemas.openxmlformats.org/officeDocument/2006/relationships/worksheet" Target="/xl/worksheets/sheet7.xml" Id="R14621e3f402447a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7357fd0ebd64dbb" /><Relationship Type="http://schemas.openxmlformats.org/officeDocument/2006/relationships/chart" Target="/xl/drawings/charts/chart2.xml" Id="Rc8c3c3214a6341b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Costo por banda de sell-through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Costo factura</c:v>
          </c:tx>
          <c:cat>
            <c:strRef>
              <c:f>'Resumen'!$A$38:$A$42</c:f>
              <c:strCache>
                <c:ptCount val="0"/>
              </c:strCache>
            </c:strRef>
          </c:cat>
          <c:val>
            <c:numRef>
              <c:f>'Resumen'!$B$38:$B$42</c:f>
              <c:numCache>
                <c:formatCode>$#,##0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Ventas mensuales de los SKU de la factura (COP)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Ventas</c:v>
          </c:tx>
          <c:marker>
            <c:symbol val="none"/>
          </c:marker>
          <c:cat>
            <c:strRef>
              <c:f>'Resumen'!$E$38:$E$64</c:f>
              <c:strCache>
                <c:ptCount val="0"/>
              </c:strCache>
            </c:strRef>
          </c:cat>
          <c:val>
            <c:numRef>
              <c:f>'Resumen'!$F$38:$F$64</c:f>
              <c:numCache>
                <c:formatCode>$#,##0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,,&quot;M&quot;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16</xdr:row>
      <xdr:rowOff>0</xdr:rowOff>
    </xdr:from>
    <xdr:to>
      <xdr:col>6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7357fd0ebd64dbb"/>
        </a:graphicData>
      </a:graphic>
    </xdr:graphicFrame>
    <xdr:clientData/>
  </xdr:twoCellAnchor>
  <xdr:twoCellAnchor>
    <xdr:from>
      <xdr:col>6</xdr:col>
      <xdr:colOff>0</xdr:colOff>
      <xdr:row>16</xdr:row>
      <xdr:rowOff>0</xdr:rowOff>
    </xdr:from>
    <xdr:to>
      <xdr:col>12</xdr:col>
      <xdr:colOff>0</xdr:colOff>
      <xdr:row>34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8c3c3214a6341b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DetalleSKUTable" displayName="DetalleSKUTable" ref="A4:AD582" headerRowCount="1" totalsRowCount="0" totalsRowShown="0">
  <x:tableColumns count="30">
    <x:tableColumn id="1" name="SKU"/>
    <x:tableColumn id="2" name="Producto"/>
    <x:tableColumn id="3" name="Líneas factura"/>
    <x:tableColumn id="4" name="Unid. compradas"/>
    <x:tableColumn id="5" name="Costo unit. factura"/>
    <x:tableColumn id="6" name="Costo factura"/>
    <x:tableColumn id="7" name="Stock actual"/>
    <x:tableColumn id="8" name="Valor stock a costo factura"/>
    <x:tableColumn id="9" name="Unid. vendidas desde"/>
    <x:tableColumn id="10" name="Ventas desde"/>
    <x:tableColumn id="11" name="Facturas venta"/>
    <x:tableColumn id="12" name="Primera venta"/>
    <x:tableColumn id="13" name="Última venta"/>
    <x:tableColumn id="14" name="Días sin venta"/>
    <x:tableColumn id="15" name="Unid. 30d"/>
    <x:tableColumn id="16" name="Unid. 90d"/>
    <x:tableColumn id="17" name="Unid. 365d"/>
    <x:tableColumn id="18" name="Absorción aparente"/>
    <x:tableColumn id="19" name="Sell-through"/>
    <x:tableColumn id="20" name="Remanente mínimo unid."/>
    <x:tableColumn id="21" name="Remanente mínimo costo"/>
    <x:tableColumn id="22" name="Compras posteriores unid."/>
    <x:tableColumn id="23" name="Docs compra posteriores"/>
    <x:tableColumn id="24" name="Última compra"/>
    <x:tableColumn id="25" name="Precio venta actual"/>
    <x:tableColumn id="26" name="Ingreso cohorte estimado"/>
    <x:tableColumn id="27" name="Utilidad bruta estimada"/>
    <x:tableColumn id="28" name="Margen estimado"/>
    <x:tableColumn id="29" name="Banda"/>
    <x:tableColumn id="30" name="Estado auditoría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3" name="RiesgosTable" displayName="RiesgosTable" ref="A4:L335" headerRowCount="1" totalsRowCount="0" totalsRowShown="0">
  <x:tableColumns count="12">
    <x:tableColumn id="1" name="SKU"/>
    <x:tableColumn id="2" name="Producto"/>
    <x:tableColumn id="3" name="Compra unid."/>
    <x:tableColumn id="4" name="Costo factura"/>
    <x:tableColumn id="5" name="Stock"/>
    <x:tableColumn id="6" name="Valor stock costo original"/>
    <x:tableColumn id="7" name="Vendidas desde"/>
    <x:tableColumn id="8" name="Unid. 365d"/>
    <x:tableColumn id="9" name="Días sin venta"/>
    <x:tableColumn id="10" name="Sell-through"/>
    <x:tableColumn id="11" name="Remanente mín. costo"/>
    <x:tableColumn id="12" name="Estado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4" name="TopventasTable" displayName="TopventasTable" ref="A4:L29" headerRowCount="1" totalsRowCount="0" totalsRowShown="0">
  <x:tableColumns count="12">
    <x:tableColumn id="1" name="SKU"/>
    <x:tableColumn id="2" name="Producto"/>
    <x:tableColumn id="3" name="Compra unid."/>
    <x:tableColumn id="4" name="Costo factura"/>
    <x:tableColumn id="5" name="Vendidas desde"/>
    <x:tableColumn id="6" name="Ventas desde"/>
    <x:tableColumn id="7" name="Sell-through"/>
    <x:tableColumn id="8" name="Ingreso cohorte est."/>
    <x:tableColumn id="9" name="Utilidad bruta est."/>
    <x:tableColumn id="10" name="Margen est."/>
    <x:tableColumn id="11" name="Stock"/>
    <x:tableColumn id="12" name="Unid. 365d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2" name="TendenciamensualTable" displayName="TendenciamensualTable" ref="A4:E31" headerRowCount="1" totalsRowCount="0" totalsRowShown="0">
  <x:tableColumns count="5">
    <x:tableColumn id="1" name="Mes"/>
    <x:tableColumn id="2" name="Ventas"/>
    <x:tableColumn id="3" name="Unidades"/>
    <x:tableColumn id="4" name="Utilidad bruta"/>
    <x:tableColumn id="5" name="Factura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c6b97e081a1429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701c08b27aa460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654484539a14a0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e12efa06eb14bc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850440ebc5e487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3" hidden="0" customWidth="1"/>
    <x:col min="3" max="3" width="13" hidden="0" customWidth="1"/>
    <x:col min="4" max="4" width="13" hidden="0" customWidth="1"/>
    <x:col min="5" max="5" width="15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</x:cols>
  <x:sheetData>
    <x:row r="1" ht="32" customHeight="1">
      <x:c r="A1" s="3" t="str">
        <x:v>MotoShop · Evaluación de compra · Factura 13 / S18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24" customHeight="1">
      <x:c r="A2" s="6" t="str">
        <x:v>Proveedor: KAROL NATALIA BURGOS BUSTOS · Compra: 2024-07-27 15:40 · Base productiva descargada 2026-09-02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3">
      <x:c r="A3" s="60" t="str">
        <x:v>Corte de datos</x:v>
      </x:c>
      <x:c r="B3" s="61" t="n">
        <x:v>46267</x:v>
      </x:c>
      <x:c r="C3" s="60"/>
      <x:c r="D3" s="60" t="str">
        <x:v>Última venta</x:v>
      </x:c>
      <x:c r="E3" s="62" t="n">
        <x:v>46267.71266203704</x:v>
      </x:c>
      <x:c r="F3" s="60"/>
      <x:c r="G3" s="60"/>
      <x:c r="H3" s="60" t="str">
        <x:v>Última compra</x:v>
      </x:c>
      <x:c r="I3" s="61" t="n">
        <x:v>46266</x:v>
      </x:c>
      <x:c r="J3" s="60"/>
      <x:c r="K3" s="60"/>
      <x:c r="L3" s="60"/>
    </x:row>
    <x:row r="5">
      <x:c r="A5" s="91" t="str">
        <x:v>VEREDICTO: NO FUE UNA BUENA COMPRA COMO CANASTA. Tuvo 258 SKU ganadores, pero después de más de dos años conserva una cola larga de 150 SKU sin ventas y un remanente mínimo estimado de $4,52 millones.</x:v>
      </x:c>
      <x:c r="B5" s="92"/>
      <x:c r="C5" s="92"/>
      <x:c r="D5" s="92"/>
      <x:c r="E5" s="92"/>
      <x:c r="F5" s="92"/>
      <x:c r="G5" s="92"/>
      <x:c r="H5" s="92"/>
      <x:c r="I5" s="92"/>
      <x:c r="J5" s="92"/>
      <x:c r="K5" s="92"/>
      <x:c r="L5" s="93"/>
    </x:row>
    <x:row r="6">
      <x:c r="A6" s="94"/>
      <x:c r="B6" s="95"/>
      <x:c r="C6" s="95"/>
      <x:c r="D6" s="95"/>
      <x:c r="E6" s="95"/>
      <x:c r="F6" s="95"/>
      <x:c r="G6" s="95"/>
      <x:c r="H6" s="95"/>
      <x:c r="I6" s="95"/>
      <x:c r="J6" s="95"/>
      <x:c r="K6" s="95"/>
      <x:c r="L6" s="96"/>
    </x:row>
    <x:row r="7">
      <x:c r="A7" s="97"/>
      <x:c r="B7" s="98"/>
      <x:c r="C7" s="98"/>
      <x:c r="D7" s="98"/>
      <x:c r="E7" s="98"/>
      <x:c r="F7" s="98"/>
      <x:c r="G7" s="98"/>
      <x:c r="H7" s="98"/>
      <x:c r="I7" s="98"/>
      <x:c r="J7" s="98"/>
      <x:c r="K7" s="98"/>
      <x:c r="L7" s="99"/>
    </x:row>
    <x:row r="9">
      <x:c r="A9" s="102" t="str">
        <x:v>VALOR FACTURA</x:v>
      </x:c>
      <x:c r="B9" s="102"/>
      <x:c r="C9" s="102" t="str">
        <x:v>SKU ÚNICOS</x:v>
      </x:c>
      <x:c r="D9" s="102"/>
      <x:c r="E9" s="102" t="str">
        <x:v>UNIDADES</x:v>
      </x:c>
      <x:c r="F9" s="102"/>
      <x:c r="G9" s="102" t="str">
        <x:v>ABSORCIÓN COSTO</x:v>
      </x:c>
      <x:c r="H9" s="102"/>
      <x:c r="I9" s="102" t="str">
        <x:v>REMANENTE MÍNIMO</x:v>
      </x:c>
      <x:c r="J9" s="102"/>
      <x:c r="K9" s="102" t="str">
        <x:v>SIN VENTA 365d</x:v>
      </x:c>
      <x:c r="L9" s="102"/>
    </x:row>
    <x:row r="10">
      <x:c r="A10" s="144" t="n">
        <x:f>SUM('Detalle SKU'!$F$5:$F$582)</x:f>
        <x:v>11267897</x:v>
      </x:c>
      <x:c r="B10" s="114"/>
      <x:c r="C10" s="113" t="n">
        <x:f>COUNTA('Detalle SKU'!$A$5:$A$582)</x:f>
        <x:v>578</x:v>
      </x:c>
      <x:c r="D10" s="114"/>
      <x:c r="E10" s="145" t="n">
        <x:f>SUM('Detalle SKU'!$D$5:$D$582)</x:f>
        <x:v>3897</x:v>
      </x:c>
      <x:c r="F10" s="114"/>
      <x:c r="G10" s="146" t="n">
        <x:f>SUMPRODUCT('Detalle SKU'!$R$5:$R$582,'Detalle SKU'!$E$5:$E$582)/SUM('Detalle SKU'!$F$5:$F$582)</x:f>
        <x:v>0.5984910050207239</x:v>
      </x:c>
      <x:c r="H10" s="128"/>
      <x:c r="I10" s="147" t="n">
        <x:f>SUM('Detalle SKU'!$U$5:$U$582)</x:f>
        <x:v>4523696</x:v>
      </x:c>
      <x:c r="J10" s="141"/>
      <x:c r="K10" s="148" t="n">
        <x:f>COUNTIFS('Detalle SKU'!$G$5:$G$582,"&gt;0",'Detalle SKU'!$Q$5:$Q$582,0)</x:f>
        <x:v>292</x:v>
      </x:c>
      <x:c r="L10" s="141"/>
    </x:row>
    <x:row r="11">
      <x:c r="A11" s="115"/>
      <x:c r="B11" s="116"/>
      <x:c r="C11" s="115"/>
      <x:c r="D11" s="116"/>
      <x:c r="E11" s="115"/>
      <x:c r="F11" s="116"/>
      <x:c r="G11" s="129"/>
      <x:c r="H11" s="130"/>
      <x:c r="I11" s="142"/>
      <x:c r="J11" s="143"/>
      <x:c r="K11" s="142"/>
      <x:c r="L11" s="143"/>
    </x:row>
    <x:row r="13">
      <x:c r="A13" s="167" t="str">
        <x:v>Lectura ejecutiva: 52,1% de las unidades y 59,8% del costo muestran absorción comercial aparente. 150 SKU (26,0%) no registran una sola venta posterior y representan $2,45 millones del costo original. Hay 377 SKU con stock positivo; 292 no vendieron en los últimos 365 días. La buena noticia: 258 SKU sí absorbieron el 100% de la compra y 97 se volvieron a comprar, señal de demanda real en un núcleo del portafolio.</x:v>
      </x:c>
      <x:c r="B13" s="168"/>
      <x:c r="C13" s="168"/>
      <x:c r="D13" s="168"/>
      <x:c r="E13" s="168"/>
      <x:c r="F13" s="168"/>
      <x:c r="G13" s="168"/>
      <x:c r="H13" s="168"/>
      <x:c r="I13" s="168"/>
      <x:c r="J13" s="168"/>
      <x:c r="K13" s="168"/>
      <x:c r="L13" s="169"/>
    </x:row>
    <x:row r="14">
      <x:c r="A14" s="170"/>
      <x:c r="B14" s="171"/>
      <x:c r="C14" s="171"/>
      <x:c r="D14" s="171"/>
      <x:c r="E14" s="171"/>
      <x:c r="F14" s="171"/>
      <x:c r="G14" s="171"/>
      <x:c r="H14" s="171"/>
      <x:c r="I14" s="171"/>
      <x:c r="J14" s="171"/>
      <x:c r="K14" s="171"/>
      <x:c r="L14" s="172"/>
    </x:row>
    <x:row r="15">
      <x:c r="A15" s="173"/>
      <x:c r="B15" s="174"/>
      <x:c r="C15" s="174"/>
      <x:c r="D15" s="174"/>
      <x:c r="E15" s="174"/>
      <x:c r="F15" s="174"/>
      <x:c r="G15" s="174"/>
      <x:c r="H15" s="174"/>
      <x:c r="I15" s="174"/>
      <x:c r="J15" s="174"/>
      <x:c r="K15" s="174"/>
      <x:c r="L15" s="175"/>
    </x:row>
    <x:row r="37">
      <x:c r="A37" s="15" t="str">
        <x:v>Banda</x:v>
      </x:c>
      <x:c r="B37" s="16" t="str">
        <x:v>Costo factura</x:v>
      </x:c>
      <x:c r="C37" s="17" t="str">
        <x:v>SKU</x:v>
      </x:c>
      <x:c r="E37" s="15" t="str">
        <x:v>Mes</x:v>
      </x:c>
      <x:c r="F37" s="17" t="str">
        <x:v>Ventas</x:v>
      </x:c>
    </x:row>
    <x:row r="38">
      <x:c r="A38" t="str">
        <x:v>0%</x:v>
      </x:c>
      <x:c r="B38" s="176" t="n">
        <x:f>SUMIF('Detalle SKU'!$AC$5:$AC$582,A38,'Detalle SKU'!$F$5:$F$582)</x:f>
        <x:v>2451697</x:v>
      </x:c>
      <x:c r="C38" t="n">
        <x:f>COUNTIF('Detalle SKU'!$AC$5:$AC$582,A38)</x:f>
        <x:v>150</x:v>
      </x:c>
      <x:c r="E38" t="str">
        <x:v>jul de 2024</x:v>
      </x:c>
      <x:c r="F38" s="176" t="n">
        <x:f>'Tendencia mensual'!B5</x:f>
        <x:v>540000</x:v>
      </x:c>
    </x:row>
    <x:row r="39">
      <x:c r="A39" t="str">
        <x:v>1-49%</x:v>
      </x:c>
      <x:c r="B39" s="176" t="n">
        <x:f>SUMIF('Detalle SKU'!$AC$5:$AC$582,A39,'Detalle SKU'!$F$5:$F$582)</x:f>
        <x:v>1694666</x:v>
      </x:c>
      <x:c r="C39" t="n">
        <x:f>COUNTIF('Detalle SKU'!$AC$5:$AC$582,A39)</x:f>
        <x:v>90</x:v>
      </x:c>
      <x:c r="E39" t="str">
        <x:v>ago de 2024</x:v>
      </x:c>
      <x:c r="F39" s="176" t="n">
        <x:f>'Tendencia mensual'!B6</x:f>
        <x:v>3683400</x:v>
      </x:c>
    </x:row>
    <x:row r="40">
      <x:c r="A40" t="str">
        <x:v>50-79%</x:v>
      </x:c>
      <x:c r="B40" s="176" t="n">
        <x:f>SUMIF('Detalle SKU'!$AC$5:$AC$582,A40,'Detalle SKU'!$F$5:$F$582)</x:f>
        <x:v>1693426</x:v>
      </x:c>
      <x:c r="C40" t="n">
        <x:f>COUNTIF('Detalle SKU'!$AC$5:$AC$582,A40)</x:f>
        <x:v>63</x:v>
      </x:c>
      <x:c r="E40" t="str">
        <x:v>sept de 2024</x:v>
      </x:c>
      <x:c r="F40" s="176" t="n">
        <x:f>'Tendencia mensual'!B7</x:f>
        <x:v>3164600</x:v>
      </x:c>
    </x:row>
    <x:row r="41">
      <x:c r="A41" t="str">
        <x:v>80-99%</x:v>
      </x:c>
      <x:c r="B41" s="176" t="n">
        <x:f>SUMIF('Detalle SKU'!$AC$5:$AC$582,A41,'Detalle SKU'!$F$5:$F$582)</x:f>
        <x:v>331685</x:v>
      </x:c>
      <x:c r="C41" t="n">
        <x:f>COUNTIF('Detalle SKU'!$AC$5:$AC$582,A41)</x:f>
        <x:v>17</x:v>
      </x:c>
      <x:c r="E41" t="str">
        <x:v>oct de 2024</x:v>
      </x:c>
      <x:c r="F41" s="176" t="n">
        <x:f>'Tendencia mensual'!B8</x:f>
        <x:v>2571200</x:v>
      </x:c>
    </x:row>
    <x:row r="42">
      <x:c r="A42" t="str">
        <x:v>100%</x:v>
      </x:c>
      <x:c r="B42" s="176" t="n">
        <x:f>SUMIF('Detalle SKU'!$AC$5:$AC$582,A42,'Detalle SKU'!$F$5:$F$582)</x:f>
        <x:v>5096423</x:v>
      </x:c>
      <x:c r="C42" t="n">
        <x:f>COUNTIF('Detalle SKU'!$AC$5:$AC$582,A42)</x:f>
        <x:v>258</x:v>
      </x:c>
      <x:c r="E42" t="str">
        <x:v>nov de 2024</x:v>
      </x:c>
      <x:c r="F42" s="176" t="n">
        <x:f>'Tendencia mensual'!B9</x:f>
        <x:v>2523200</x:v>
      </x:c>
    </x:row>
    <x:row r="43">
      <x:c r="E43" t="str">
        <x:v>dic de 2024</x:v>
      </x:c>
      <x:c r="F43" s="176" t="n">
        <x:f>'Tendencia mensual'!B10</x:f>
        <x:v>2096200</x:v>
      </x:c>
    </x:row>
    <x:row r="44">
      <x:c r="E44" t="str">
        <x:v>ene de 2025</x:v>
      </x:c>
      <x:c r="F44" s="176" t="n">
        <x:f>'Tendencia mensual'!B11</x:f>
        <x:v>2282800</x:v>
      </x:c>
    </x:row>
    <x:row r="45">
      <x:c r="E45" t="str">
        <x:v>feb de 2025</x:v>
      </x:c>
      <x:c r="F45" s="176" t="n">
        <x:f>'Tendencia mensual'!B12</x:f>
        <x:v>1387900</x:v>
      </x:c>
    </x:row>
    <x:row r="46">
      <x:c r="E46" t="str">
        <x:v>mar de 2025</x:v>
      </x:c>
      <x:c r="F46" s="176" t="n">
        <x:f>'Tendencia mensual'!B13</x:f>
        <x:v>2038000</x:v>
      </x:c>
    </x:row>
    <x:row r="47">
      <x:c r="E47" t="str">
        <x:v>abr de 2025</x:v>
      </x:c>
      <x:c r="F47" s="176" t="n">
        <x:f>'Tendencia mensual'!B14</x:f>
        <x:v>1926700</x:v>
      </x:c>
    </x:row>
    <x:row r="48">
      <x:c r="E48" t="str">
        <x:v>may de 2025</x:v>
      </x:c>
      <x:c r="F48" s="176" t="n">
        <x:f>'Tendencia mensual'!B15</x:f>
        <x:v>1940600</x:v>
      </x:c>
    </x:row>
    <x:row r="49">
      <x:c r="E49" t="str">
        <x:v>jun de 2025</x:v>
      </x:c>
      <x:c r="F49" s="176" t="n">
        <x:f>'Tendencia mensual'!B16</x:f>
        <x:v>2174300</x:v>
      </x:c>
    </x:row>
    <x:row r="50">
      <x:c r="E50" t="str">
        <x:v>jul de 2025</x:v>
      </x:c>
      <x:c r="F50" s="176" t="n">
        <x:f>'Tendencia mensual'!B17</x:f>
        <x:v>1895100</x:v>
      </x:c>
    </x:row>
    <x:row r="51">
      <x:c r="E51" t="str">
        <x:v>ago de 2025</x:v>
      </x:c>
      <x:c r="F51" s="176" t="n">
        <x:f>'Tendencia mensual'!B18</x:f>
        <x:v>1267600</x:v>
      </x:c>
    </x:row>
    <x:row r="52">
      <x:c r="E52" t="str">
        <x:v>sept de 2025</x:v>
      </x:c>
      <x:c r="F52" s="176" t="n">
        <x:f>'Tendencia mensual'!B19</x:f>
        <x:v>1110700</x:v>
      </x:c>
    </x:row>
    <x:row r="53">
      <x:c r="E53" t="str">
        <x:v>oct de 2025</x:v>
      </x:c>
      <x:c r="F53" s="176" t="n">
        <x:f>'Tendencia mensual'!B20</x:f>
        <x:v>717700</x:v>
      </x:c>
    </x:row>
    <x:row r="54">
      <x:c r="E54" t="str">
        <x:v>nov de 2025</x:v>
      </x:c>
      <x:c r="F54" s="176" t="n">
        <x:f>'Tendencia mensual'!B21</x:f>
        <x:v>737900</x:v>
      </x:c>
    </x:row>
    <x:row r="55">
      <x:c r="E55" t="str">
        <x:v>dic de 2025</x:v>
      </x:c>
      <x:c r="F55" s="176" t="n">
        <x:f>'Tendencia mensual'!B22</x:f>
        <x:v>1539100</x:v>
      </x:c>
    </x:row>
    <x:row r="56">
      <x:c r="E56" t="str">
        <x:v>ene de 2026</x:v>
      </x:c>
      <x:c r="F56" s="176" t="n">
        <x:f>'Tendencia mensual'!B23</x:f>
        <x:v>1422900</x:v>
      </x:c>
    </x:row>
    <x:row r="57">
      <x:c r="E57" t="str">
        <x:v>feb de 2026</x:v>
      </x:c>
      <x:c r="F57" s="176" t="n">
        <x:f>'Tendencia mensual'!B24</x:f>
        <x:v>1059100</x:v>
      </x:c>
    </x:row>
    <x:row r="58">
      <x:c r="E58" t="str">
        <x:v>mar de 2026</x:v>
      </x:c>
      <x:c r="F58" s="176" t="n">
        <x:f>'Tendencia mensual'!B25</x:f>
        <x:v>995300</x:v>
      </x:c>
    </x:row>
    <x:row r="59">
      <x:c r="E59" t="str">
        <x:v>abr de 2026</x:v>
      </x:c>
      <x:c r="F59" s="176" t="n">
        <x:f>'Tendencia mensual'!B26</x:f>
        <x:v>1085000</x:v>
      </x:c>
    </x:row>
    <x:row r="60">
      <x:c r="E60" t="str">
        <x:v>may de 2026</x:v>
      </x:c>
      <x:c r="F60" s="176" t="n">
        <x:f>'Tendencia mensual'!B27</x:f>
        <x:v>854200</x:v>
      </x:c>
    </x:row>
    <x:row r="61">
      <x:c r="E61" t="str">
        <x:v>jun de 2026</x:v>
      </x:c>
      <x:c r="F61" s="176" t="n">
        <x:f>'Tendencia mensual'!B28</x:f>
        <x:v>744400</x:v>
      </x:c>
    </x:row>
    <x:row r="62">
      <x:c r="E62" t="str">
        <x:v>jul de 2026</x:v>
      </x:c>
      <x:c r="F62" s="176" t="n">
        <x:f>'Tendencia mensual'!B29</x:f>
        <x:v>788800</x:v>
      </x:c>
    </x:row>
    <x:row r="63">
      <x:c r="E63" t="str">
        <x:v>ago de 2026</x:v>
      </x:c>
      <x:c r="F63" s="176" t="n">
        <x:f>'Tendencia mensual'!B30</x:f>
        <x:v>854100</x:v>
      </x:c>
    </x:row>
    <x:row r="64">
      <x:c r="E64" t="str">
        <x:v>sept de 2026</x:v>
      </x:c>
      <x:c r="F64" s="176" t="n">
        <x:f>'Tendencia mensual'!B31</x:f>
        <x:v>65100</x:v>
      </x:c>
    </x:row>
  </x:sheetData>
  <x:mergeCells>
    <x:mergeCell ref="A1:L1"/>
    <x:mergeCell ref="A2:L2"/>
    <x:mergeCell ref="E3:F3"/>
    <x:mergeCell ref="I3:J3"/>
    <x:mergeCell ref="A5:L7"/>
    <x:mergeCell ref="A9:B9"/>
    <x:mergeCell ref="A10:B11"/>
    <x:mergeCell ref="C9:D9"/>
    <x:mergeCell ref="C10:D11"/>
    <x:mergeCell ref="E9:F9"/>
    <x:mergeCell ref="E10:F11"/>
    <x:mergeCell ref="G9:H9"/>
    <x:mergeCell ref="G10:H11"/>
    <x:mergeCell ref="I9:J9"/>
    <x:mergeCell ref="I10:J11"/>
    <x:mergeCell ref="K9:L9"/>
    <x:mergeCell ref="K10:L11"/>
    <x:mergeCell ref="A13:L15"/>
  </x:mergeCells>
  <x:pageMargins left="0.7" right="0.7" top="0.75" bottom="0.75" header="0.3" footer="0.3"/>
  <x:drawing xmlns:r="http://schemas.openxmlformats.org/officeDocument/2006/relationships" r:id="R7c6b97e081a14298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42" hidden="0" customWidth="1"/>
    <x:col min="3" max="3" width="10" hidden="0" customWidth="1"/>
    <x:col min="4" max="4" width="11" hidden="0" customWidth="1"/>
    <x:col min="5" max="5" width="14" hidden="0" customWidth="1"/>
    <x:col min="6" max="6" width="14" hidden="0" customWidth="1"/>
    <x:col min="7" max="7" width="11" hidden="0" customWidth="1"/>
    <x:col min="8" max="8" width="16" hidden="0" customWidth="1"/>
    <x:col min="9" max="9" width="13" hidden="0" customWidth="1"/>
    <x:col min="10" max="10" width="14" hidden="0" customWidth="1"/>
    <x:col min="11" max="11" width="11" hidden="0" customWidth="1"/>
    <x:col min="12" max="12" width="14" hidden="0" customWidth="1"/>
    <x:col min="13" max="13" width="14" hidden="0" customWidth="1"/>
    <x:col min="14" max="14" width="11" hidden="0" customWidth="1"/>
    <x:col min="15" max="15" width="10" hidden="0" customWidth="1"/>
    <x:col min="16" max="16" width="10" hidden="0" customWidth="1"/>
    <x:col min="17" max="17" width="10" hidden="0" customWidth="1"/>
    <x:col min="18" max="18" width="12" hidden="0" customWidth="1"/>
    <x:col min="19" max="19" width="11" hidden="0" customWidth="1"/>
    <x:col min="20" max="20" width="14" hidden="0" customWidth="1"/>
    <x:col min="21" max="21" width="14" hidden="0" customWidth="1"/>
    <x:col min="22" max="22" width="14" hidden="0" customWidth="1"/>
    <x:col min="23" max="23" width="12" hidden="0" customWidth="1"/>
    <x:col min="24" max="24" width="14" hidden="0" customWidth="1"/>
    <x:col min="25" max="25" width="14" hidden="0" customWidth="1"/>
    <x:col min="26" max="26" width="15" hidden="0" customWidth="1"/>
    <x:col min="27" max="27" width="15" hidden="0" customWidth="1"/>
    <x:col min="28" max="28" width="11" hidden="0" customWidth="1"/>
    <x:col min="29" max="29" width="10" hidden="0" customWidth="1"/>
    <x:col min="30" max="30" width="27" hidden="0" customWidth="1"/>
  </x:cols>
  <x:sheetData>
    <x:row r="1" ht="32" customHeight="1">
      <x:c r="A1" s="3" t="str">
        <x:v>Auditoría por SKU · Factura 13 / S18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</x:row>
    <x:row r="2" ht="24" customHeight="1">
      <x:c r="A2" s="6" t="str">
        <x:v>578 SKU únicos · 580 líneas · Fórmulas visibles para sell-through, residual y clasificación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  <x:c r="V2" s="6"/>
      <x:c r="W2" s="6"/>
      <x:c r="X2" s="6"/>
      <x:c r="Y2" s="6"/>
      <x:c r="Z2" s="6"/>
      <x:c r="AA2" s="6"/>
      <x:c r="AB2" s="6"/>
      <x:c r="AC2" s="6"/>
      <x:c r="AD2" s="6"/>
    </x:row>
    <x:row r="4" ht="32" customHeight="1">
      <x:c r="A4" s="15" t="str">
        <x:v>SKU</x:v>
      </x:c>
      <x:c r="B4" s="16" t="str">
        <x:v>Producto</x:v>
      </x:c>
      <x:c r="C4" s="16" t="str">
        <x:v>Líneas factura</x:v>
      </x:c>
      <x:c r="D4" s="16" t="str">
        <x:v>Unid. compradas</x:v>
      </x:c>
      <x:c r="E4" s="16" t="str">
        <x:v>Costo unit. factura</x:v>
      </x:c>
      <x:c r="F4" s="16" t="str">
        <x:v>Costo factura</x:v>
      </x:c>
      <x:c r="G4" s="16" t="str">
        <x:v>Stock actual</x:v>
      </x:c>
      <x:c r="H4" s="16" t="str">
        <x:v>Valor stock a costo factura</x:v>
      </x:c>
      <x:c r="I4" s="16" t="str">
        <x:v>Unid. vendidas desde</x:v>
      </x:c>
      <x:c r="J4" s="16" t="str">
        <x:v>Ventas desde</x:v>
      </x:c>
      <x:c r="K4" s="16" t="str">
        <x:v>Facturas venta</x:v>
      </x:c>
      <x:c r="L4" s="16" t="str">
        <x:v>Primera venta</x:v>
      </x:c>
      <x:c r="M4" s="16" t="str">
        <x:v>Última venta</x:v>
      </x:c>
      <x:c r="N4" s="16" t="str">
        <x:v>Días sin venta</x:v>
      </x:c>
      <x:c r="O4" s="16" t="str">
        <x:v>Unid. 30d</x:v>
      </x:c>
      <x:c r="P4" s="16" t="str">
        <x:v>Unid. 90d</x:v>
      </x:c>
      <x:c r="Q4" s="16" t="str">
        <x:v>Unid. 365d</x:v>
      </x:c>
      <x:c r="R4" s="16" t="str">
        <x:v>Absorción aparente</x:v>
      </x:c>
      <x:c r="S4" s="16" t="str">
        <x:v>Sell-through</x:v>
      </x:c>
      <x:c r="T4" s="16" t="str">
        <x:v>Remanente mínimo unid.</x:v>
      </x:c>
      <x:c r="U4" s="16" t="str">
        <x:v>Remanente mínimo costo</x:v>
      </x:c>
      <x:c r="V4" s="16" t="str">
        <x:v>Compras posteriores unid.</x:v>
      </x:c>
      <x:c r="W4" s="16" t="str">
        <x:v>Docs compra posteriores</x:v>
      </x:c>
      <x:c r="X4" s="16" t="str">
        <x:v>Última compra</x:v>
      </x:c>
      <x:c r="Y4" s="16" t="str">
        <x:v>Precio venta actual</x:v>
      </x:c>
      <x:c r="Z4" s="16" t="str">
        <x:v>Ingreso cohorte estimado</x:v>
      </x:c>
      <x:c r="AA4" s="16" t="str">
        <x:v>Utilidad bruta estimada</x:v>
      </x:c>
      <x:c r="AB4" s="16" t="str">
        <x:v>Margen estimado</x:v>
      </x:c>
      <x:c r="AC4" s="16" t="str">
        <x:v>Banda</x:v>
      </x:c>
      <x:c r="AD4" s="17" t="str">
        <x:v>Estado auditoría</x:v>
      </x:c>
    </x:row>
    <x:row r="5">
      <x:c r="A5" s="28" t="str">
        <x:v>ARB - 0411694</x:v>
      </x:c>
      <x:c r="B5" s="52" t="str">
        <x:v>ARBOL LEVA ECO / SPLENDON / AC 100 SLEEK / C90 SYR</x:v>
      </x:c>
      <x:c r="C5" s="29" t="n">
        <x:v>1</x:v>
      </x:c>
      <x:c r="D5" s="37" t="n">
        <x:v>2</x:v>
      </x:c>
      <x:c r="E5" s="43" t="n">
        <x:v>223000</x:v>
      </x:c>
      <x:c r="F5" s="43" t="n">
        <x:v>446000</x:v>
      </x:c>
      <x:c r="G5" s="40" t="n">
        <x:v>1</x:v>
      </x:c>
      <x:c r="H5" s="43" t="n">
        <x:f>MAX(G5,0)*E5</x:f>
        <x:v>223000</x:v>
      </x:c>
      <x:c r="I5" s="37" t="n">
        <x:v>1</x:v>
      </x:c>
      <x:c r="J5" s="43" t="n">
        <x:v>45000</x:v>
      </x:c>
      <x:c r="K5" s="29" t="n">
        <x:v>1</x:v>
      </x:c>
      <x:c r="L5" s="49" t="n">
        <x:v>45811.580416666664</x:v>
      </x:c>
      <x:c r="M5" s="49" t="n">
        <x:v>45811.580416666664</x:v>
      </x:c>
      <x:c r="N5" s="29" t="n">
        <x:f>IF(M5="","",MAX(0,'Resumen'!$B$3-M5))</x:f>
        <x:v>455.41958333333605</x:v>
      </x:c>
      <x:c r="O5" s="37" t="n">
        <x:v>0</x:v>
      </x:c>
      <x:c r="P5" s="37" t="n">
        <x:v>0</x:v>
      </x:c>
      <x:c r="Q5" s="37" t="n">
        <x:v>0</x:v>
      </x:c>
      <x:c r="R5" s="37" t="n">
        <x:f>MIN(D5,I5)</x:f>
        <x:v>1</x:v>
      </x:c>
      <x:c r="S5" s="46" t="n">
        <x:f>IFERROR(R5/D5,0)</x:f>
        <x:v>0.5</x:v>
      </x:c>
      <x:c r="T5" s="37" t="n">
        <x:f>MIN(MAX(G5,0),MAX(D5-I5,0))</x:f>
        <x:v>1</x:v>
      </x:c>
      <x:c r="U5" s="43" t="n">
        <x:f>T5*E5</x:f>
        <x:v>223000</x:v>
      </x:c>
      <x:c r="V5" s="37" t="n">
        <x:v>0</x:v>
      </x:c>
      <x:c r="W5" s="29" t="n">
        <x:v>0</x:v>
      </x:c>
      <x:c r="X5" s="49"/>
      <x:c r="Y5" s="43" t="n">
        <x:v>372000</x:v>
      </x:c>
      <x:c r="Z5" s="43" t="n">
        <x:f>IF(I5&gt;0,R5*(J5/I5),0)</x:f>
        <x:v>45000</x:v>
      </x:c>
      <x:c r="AA5" s="43" t="n">
        <x:f>Z5-(R5*E5)</x:f>
        <x:v>-178000</x:v>
      </x:c>
      <x:c r="AB5" s="46" t="n">
        <x:f>IFERROR(AA5/Z5,0)</x:f>
        <x:v>-3.9555555555555557</x:v>
      </x:c>
      <x:c r="AC5" s="29" t="str">
        <x:f>IF(S5=0,"0%",IF(S5&lt;0.5,"1-49%",IF(S5&lt;0.8,"50-79%",IF(S5&lt;1,"80-99%","100%"))))</x:f>
        <x:v>50-79%</x:v>
      </x:c>
      <x:c r="AD5" s="30" t="str">
        <x:f>IF(G5&lt;0,"Stock negativo",IF(G5&lt;=0,"Sin stock actual",IF(I5&lt;=0,"Sin ventas desde compra",IF(Q5&lt;=0,"Con stock, sin ventas 365d",IF(S5&lt;0.5,"Rotación baja",IF(S5&lt;1,"Rotación media","Compra absorbida; stock repuesto"))))))</x:f>
        <x:v>Con stock, sin ventas 365d</x:v>
      </x:c>
    </x:row>
    <x:row r="6">
      <x:c r="A6" s="31" t="str">
        <x:v>MOTS1297</x:v>
      </x:c>
      <x:c r="B6" s="53" t="str">
        <x:v>ACEITE CASTROS 20 W 50</x:v>
      </x:c>
      <x:c r="C6" s="32" t="n">
        <x:v>1</x:v>
      </x:c>
      <x:c r="D6" s="38" t="n">
        <x:v>15</x:v>
      </x:c>
      <x:c r="E6" s="44" t="n">
        <x:v>21046</x:v>
      </x:c>
      <x:c r="F6" s="44" t="n">
        <x:v>315690</x:v>
      </x:c>
      <x:c r="G6" s="41" t="n">
        <x:v>133</x:v>
      </x:c>
      <x:c r="H6" s="44" t="n">
        <x:f>MAX(G6,0)*E6</x:f>
        <x:v>2799118</x:v>
      </x:c>
      <x:c r="I6" s="38" t="n">
        <x:v>1120</x:v>
      </x:c>
      <x:c r="J6" s="44" t="n">
        <x:v>30229400</x:v>
      </x:c>
      <x:c r="K6" s="32" t="n">
        <x:v>922</x:v>
      </x:c>
      <x:c r="L6" s="50" t="n">
        <x:v>45501.83064814815</x:v>
      </x:c>
      <x:c r="M6" s="50" t="n">
        <x:v>46267.68533564815</x:v>
      </x:c>
      <x:c r="N6" s="32" t="n">
        <x:f>IF(M6="","",MAX(0,'Resumen'!$B$3-M6))</x:f>
        <x:v>0</x:v>
      </x:c>
      <x:c r="O6" s="38" t="n">
        <x:v>26</x:v>
      </x:c>
      <x:c r="P6" s="38" t="n">
        <x:v>73</x:v>
      </x:c>
      <x:c r="Q6" s="38" t="n">
        <x:v>375</x:v>
      </x:c>
      <x:c r="R6" s="38" t="n">
        <x:f>MIN(D6,I6)</x:f>
        <x:v>15</x:v>
      </x:c>
      <x:c r="S6" s="47" t="n">
        <x:f>IFERROR(R6/D6,0)</x:f>
        <x:v>1</x:v>
      </x:c>
      <x:c r="T6" s="38" t="n">
        <x:f>MIN(MAX(G6,0),MAX(D6-I6,0))</x:f>
        <x:v>0</x:v>
      </x:c>
      <x:c r="U6" s="44" t="n">
        <x:f>T6*E6</x:f>
        <x:v>0</x:v>
      </x:c>
      <x:c r="V6" s="38" t="n">
        <x:v>1240</x:v>
      </x:c>
      <x:c r="W6" s="32" t="n">
        <x:v>78</x:v>
      </x:c>
      <x:c r="X6" s="50" t="n">
        <x:v>46232</x:v>
      </x:c>
      <x:c r="Y6" s="44" t="n">
        <x:v>29000</x:v>
      </x:c>
      <x:c r="Z6" s="44" t="n">
        <x:f>IF(I6&gt;0,R6*(J6/I6),0)</x:f>
        <x:v>404858.0357142857</x:v>
      </x:c>
      <x:c r="AA6" s="44" t="n">
        <x:f>Z6-(R6*E6)</x:f>
        <x:v>89168.03571428568</x:v>
      </x:c>
      <x:c r="AB6" s="47" t="n">
        <x:f>IFERROR(AA6/Z6,0)</x:f>
        <x:v>0.22024519176695528</x:v>
      </x:c>
      <x:c r="AC6" s="32" t="str">
        <x:f>IF(S6=0,"0%",IF(S6&lt;0.5,"1-49%",IF(S6&lt;0.8,"50-79%",IF(S6&lt;1,"80-99%","100%"))))</x:f>
        <x:v>100%</x:v>
      </x:c>
      <x:c r="AD6" s="33" t="str">
        <x:f>IF(G6&lt;0,"Stock negativo",IF(G6&lt;=0,"Sin stock actual",IF(I6&lt;=0,"Sin ventas desde compra",IF(Q6&lt;=0,"Con stock, sin ventas 365d",IF(S6&lt;0.5,"Rotación baja",IF(S6&lt;1,"Rotación media","Compra absorbida; stock repuesto"))))))</x:f>
        <x:v>Compra absorbida; stock repuesto</x:v>
      </x:c>
    </x:row>
    <x:row r="7">
      <x:c r="A7" s="31" t="str">
        <x:v>DIR - 017</x:v>
      </x:c>
      <x:c r="B7" s="53" t="str">
        <x:v>DIRECCIONAL BWS DEL HUMO UND</x:v>
      </x:c>
      <x:c r="C7" s="32" t="n">
        <x:v>1</x:v>
      </x:c>
      <x:c r="D7" s="38" t="n">
        <x:v>3</x:v>
      </x:c>
      <x:c r="E7" s="44" t="n">
        <x:v>78000</x:v>
      </x:c>
      <x:c r="F7" s="44" t="n">
        <x:v>234000</x:v>
      </x:c>
      <x:c r="G7" s="41" t="n">
        <x:v>2</x:v>
      </x:c>
      <x:c r="H7" s="44" t="n">
        <x:f>MAX(G7,0)*E7</x:f>
        <x:v>156000</x:v>
      </x:c>
      <x:c r="I7" s="38" t="n">
        <x:v>3</x:v>
      </x:c>
      <x:c r="J7" s="44" t="n">
        <x:v>39000</x:v>
      </x:c>
      <x:c r="K7" s="32" t="n">
        <x:v>3</x:v>
      </x:c>
      <x:c r="L7" s="50" t="n">
        <x:v>45519.8246875</x:v>
      </x:c>
      <x:c r="M7" s="50" t="n">
        <x:v>45652.72491898148</x:v>
      </x:c>
      <x:c r="N7" s="32" t="n">
        <x:f>IF(M7="","",MAX(0,'Resumen'!$B$3-M7))</x:f>
        <x:v>614.2750810185171</x:v>
      </x:c>
      <x:c r="O7" s="38" t="n">
        <x:v>0</x:v>
      </x:c>
      <x:c r="P7" s="38" t="n">
        <x:v>0</x:v>
      </x:c>
      <x:c r="Q7" s="38" t="n">
        <x:v>0</x:v>
      </x:c>
      <x:c r="R7" s="38" t="n">
        <x:f>MIN(D7,I7)</x:f>
        <x:v>3</x:v>
      </x:c>
      <x:c r="S7" s="47" t="n">
        <x:f>IFERROR(R7/D7,0)</x:f>
        <x:v>1</x:v>
      </x:c>
      <x:c r="T7" s="38" t="n">
        <x:f>MIN(MAX(G7,0),MAX(D7-I7,0))</x:f>
        <x:v>0</x:v>
      </x:c>
      <x:c r="U7" s="44" t="n">
        <x:f>T7*E7</x:f>
        <x:v>0</x:v>
      </x:c>
      <x:c r="V7" s="38" t="n">
        <x:v>2</x:v>
      </x:c>
      <x:c r="W7" s="32" t="n">
        <x:v>1</x:v>
      </x:c>
      <x:c r="X7" s="50" t="n">
        <x:v>45505</x:v>
      </x:c>
      <x:c r="Y7" s="44" t="n">
        <x:v>13000</x:v>
      </x:c>
      <x:c r="Z7" s="44" t="n">
        <x:f>IF(I7&gt;0,R7*(J7/I7),0)</x:f>
        <x:v>39000</x:v>
      </x:c>
      <x:c r="AA7" s="44" t="n">
        <x:f>Z7-(R7*E7)</x:f>
        <x:v>-195000</x:v>
      </x:c>
      <x:c r="AB7" s="47" t="n">
        <x:f>IFERROR(AA7/Z7,0)</x:f>
        <x:v>-5</x:v>
      </x:c>
      <x:c r="AC7" s="32" t="str">
        <x:f>IF(S7=0,"0%",IF(S7&lt;0.5,"1-49%",IF(S7&lt;0.8,"50-79%",IF(S7&lt;1,"80-99%","100%"))))</x:f>
        <x:v>100%</x:v>
      </x:c>
      <x:c r="AD7" s="33" t="str">
        <x:f>IF(G7&lt;0,"Stock negativo",IF(G7&lt;=0,"Sin stock actual",IF(I7&lt;=0,"Sin ventas desde compra",IF(Q7&lt;=0,"Con stock, sin ventas 365d",IF(S7&lt;0.5,"Rotación baja",IF(S7&lt;1,"Rotación media","Compra absorbida; stock repuesto"))))))</x:f>
        <x:v>Con stock, sin ventas 365d</x:v>
      </x:c>
    </x:row>
    <x:row r="8">
      <x:c r="A8" s="31" t="str">
        <x:v>MOTS1097</x:v>
      </x:c>
      <x:c r="B8" s="53" t="str">
        <x:v>RETEN 16-28-7</x:v>
      </x:c>
      <x:c r="C8" s="32" t="n">
        <x:v>1</x:v>
      </x:c>
      <x:c r="D8" s="38" t="n">
        <x:v>10</x:v>
      </x:c>
      <x:c r="E8" s="44" t="n">
        <x:v>15000</x:v>
      </x:c>
      <x:c r="F8" s="44" t="n">
        <x:v>150000</x:v>
      </x:c>
      <x:c r="G8" s="41" t="n">
        <x:v>10</x:v>
      </x:c>
      <x:c r="H8" s="44" t="n">
        <x:f>MAX(G8,0)*E8</x:f>
        <x:v>150000</x:v>
      </x:c>
      <x:c r="I8" s="38" t="n">
        <x:v>0</x:v>
      </x:c>
      <x:c r="J8" s="44" t="n">
        <x:v>0</x:v>
      </x:c>
      <x:c r="K8" s="32" t="n">
        <x:v>0</x:v>
      </x:c>
      <x:c r="L8" s="50"/>
      <x:c r="M8" s="50"/>
      <x:c r="N8" s="32" t="str">
        <x:f>IF(M8="","",MAX(0,'Resumen'!$B$3-M8))</x:f>
      </x:c>
      <x:c r="O8" s="38" t="n">
        <x:v>0</x:v>
      </x:c>
      <x:c r="P8" s="38" t="n">
        <x:v>0</x:v>
      </x:c>
      <x:c r="Q8" s="38" t="n">
        <x:v>0</x:v>
      </x:c>
      <x:c r="R8" s="38" t="n">
        <x:f>MIN(D8,I8)</x:f>
        <x:v>0</x:v>
      </x:c>
      <x:c r="S8" s="47" t="n">
        <x:f>IFERROR(R8/D8,0)</x:f>
        <x:v>0</x:v>
      </x:c>
      <x:c r="T8" s="38" t="n">
        <x:f>MIN(MAX(G8,0),MAX(D8-I8,0))</x:f>
        <x:v>10</x:v>
      </x:c>
      <x:c r="U8" s="44" t="n">
        <x:f>T8*E8</x:f>
        <x:v>150000</x:v>
      </x:c>
      <x:c r="V8" s="38" t="n">
        <x:v>0</x:v>
      </x:c>
      <x:c r="W8" s="32" t="n">
        <x:v>0</x:v>
      </x:c>
      <x:c r="X8" s="50"/>
      <x:c r="Y8" s="44" t="n">
        <x:v>25000</x:v>
      </x:c>
      <x:c r="Z8" s="44" t="n">
        <x:f>IF(I8&gt;0,R8*(J8/I8),0)</x:f>
        <x:v>0</x:v>
      </x:c>
      <x:c r="AA8" s="44" t="n">
        <x:f>Z8-(R8*E8)</x:f>
        <x:v>0</x:v>
      </x:c>
      <x:c r="AB8" s="47" t="n">
        <x:f>IFERROR(AA8/Z8,0)</x:f>
        <x:v>0</x:v>
      </x:c>
      <x:c r="AC8" s="32" t="str">
        <x:f>IF(S8=0,"0%",IF(S8&lt;0.5,"1-49%",IF(S8&lt;0.8,"50-79%",IF(S8&lt;1,"80-99%","100%"))))</x:f>
        <x:v>0%</x:v>
      </x:c>
      <x:c r="AD8" s="33" t="str">
        <x:f>IF(G8&lt;0,"Stock negativo",IF(G8&lt;=0,"Sin stock actual",IF(I8&lt;=0,"Sin ventas desde compra",IF(Q8&lt;=0,"Con stock, sin ventas 365d",IF(S8&lt;0.5,"Rotación baja",IF(S8&lt;1,"Rotación media","Compra absorbida; stock repuesto"))))))</x:f>
        <x:v>Sin ventas desde compra</x:v>
      </x:c>
    </x:row>
    <x:row r="9">
      <x:c r="A9" s="31" t="str">
        <x:v>BOM - 069</x:v>
      </x:c>
      <x:c r="B9" s="53" t="str">
        <x:v>BOMBILLO BAYHONETA LED</x:v>
      </x:c>
      <x:c r="C9" s="32" t="n">
        <x:v>1</x:v>
      </x:c>
      <x:c r="D9" s="38" t="n">
        <x:v>49</x:v>
      </x:c>
      <x:c r="E9" s="44" t="n">
        <x:v>2500</x:v>
      </x:c>
      <x:c r="F9" s="44" t="n">
        <x:v>122500</x:v>
      </x:c>
      <x:c r="G9" s="41" t="n">
        <x:v>20</x:v>
      </x:c>
      <x:c r="H9" s="44" t="n">
        <x:f>MAX(G9,0)*E9</x:f>
        <x:v>50000</x:v>
      </x:c>
      <x:c r="I9" s="38" t="n">
        <x:v>30</x:v>
      </x:c>
      <x:c r="J9" s="44" t="n">
        <x:v>126900</x:v>
      </x:c>
      <x:c r="K9" s="32" t="n">
        <x:v>29</x:v>
      </x:c>
      <x:c r="L9" s="50" t="n">
        <x:v>45527.85666666667</x:v>
      </x:c>
      <x:c r="M9" s="50" t="n">
        <x:v>45920.60333333333</x:v>
      </x:c>
      <x:c r="N9" s="32" t="n">
        <x:f>IF(M9="","",MAX(0,'Resumen'!$B$3-M9))</x:f>
        <x:v>346.39666666666744</x:v>
      </x:c>
      <x:c r="O9" s="38" t="n">
        <x:v>0</x:v>
      </x:c>
      <x:c r="P9" s="38" t="n">
        <x:v>0</x:v>
      </x:c>
      <x:c r="Q9" s="38" t="n">
        <x:v>1</x:v>
      </x:c>
      <x:c r="R9" s="38" t="n">
        <x:f>MIN(D9,I9)</x:f>
        <x:v>30</x:v>
      </x:c>
      <x:c r="S9" s="47" t="n">
        <x:f>IFERROR(R9/D9,0)</x:f>
        <x:v>0.6122448979591837</x:v>
      </x:c>
      <x:c r="T9" s="38" t="n">
        <x:f>MIN(MAX(G9,0),MAX(D9-I9,0))</x:f>
        <x:v>19</x:v>
      </x:c>
      <x:c r="U9" s="44" t="n">
        <x:f>T9*E9</x:f>
        <x:v>47500</x:v>
      </x:c>
      <x:c r="V9" s="38" t="n">
        <x:v>2</x:v>
      </x:c>
      <x:c r="W9" s="32" t="n">
        <x:v>2</x:v>
      </x:c>
      <x:c r="X9" s="50" t="n">
        <x:v>45897</x:v>
      </x:c>
      <x:c r="Y9" s="44" t="n">
        <x:v>4500</x:v>
      </x:c>
      <x:c r="Z9" s="44" t="n">
        <x:f>IF(I9&gt;0,R9*(J9/I9),0)</x:f>
        <x:v>126900</x:v>
      </x:c>
      <x:c r="AA9" s="44" t="n">
        <x:f>Z9-(R9*E9)</x:f>
        <x:v>51900</x:v>
      </x:c>
      <x:c r="AB9" s="47" t="n">
        <x:f>IFERROR(AA9/Z9,0)</x:f>
        <x:v>0.408983451536643</x:v>
      </x:c>
      <x:c r="AC9" s="32" t="str">
        <x:f>IF(S9=0,"0%",IF(S9&lt;0.5,"1-49%",IF(S9&lt;0.8,"50-79%",IF(S9&lt;1,"80-99%","100%"))))</x:f>
        <x:v>50-79%</x:v>
      </x:c>
      <x:c r="AD9" s="33" t="str">
        <x:f>IF(G9&lt;0,"Stock negativo",IF(G9&lt;=0,"Sin stock actual",IF(I9&lt;=0,"Sin ventas desde compra",IF(Q9&lt;=0,"Con stock, sin ventas 365d",IF(S9&lt;0.5,"Rotación baja",IF(S9&lt;1,"Rotación media","Compra absorbida; stock repuesto"))))))</x:f>
        <x:v>Rotación media</x:v>
      </x:c>
    </x:row>
    <x:row r="10">
      <x:c r="A10" s="31" t="str">
        <x:v>MOTS1302</x:v>
      </x:c>
      <x:c r="B10" s="53" t="str">
        <x:v>KIT EMPAQUE COMPLETO CBF 125 HONDA</x:v>
      </x:c>
      <x:c r="C10" s="32" t="n">
        <x:v>1</x:v>
      </x:c>
      <x:c r="D10" s="38" t="n">
        <x:v>5</x:v>
      </x:c>
      <x:c r="E10" s="44" t="n">
        <x:v>23500</x:v>
      </x:c>
      <x:c r="F10" s="44" t="n">
        <x:v>117500</x:v>
      </x:c>
      <x:c r="G10" s="41" t="n">
        <x:v>5</x:v>
      </x:c>
      <x:c r="H10" s="44" t="n">
        <x:f>MAX(G10,0)*E10</x:f>
        <x:v>117500</x:v>
      </x:c>
      <x:c r="I10" s="38" t="n">
        <x:v>0</x:v>
      </x:c>
      <x:c r="J10" s="44" t="n">
        <x:v>0</x:v>
      </x:c>
      <x:c r="K10" s="32" t="n">
        <x:v>0</x:v>
      </x:c>
      <x:c r="L10" s="50"/>
      <x:c r="M10" s="50"/>
      <x:c r="N10" s="32" t="str">
        <x:f>IF(M10="","",MAX(0,'Resumen'!$B$3-M10))</x:f>
      </x:c>
      <x:c r="O10" s="38" t="n">
        <x:v>0</x:v>
      </x:c>
      <x:c r="P10" s="38" t="n">
        <x:v>0</x:v>
      </x:c>
      <x:c r="Q10" s="38" t="n">
        <x:v>0</x:v>
      </x:c>
      <x:c r="R10" s="38" t="n">
        <x:f>MIN(D10,I10)</x:f>
        <x:v>0</x:v>
      </x:c>
      <x:c r="S10" s="47" t="n">
        <x:f>IFERROR(R10/D10,0)</x:f>
        <x:v>0</x:v>
      </x:c>
      <x:c r="T10" s="38" t="n">
        <x:f>MIN(MAX(G10,0),MAX(D10-I10,0))</x:f>
        <x:v>5</x:v>
      </x:c>
      <x:c r="U10" s="44" t="n">
        <x:f>T10*E10</x:f>
        <x:v>117500</x:v>
      </x:c>
      <x:c r="V10" s="38" t="n">
        <x:v>0</x:v>
      </x:c>
      <x:c r="W10" s="32" t="n">
        <x:v>0</x:v>
      </x:c>
      <x:c r="X10" s="50"/>
      <x:c r="Y10" s="44" t="n">
        <x:v>39500</x:v>
      </x:c>
      <x:c r="Z10" s="44" t="n">
        <x:f>IF(I10&gt;0,R10*(J10/I10),0)</x:f>
        <x:v>0</x:v>
      </x:c>
      <x:c r="AA10" s="44" t="n">
        <x:f>Z10-(R10*E10)</x:f>
        <x:v>0</x:v>
      </x:c>
      <x:c r="AB10" s="47" t="n">
        <x:f>IFERROR(AA10/Z10,0)</x:f>
        <x:v>0</x:v>
      </x:c>
      <x:c r="AC10" s="32" t="str">
        <x:f>IF(S10=0,"0%",IF(S10&lt;0.5,"1-49%",IF(S10&lt;0.8,"50-79%",IF(S10&lt;1,"80-99%","100%"))))</x:f>
        <x:v>0%</x:v>
      </x:c>
      <x:c r="AD10" s="33" t="str">
        <x:f>IF(G10&lt;0,"Stock negativo",IF(G10&lt;=0,"Sin stock actual",IF(I10&lt;=0,"Sin ventas desde compra",IF(Q10&lt;=0,"Con stock, sin ventas 365d",IF(S10&lt;0.5,"Rotación baja",IF(S10&lt;1,"Rotación media","Compra absorbida; stock repuesto"))))))</x:f>
        <x:v>Sin ventas desde compra</x:v>
      </x:c>
    </x:row>
    <x:row r="11">
      <x:c r="A11" s="31" t="str">
        <x:v>MOTS1015</x:v>
      </x:c>
      <x:c r="B11" s="53" t="str">
        <x:v>HIDRAULICO AW 68 1/4 GALON POTENSOIL</x:v>
      </x:c>
      <x:c r="C11" s="32" t="n">
        <x:v>1</x:v>
      </x:c>
      <x:c r="D11" s="38" t="n">
        <x:v>11</x:v>
      </x:c>
      <x:c r="E11" s="44" t="n">
        <x:v>9500</x:v>
      </x:c>
      <x:c r="F11" s="44" t="n">
        <x:v>104500</x:v>
      </x:c>
      <x:c r="G11" s="41" t="n">
        <x:v>1</x:v>
      </x:c>
      <x:c r="H11" s="44" t="n">
        <x:f>MAX(G11,0)*E11</x:f>
        <x:v>9500</x:v>
      </x:c>
      <x:c r="I11" s="38" t="n">
        <x:v>11</x:v>
      </x:c>
      <x:c r="J11" s="44" t="n">
        <x:v>173000</x:v>
      </x:c>
      <x:c r="K11" s="32" t="n">
        <x:v>11</x:v>
      </x:c>
      <x:c r="L11" s="50" t="n">
        <x:v>45501.69615740741</x:v>
      </x:c>
      <x:c r="M11" s="50" t="n">
        <x:v>45574.85070601852</x:v>
      </x:c>
      <x:c r="N11" s="32" t="n">
        <x:f>IF(M11="","",MAX(0,'Resumen'!$B$3-M11))</x:f>
        <x:v>692.149293981478</x:v>
      </x:c>
      <x:c r="O11" s="38" t="n">
        <x:v>0</x:v>
      </x:c>
      <x:c r="P11" s="38" t="n">
        <x:v>0</x:v>
      </x:c>
      <x:c r="Q11" s="38" t="n">
        <x:v>0</x:v>
      </x:c>
      <x:c r="R11" s="38" t="n">
        <x:f>MIN(D11,I11)</x:f>
        <x:v>11</x:v>
      </x:c>
      <x:c r="S11" s="47" t="n">
        <x:f>IFERROR(R11/D11,0)</x:f>
        <x:v>1</x:v>
      </x:c>
      <x:c r="T11" s="38" t="n">
        <x:f>MIN(MAX(G11,0),MAX(D11-I11,0))</x:f>
        <x:v>0</x:v>
      </x:c>
      <x:c r="U11" s="44" t="n">
        <x:f>T11*E11</x:f>
        <x:v>0</x:v>
      </x:c>
      <x:c r="V11" s="38" t="n">
        <x:v>1</x:v>
      </x:c>
      <x:c r="W11" s="32" t="n">
        <x:v>1</x:v>
      </x:c>
      <x:c r="X11" s="50" t="n">
        <x:v>45562</x:v>
      </x:c>
      <x:c r="Y11" s="44" t="n">
        <x:v>16000</x:v>
      </x:c>
      <x:c r="Z11" s="44" t="n">
        <x:f>IF(I11&gt;0,R11*(J11/I11),0)</x:f>
        <x:v>173000</x:v>
      </x:c>
      <x:c r="AA11" s="44" t="n">
        <x:f>Z11-(R11*E11)</x:f>
        <x:v>68500</x:v>
      </x:c>
      <x:c r="AB11" s="47" t="n">
        <x:f>IFERROR(AA11/Z11,0)</x:f>
        <x:v>0.3959537572254335</x:v>
      </x:c>
      <x:c r="AC11" s="32" t="str">
        <x:f>IF(S11=0,"0%",IF(S11&lt;0.5,"1-49%",IF(S11&lt;0.8,"50-79%",IF(S11&lt;1,"80-99%","100%"))))</x:f>
        <x:v>100%</x:v>
      </x:c>
      <x:c r="AD11" s="33" t="str">
        <x:f>IF(G11&lt;0,"Stock negativo",IF(G11&lt;=0,"Sin stock actual",IF(I11&lt;=0,"Sin ventas desde compra",IF(Q11&lt;=0,"Con stock, sin ventas 365d",IF(S11&lt;0.5,"Rotación baja",IF(S11&lt;1,"Rotación media","Compra absorbida; stock repuesto"))))))</x:f>
        <x:v>Con stock, sin ventas 365d</x:v>
      </x:c>
    </x:row>
    <x:row r="12">
      <x:c r="A12" s="31" t="str">
        <x:v>MOTS1013</x:v>
      </x:c>
      <x:c r="B12" s="53" t="str">
        <x:v>VALVULINA 140 1/4 GALON LUGRAXOIL</x:v>
      </x:c>
      <x:c r="C12" s="32" t="n">
        <x:v>1</x:v>
      </x:c>
      <x:c r="D12" s="38" t="n">
        <x:v>9</x:v>
      </x:c>
      <x:c r="E12" s="44" t="n">
        <x:v>10500</x:v>
      </x:c>
      <x:c r="F12" s="44" t="n">
        <x:v>94500</x:v>
      </x:c>
      <x:c r="G12" s="41" t="n">
        <x:v>0</x:v>
      </x:c>
      <x:c r="H12" s="44" t="n">
        <x:f>MAX(G12,0)*E12</x:f>
        <x:v>0</x:v>
      </x:c>
      <x:c r="I12" s="38" t="n">
        <x:v>9</x:v>
      </x:c>
      <x:c r="J12" s="44" t="n">
        <x:v>127000</x:v>
      </x:c>
      <x:c r="K12" s="32" t="n">
        <x:v>8</x:v>
      </x:c>
      <x:c r="L12" s="50" t="n">
        <x:v>45504.817824074074</x:v>
      </x:c>
      <x:c r="M12" s="50" t="n">
        <x:v>45953.912210648145</x:v>
      </x:c>
      <x:c r="N12" s="32" t="n">
        <x:f>IF(M12="","",MAX(0,'Resumen'!$B$3-M12))</x:f>
        <x:v>313.08778935185546</x:v>
      </x:c>
      <x:c r="O12" s="38" t="n">
        <x:v>0</x:v>
      </x:c>
      <x:c r="P12" s="38" t="n">
        <x:v>0</x:v>
      </x:c>
      <x:c r="Q12" s="38" t="n">
        <x:v>4</x:v>
      </x:c>
      <x:c r="R12" s="38" t="n">
        <x:f>MIN(D12,I12)</x:f>
        <x:v>9</x:v>
      </x:c>
      <x:c r="S12" s="47" t="n">
        <x:f>IFERROR(R12/D12,0)</x:f>
        <x:v>1</x:v>
      </x:c>
      <x:c r="T12" s="38" t="n">
        <x:f>MIN(MAX(G12,0),MAX(D12-I12,0))</x:f>
        <x:v>0</x:v>
      </x:c>
      <x:c r="U12" s="44" t="n">
        <x:f>T12*E12</x:f>
        <x:v>0</x:v>
      </x:c>
      <x:c r="V12" s="38" t="n">
        <x:v>0</x:v>
      </x:c>
      <x:c r="W12" s="32" t="n">
        <x:v>0</x:v>
      </x:c>
      <x:c r="X12" s="50"/>
      <x:c r="Y12" s="44" t="n">
        <x:v>15000</x:v>
      </x:c>
      <x:c r="Z12" s="44" t="n">
        <x:f>IF(I12&gt;0,R12*(J12/I12),0)</x:f>
        <x:v>127000</x:v>
      </x:c>
      <x:c r="AA12" s="44" t="n">
        <x:f>Z12-(R12*E12)</x:f>
        <x:v>32500</x:v>
      </x:c>
      <x:c r="AB12" s="47" t="n">
        <x:f>IFERROR(AA12/Z12,0)</x:f>
        <x:v>0.2559055118110236</x:v>
      </x:c>
      <x:c r="AC12" s="32" t="str">
        <x:f>IF(S12=0,"0%",IF(S12&lt;0.5,"1-49%",IF(S12&lt;0.8,"50-79%",IF(S12&lt;1,"80-99%","100%"))))</x:f>
        <x:v>100%</x:v>
      </x:c>
      <x:c r="AD12" s="33" t="str">
        <x:f>IF(G12&lt;0,"Stock negativo",IF(G12&lt;=0,"Sin stock actual",IF(I12&lt;=0,"Sin ventas desde compra",IF(Q12&lt;=0,"Con stock, sin ventas 365d",IF(S12&lt;0.5,"Rotación baja",IF(S12&lt;1,"Rotación media","Compra absorbida; stock repuesto"))))))</x:f>
        <x:v>Sin stock actual</x:v>
      </x:c>
    </x:row>
    <x:row r="13">
      <x:c r="A13" s="31" t="str">
        <x:v>43689</x:v>
      </x:c>
      <x:c r="B13" s="53" t="str">
        <x:v>CILINDRO KIT FZ</x:v>
      </x:c>
      <x:c r="C13" s="32" t="n">
        <x:v>1</x:v>
      </x:c>
      <x:c r="D13" s="38" t="n">
        <x:v>1</x:v>
      </x:c>
      <x:c r="E13" s="44" t="n">
        <x:v>93250</x:v>
      </x:c>
      <x:c r="F13" s="44" t="n">
        <x:v>93250</x:v>
      </x:c>
      <x:c r="G13" s="41" t="n">
        <x:v>2</x:v>
      </x:c>
      <x:c r="H13" s="44" t="n">
        <x:f>MAX(G13,0)*E13</x:f>
        <x:v>186500</x:v>
      </x:c>
      <x:c r="I13" s="38" t="n">
        <x:v>2</x:v>
      </x:c>
      <x:c r="J13" s="44" t="n">
        <x:v>285000</x:v>
      </x:c>
      <x:c r="K13" s="32" t="n">
        <x:v>2</x:v>
      </x:c>
      <x:c r="L13" s="50" t="n">
        <x:v>45736.878171296295</x:v>
      </x:c>
      <x:c r="M13" s="50" t="n">
        <x:v>46226.6571412037</x:v>
      </x:c>
      <x:c r="N13" s="32" t="n">
        <x:f>IF(M13="","",MAX(0,'Resumen'!$B$3-M13))</x:f>
        <x:v>40.34285879629897</x:v>
      </x:c>
      <x:c r="O13" s="38" t="n">
        <x:v>0</x:v>
      </x:c>
      <x:c r="P13" s="38" t="n">
        <x:v>1</x:v>
      </x:c>
      <x:c r="Q13" s="38" t="n">
        <x:v>1</x:v>
      </x:c>
      <x:c r="R13" s="38" t="n">
        <x:f>MIN(D13,I13)</x:f>
        <x:v>1</x:v>
      </x:c>
      <x:c r="S13" s="47" t="n">
        <x:f>IFERROR(R13/D13,0)</x:f>
        <x:v>1</x:v>
      </x:c>
      <x:c r="T13" s="38" t="n">
        <x:f>MIN(MAX(G13,0),MAX(D13-I13,0))</x:f>
        <x:v>0</x:v>
      </x:c>
      <x:c r="U13" s="44" t="n">
        <x:f>T13*E13</x:f>
        <x:v>0</x:v>
      </x:c>
      <x:c r="V13" s="38" t="n">
        <x:v>3</x:v>
      </x:c>
      <x:c r="W13" s="32" t="n">
        <x:v>2</x:v>
      </x:c>
      <x:c r="X13" s="50" t="n">
        <x:v>45848</x:v>
      </x:c>
      <x:c r="Y13" s="44" t="n">
        <x:v>157000</x:v>
      </x:c>
      <x:c r="Z13" s="44" t="n">
        <x:f>IF(I13&gt;0,R13*(J13/I13),0)</x:f>
        <x:v>142500</x:v>
      </x:c>
      <x:c r="AA13" s="44" t="n">
        <x:f>Z13-(R13*E13)</x:f>
        <x:v>49250</x:v>
      </x:c>
      <x:c r="AB13" s="47" t="n">
        <x:f>IFERROR(AA13/Z13,0)</x:f>
        <x:v>0.3456140350877193</x:v>
      </x:c>
      <x:c r="AC13" s="32" t="str">
        <x:f>IF(S13=0,"0%",IF(S13&lt;0.5,"1-49%",IF(S13&lt;0.8,"50-79%",IF(S13&lt;1,"80-99%","100%"))))</x:f>
        <x:v>100%</x:v>
      </x:c>
      <x:c r="AD13" s="33" t="str">
        <x:f>IF(G13&lt;0,"Stock negativo",IF(G13&lt;=0,"Sin stock actual",IF(I13&lt;=0,"Sin ventas desde compra",IF(Q13&lt;=0,"Con stock, sin ventas 365d",IF(S13&lt;0.5,"Rotación baja",IF(S13&lt;1,"Rotación media","Compra absorbida; stock repuesto"))))))</x:f>
        <x:v>Compra absorbida; stock repuesto</x:v>
      </x:c>
    </x:row>
    <x:row r="14">
      <x:c r="A14" s="31" t="str">
        <x:v>2120</x:v>
      </x:c>
      <x:c r="B14" s="53" t="str">
        <x:v>BUJIA D8EA NGK</x:v>
      </x:c>
      <x:c r="C14" s="32" t="n">
        <x:v>1</x:v>
      </x:c>
      <x:c r="D14" s="38" t="n">
        <x:v>16</x:v>
      </x:c>
      <x:c r="E14" s="44" t="n">
        <x:v>5800</x:v>
      </x:c>
      <x:c r="F14" s="44" t="n">
        <x:v>92800</x:v>
      </x:c>
      <x:c r="G14" s="41" t="n">
        <x:v>1</x:v>
      </x:c>
      <x:c r="H14" s="44" t="n">
        <x:f>MAX(G14,0)*E14</x:f>
        <x:v>5800</x:v>
      </x:c>
      <x:c r="I14" s="38" t="n">
        <x:v>16</x:v>
      </x:c>
      <x:c r="J14" s="44" t="n">
        <x:v>160000</x:v>
      </x:c>
      <x:c r="K14" s="32" t="n">
        <x:v>14</x:v>
      </x:c>
      <x:c r="L14" s="50" t="n">
        <x:v>45511.795</x:v>
      </x:c>
      <x:c r="M14" s="50" t="n">
        <x:v>45874.695231481484</x:v>
      </x:c>
      <x:c r="N14" s="32" t="n">
        <x:f>IF(M14="","",MAX(0,'Resumen'!$B$3-M14))</x:f>
        <x:v>392.30476851851563</x:v>
      </x:c>
      <x:c r="O14" s="38" t="n">
        <x:v>0</x:v>
      </x:c>
      <x:c r="P14" s="38" t="n">
        <x:v>0</x:v>
      </x:c>
      <x:c r="Q14" s="38" t="n">
        <x:v>0</x:v>
      </x:c>
      <x:c r="R14" s="38" t="n">
        <x:f>MIN(D14,I14)</x:f>
        <x:v>16</x:v>
      </x:c>
      <x:c r="S14" s="47" t="n">
        <x:f>IFERROR(R14/D14,0)</x:f>
        <x:v>1</x:v>
      </x:c>
      <x:c r="T14" s="38" t="n">
        <x:f>MIN(MAX(G14,0),MAX(D14-I14,0))</x:f>
        <x:v>0</x:v>
      </x:c>
      <x:c r="U14" s="44" t="n">
        <x:f>T14*E14</x:f>
        <x:v>0</x:v>
      </x:c>
      <x:c r="V14" s="38" t="n">
        <x:v>1</x:v>
      </x:c>
      <x:c r="W14" s="32" t="n">
        <x:v>1</x:v>
      </x:c>
      <x:c r="X14" s="50" t="n">
        <x:v>45716</x:v>
      </x:c>
      <x:c r="Y14" s="44" t="n">
        <x:v>10000</x:v>
      </x:c>
      <x:c r="Z14" s="44" t="n">
        <x:f>IF(I14&gt;0,R14*(J14/I14),0)</x:f>
        <x:v>160000</x:v>
      </x:c>
      <x:c r="AA14" s="44" t="n">
        <x:f>Z14-(R14*E14)</x:f>
        <x:v>67200</x:v>
      </x:c>
      <x:c r="AB14" s="47" t="n">
        <x:f>IFERROR(AA14/Z14,0)</x:f>
        <x:v>0.42</x:v>
      </x:c>
      <x:c r="AC14" s="32" t="str">
        <x:f>IF(S14=0,"0%",IF(S14&lt;0.5,"1-49%",IF(S14&lt;0.8,"50-79%",IF(S14&lt;1,"80-99%","100%"))))</x:f>
        <x:v>100%</x:v>
      </x:c>
      <x:c r="AD14" s="33" t="str">
        <x:f>IF(G14&lt;0,"Stock negativo",IF(G14&lt;=0,"Sin stock actual",IF(I14&lt;=0,"Sin ventas desde compra",IF(Q14&lt;=0,"Con stock, sin ventas 365d",IF(S14&lt;0.5,"Rotación baja",IF(S14&lt;1,"Rotación media","Compra absorbida; stock repuesto"))))))</x:f>
        <x:v>Con stock, sin ventas 365d</x:v>
      </x:c>
    </x:row>
    <x:row r="15">
      <x:c r="A15" s="31" t="str">
        <x:v>MOTS1016</x:v>
      </x:c>
      <x:c r="B15" s="53" t="str">
        <x:v>ACEITE MOBIL 20W-50 PREMIUM 4T MOBIL SUPER</x:v>
      </x:c>
      <x:c r="C15" s="32" t="n">
        <x:v>1</x:v>
      </x:c>
      <x:c r="D15" s="38" t="n">
        <x:v>4</x:v>
      </x:c>
      <x:c r="E15" s="44" t="n">
        <x:v>23000</x:v>
      </x:c>
      <x:c r="F15" s="44" t="n">
        <x:v>92000</x:v>
      </x:c>
      <x:c r="G15" s="41" t="n">
        <x:v>1</x:v>
      </x:c>
      <x:c r="H15" s="44" t="n">
        <x:f>MAX(G15,0)*E15</x:f>
        <x:v>23000</x:v>
      </x:c>
      <x:c r="I15" s="38" t="n">
        <x:v>4</x:v>
      </x:c>
      <x:c r="J15" s="44" t="n">
        <x:v>109000</x:v>
      </x:c>
      <x:c r="K15" s="32" t="n">
        <x:v>4</x:v>
      </x:c>
      <x:c r="L15" s="50" t="n">
        <x:v>45504.817824074074</x:v>
      </x:c>
      <x:c r="M15" s="50" t="n">
        <x:v>45511.63443287037</x:v>
      </x:c>
      <x:c r="N15" s="32" t="n">
        <x:f>IF(M15="","",MAX(0,'Resumen'!$B$3-M15))</x:f>
        <x:v>755.3655671296292</x:v>
      </x:c>
      <x:c r="O15" s="38" t="n">
        <x:v>0</x:v>
      </x:c>
      <x:c r="P15" s="38" t="n">
        <x:v>0</x:v>
      </x:c>
      <x:c r="Q15" s="38" t="n">
        <x:v>0</x:v>
      </x:c>
      <x:c r="R15" s="38" t="n">
        <x:f>MIN(D15,I15)</x:f>
        <x:v>4</x:v>
      </x:c>
      <x:c r="S15" s="47" t="n">
        <x:f>IFERROR(R15/D15,0)</x:f>
        <x:v>1</x:v>
      </x:c>
      <x:c r="T15" s="38" t="n">
        <x:f>MIN(MAX(G15,0),MAX(D15-I15,0))</x:f>
        <x:v>0</x:v>
      </x:c>
      <x:c r="U15" s="44" t="n">
        <x:f>T15*E15</x:f>
        <x:v>0</x:v>
      </x:c>
      <x:c r="V15" s="38" t="n">
        <x:v>1</x:v>
      </x:c>
      <x:c r="W15" s="32" t="n">
        <x:v>1</x:v>
      </x:c>
      <x:c r="X15" s="50" t="n">
        <x:v>45700</x:v>
      </x:c>
      <x:c r="Y15" s="44" t="n">
        <x:v>30000</x:v>
      </x:c>
      <x:c r="Z15" s="44" t="n">
        <x:f>IF(I15&gt;0,R15*(J15/I15),0)</x:f>
        <x:v>109000</x:v>
      </x:c>
      <x:c r="AA15" s="44" t="n">
        <x:f>Z15-(R15*E15)</x:f>
        <x:v>17000</x:v>
      </x:c>
      <x:c r="AB15" s="47" t="n">
        <x:f>IFERROR(AA15/Z15,0)</x:f>
        <x:v>0.1559633027522936</x:v>
      </x:c>
      <x:c r="AC15" s="32" t="str">
        <x:f>IF(S15=0,"0%",IF(S15&lt;0.5,"1-49%",IF(S15&lt;0.8,"50-79%",IF(S15&lt;1,"80-99%","100%"))))</x:f>
        <x:v>100%</x:v>
      </x:c>
      <x:c r="AD15" s="33" t="str">
        <x:f>IF(G15&lt;0,"Stock negativo",IF(G15&lt;=0,"Sin stock actual",IF(I15&lt;=0,"Sin ventas desde compra",IF(Q15&lt;=0,"Con stock, sin ventas 365d",IF(S15&lt;0.5,"Rotación baja",IF(S15&lt;1,"Rotación media","Compra absorbida; stock repuesto"))))))</x:f>
        <x:v>Con stock, sin ventas 365d</x:v>
      </x:c>
    </x:row>
    <x:row r="16">
      <x:c r="A16" s="31" t="str">
        <x:v>HDR - C01</x:v>
      </x:c>
      <x:c r="B16" s="53" t="str">
        <x:v>HORQUILLAS ECO DELUXE HERO</x:v>
      </x:c>
      <x:c r="C16" s="32" t="n">
        <x:v>1</x:v>
      </x:c>
      <x:c r="D16" s="38" t="n">
        <x:v>5</x:v>
      </x:c>
      <x:c r="E16" s="44" t="n">
        <x:v>18000</x:v>
      </x:c>
      <x:c r="F16" s="44" t="n">
        <x:v>90000</x:v>
      </x:c>
      <x:c r="G16" s="41" t="n">
        <x:v>1</x:v>
      </x:c>
      <x:c r="H16" s="44" t="n">
        <x:f>MAX(G16,0)*E16</x:f>
        <x:v>18000</x:v>
      </x:c>
      <x:c r="I16" s="38" t="n">
        <x:v>4</x:v>
      </x:c>
      <x:c r="J16" s="44" t="n">
        <x:v>110000</x:v>
      </x:c>
      <x:c r="K16" s="32" t="n">
        <x:v>4</x:v>
      </x:c>
      <x:c r="L16" s="50" t="n">
        <x:v>45540.57554398148</x:v>
      </x:c>
      <x:c r="M16" s="50" t="n">
        <x:v>45598.55165509259</x:v>
      </x:c>
      <x:c r="N16" s="32" t="n">
        <x:f>IF(M16="","",MAX(0,'Resumen'!$B$3-M16))</x:f>
        <x:v>668.4483449074105</x:v>
      </x:c>
      <x:c r="O16" s="38" t="n">
        <x:v>0</x:v>
      </x:c>
      <x:c r="P16" s="38" t="n">
        <x:v>0</x:v>
      </x:c>
      <x:c r="Q16" s="38" t="n">
        <x:v>0</x:v>
      </x:c>
      <x:c r="R16" s="38" t="n">
        <x:f>MIN(D16,I16)</x:f>
        <x:v>4</x:v>
      </x:c>
      <x:c r="S16" s="47" t="n">
        <x:f>IFERROR(R16/D16,0)</x:f>
        <x:v>0.8</x:v>
      </x:c>
      <x:c r="T16" s="38" t="n">
        <x:f>MIN(MAX(G16,0),MAX(D16-I16,0))</x:f>
        <x:v>1</x:v>
      </x:c>
      <x:c r="U16" s="44" t="n">
        <x:f>T16*E16</x:f>
        <x:v>18000</x:v>
      </x:c>
      <x:c r="V16" s="38" t="n">
        <x:v>0</x:v>
      </x:c>
      <x:c r="W16" s="32" t="n">
        <x:v>0</x:v>
      </x:c>
      <x:c r="X16" s="50"/>
      <x:c r="Y16" s="44" t="n">
        <x:v>25000</x:v>
      </x:c>
      <x:c r="Z16" s="44" t="n">
        <x:f>IF(I16&gt;0,R16*(J16/I16),0)</x:f>
        <x:v>110000</x:v>
      </x:c>
      <x:c r="AA16" s="44" t="n">
        <x:f>Z16-(R16*E16)</x:f>
        <x:v>38000</x:v>
      </x:c>
      <x:c r="AB16" s="47" t="n">
        <x:f>IFERROR(AA16/Z16,0)</x:f>
        <x:v>0.34545454545454546</x:v>
      </x:c>
      <x:c r="AC16" s="32" t="str">
        <x:f>IF(S16=0,"0%",IF(S16&lt;0.5,"1-49%",IF(S16&lt;0.8,"50-79%",IF(S16&lt;1,"80-99%","100%"))))</x:f>
        <x:v>80-99%</x:v>
      </x:c>
      <x:c r="AD16" s="33" t="str">
        <x:f>IF(G16&lt;0,"Stock negativo",IF(G16&lt;=0,"Sin stock actual",IF(I16&lt;=0,"Sin ventas desde compra",IF(Q16&lt;=0,"Con stock, sin ventas 365d",IF(S16&lt;0.5,"Rotación baja",IF(S16&lt;1,"Rotación media","Compra absorbida; stock repuesto"))))))</x:f>
        <x:v>Con stock, sin ventas 365d</x:v>
      </x:c>
    </x:row>
    <x:row r="17">
      <x:c r="A17" s="31" t="str">
        <x:v>MOTS1029</x:v>
      </x:c>
      <x:c r="B17" s="53" t="str">
        <x:v>TENSORES CADENA VARIOS</x:v>
      </x:c>
      <x:c r="C17" s="32" t="n">
        <x:v>1</x:v>
      </x:c>
      <x:c r="D17" s="38" t="n">
        <x:v>45</x:v>
      </x:c>
      <x:c r="E17" s="44" t="n">
        <x:v>2000</x:v>
      </x:c>
      <x:c r="F17" s="44" t="n">
        <x:v>90000</x:v>
      </x:c>
      <x:c r="G17" s="41" t="n">
        <x:v>25</x:v>
      </x:c>
      <x:c r="H17" s="44" t="n">
        <x:f>MAX(G17,0)*E17</x:f>
        <x:v>50000</x:v>
      </x:c>
      <x:c r="I17" s="38" t="n">
        <x:v>20</x:v>
      </x:c>
      <x:c r="J17" s="44" t="n">
        <x:v>62500</x:v>
      </x:c>
      <x:c r="K17" s="32" t="n">
        <x:v>18</x:v>
      </x:c>
      <x:c r="L17" s="50" t="n">
        <x:v>45606.63832175926</x:v>
      </x:c>
      <x:c r="M17" s="50" t="n">
        <x:v>45922.72954861111</x:v>
      </x:c>
      <x:c r="N17" s="32" t="n">
        <x:f>IF(M17="","",MAX(0,'Resumen'!$B$3-M17))</x:f>
        <x:v>344.27045138888934</x:v>
      </x:c>
      <x:c r="O17" s="38" t="n">
        <x:v>0</x:v>
      </x:c>
      <x:c r="P17" s="38" t="n">
        <x:v>0</x:v>
      </x:c>
      <x:c r="Q17" s="38" t="n">
        <x:v>1</x:v>
      </x:c>
      <x:c r="R17" s="38" t="n">
        <x:f>MIN(D17,I17)</x:f>
        <x:v>20</x:v>
      </x:c>
      <x:c r="S17" s="47" t="n">
        <x:f>IFERROR(R17/D17,0)</x:f>
        <x:v>0.4444444444444444</x:v>
      </x:c>
      <x:c r="T17" s="38" t="n">
        <x:f>MIN(MAX(G17,0),MAX(D17-I17,0))</x:f>
        <x:v>25</x:v>
      </x:c>
      <x:c r="U17" s="44" t="n">
        <x:f>T17*E17</x:f>
        <x:v>50000</x:v>
      </x:c>
      <x:c r="V17" s="38" t="n">
        <x:v>0</x:v>
      </x:c>
      <x:c r="W17" s="32" t="n">
        <x:v>0</x:v>
      </x:c>
      <x:c r="X17" s="50"/>
      <x:c r="Y17" s="44" t="n">
        <x:v>3500</x:v>
      </x:c>
      <x:c r="Z17" s="44" t="n">
        <x:f>IF(I17&gt;0,R17*(J17/I17),0)</x:f>
        <x:v>62500</x:v>
      </x:c>
      <x:c r="AA17" s="44" t="n">
        <x:f>Z17-(R17*E17)</x:f>
        <x:v>22500</x:v>
      </x:c>
      <x:c r="AB17" s="47" t="n">
        <x:f>IFERROR(AA17/Z17,0)</x:f>
        <x:v>0.36</x:v>
      </x:c>
      <x:c r="AC17" s="32" t="str">
        <x:f>IF(S17=0,"0%",IF(S17&lt;0.5,"1-49%",IF(S17&lt;0.8,"50-79%",IF(S17&lt;1,"80-99%","100%"))))</x:f>
        <x:v>1-49%</x:v>
      </x:c>
      <x:c r="AD17" s="33" t="str">
        <x:f>IF(G17&lt;0,"Stock negativo",IF(G17&lt;=0,"Sin stock actual",IF(I17&lt;=0,"Sin ventas desde compra",IF(Q17&lt;=0,"Con stock, sin ventas 365d",IF(S17&lt;0.5,"Rotación baja",IF(S17&lt;1,"Rotación media","Compra absorbida; stock repuesto"))))))</x:f>
        <x:v>Rotación baja</x:v>
      </x:c>
    </x:row>
    <x:row r="18">
      <x:c r="A18" s="31" t="str">
        <x:v>408772</x:v>
      </x:c>
      <x:c r="B18" s="53" t="str">
        <x:v>NEUMATICO 2,75/300-18 2BR MOTOR</x:v>
      </x:c>
      <x:c r="C18" s="32" t="n">
        <x:v>1</x:v>
      </x:c>
      <x:c r="D18" s="38" t="n">
        <x:v>9</x:v>
      </x:c>
      <x:c r="E18" s="44" t="n">
        <x:v>9500</x:v>
      </x:c>
      <x:c r="F18" s="44" t="n">
        <x:v>85500</x:v>
      </x:c>
      <x:c r="G18" s="41" t="n">
        <x:v>0</x:v>
      </x:c>
      <x:c r="H18" s="44" t="n">
        <x:f>MAX(G18,0)*E18</x:f>
        <x:v>0</x:v>
      </x:c>
      <x:c r="I18" s="38" t="n">
        <x:v>9</x:v>
      </x:c>
      <x:c r="J18" s="44" t="n">
        <x:v>138000</x:v>
      </x:c>
      <x:c r="K18" s="32" t="n">
        <x:v>9</x:v>
      </x:c>
      <x:c r="L18" s="50" t="n">
        <x:v>45504.61179398148</x:v>
      </x:c>
      <x:c r="M18" s="50" t="n">
        <x:v>45572.94244212963</x:v>
      </x:c>
      <x:c r="N18" s="32" t="n">
        <x:f>IF(M18="","",MAX(0,'Resumen'!$B$3-M18))</x:f>
        <x:v>694.057557870372</x:v>
      </x:c>
      <x:c r="O18" s="38" t="n">
        <x:v>0</x:v>
      </x:c>
      <x:c r="P18" s="38" t="n">
        <x:v>0</x:v>
      </x:c>
      <x:c r="Q18" s="38" t="n">
        <x:v>0</x:v>
      </x:c>
      <x:c r="R18" s="38" t="n">
        <x:f>MIN(D18,I18)</x:f>
        <x:v>9</x:v>
      </x:c>
      <x:c r="S18" s="47" t="n">
        <x:f>IFERROR(R18/D18,0)</x:f>
        <x:v>1</x:v>
      </x:c>
      <x:c r="T18" s="38" t="n">
        <x:f>MIN(MAX(G18,0),MAX(D18-I18,0))</x:f>
        <x:v>0</x:v>
      </x:c>
      <x:c r="U18" s="44" t="n">
        <x:f>T18*E18</x:f>
        <x:v>0</x:v>
      </x:c>
      <x:c r="V18" s="38" t="n">
        <x:v>0</x:v>
      </x:c>
      <x:c r="W18" s="32" t="n">
        <x:v>0</x:v>
      </x:c>
      <x:c r="X18" s="50"/>
      <x:c r="Y18" s="44" t="n">
        <x:v>16000</x:v>
      </x:c>
      <x:c r="Z18" s="44" t="n">
        <x:f>IF(I18&gt;0,R18*(J18/I18),0)</x:f>
        <x:v>138000</x:v>
      </x:c>
      <x:c r="AA18" s="44" t="n">
        <x:f>Z18-(R18*E18)</x:f>
        <x:v>52500</x:v>
      </x:c>
      <x:c r="AB18" s="47" t="n">
        <x:f>IFERROR(AA18/Z18,0)</x:f>
        <x:v>0.3804347826086957</x:v>
      </x:c>
      <x:c r="AC18" s="32" t="str">
        <x:f>IF(S18=0,"0%",IF(S18&lt;0.5,"1-49%",IF(S18&lt;0.8,"50-79%",IF(S18&lt;1,"80-99%","100%"))))</x:f>
        <x:v>100%</x:v>
      </x:c>
      <x:c r="AD18" s="33" t="str">
        <x:f>IF(G18&lt;0,"Stock negativo",IF(G18&lt;=0,"Sin stock actual",IF(I18&lt;=0,"Sin ventas desde compra",IF(Q18&lt;=0,"Con stock, sin ventas 365d",IF(S18&lt;0.5,"Rotación baja",IF(S18&lt;1,"Rotación media","Compra absorbida; stock repuesto"))))))</x:f>
        <x:v>Sin stock actual</x:v>
      </x:c>
    </x:row>
    <x:row r="19">
      <x:c r="A19" s="31" t="str">
        <x:v>MOTS1201</x:v>
      </x:c>
      <x:c r="B19" s="53" t="str">
        <x:v>SPROKER Y PIÑON PULSAR 80 UND 520 - 39T/14T RODAMAIS</x:v>
      </x:c>
      <x:c r="C19" s="32" t="n">
        <x:v>1</x:v>
      </x:c>
      <x:c r="D19" s="38" t="n">
        <x:v>3</x:v>
      </x:c>
      <x:c r="E19" s="44" t="n">
        <x:v>25000</x:v>
      </x:c>
      <x:c r="F19" s="44" t="n">
        <x:v>75000</x:v>
      </x:c>
      <x:c r="G19" s="41" t="n">
        <x:v>3</x:v>
      </x:c>
      <x:c r="H19" s="44" t="n">
        <x:f>MAX(G19,0)*E19</x:f>
        <x:v>75000</x:v>
      </x:c>
      <x:c r="I19" s="38" t="n">
        <x:v>0</x:v>
      </x:c>
      <x:c r="J19" s="44" t="n">
        <x:v>0</x:v>
      </x:c>
      <x:c r="K19" s="32" t="n">
        <x:v>0</x:v>
      </x:c>
      <x:c r="L19" s="50"/>
      <x:c r="M19" s="50"/>
      <x:c r="N19" s="32" t="str">
        <x:f>IF(M19="","",MAX(0,'Resumen'!$B$3-M19))</x:f>
      </x:c>
      <x:c r="O19" s="38" t="n">
        <x:v>0</x:v>
      </x:c>
      <x:c r="P19" s="38" t="n">
        <x:v>0</x:v>
      </x:c>
      <x:c r="Q19" s="38" t="n">
        <x:v>0</x:v>
      </x:c>
      <x:c r="R19" s="38" t="n">
        <x:f>MIN(D19,I19)</x:f>
        <x:v>0</x:v>
      </x:c>
      <x:c r="S19" s="47" t="n">
        <x:f>IFERROR(R19/D19,0)</x:f>
        <x:v>0</x:v>
      </x:c>
      <x:c r="T19" s="38" t="n">
        <x:f>MIN(MAX(G19,0),MAX(D19-I19,0))</x:f>
        <x:v>3</x:v>
      </x:c>
      <x:c r="U19" s="44" t="n">
        <x:f>T19*E19</x:f>
        <x:v>75000</x:v>
      </x:c>
      <x:c r="V19" s="38" t="n">
        <x:v>0</x:v>
      </x:c>
      <x:c r="W19" s="32" t="n">
        <x:v>0</x:v>
      </x:c>
      <x:c r="X19" s="50"/>
      <x:c r="Y19" s="44" t="n">
        <x:v>42000</x:v>
      </x:c>
      <x:c r="Z19" s="44" t="n">
        <x:f>IF(I19&gt;0,R19*(J19/I19),0)</x:f>
        <x:v>0</x:v>
      </x:c>
      <x:c r="AA19" s="44" t="n">
        <x:f>Z19-(R19*E19)</x:f>
        <x:v>0</x:v>
      </x:c>
      <x:c r="AB19" s="47" t="n">
        <x:f>IFERROR(AA19/Z19,0)</x:f>
        <x:v>0</x:v>
      </x:c>
      <x:c r="AC19" s="32" t="str">
        <x:f>IF(S19=0,"0%",IF(S19&lt;0.5,"1-49%",IF(S19&lt;0.8,"50-79%",IF(S19&lt;1,"80-99%","100%"))))</x:f>
        <x:v>0%</x:v>
      </x:c>
      <x:c r="AD19" s="33" t="str">
        <x:f>IF(G19&lt;0,"Stock negativo",IF(G19&lt;=0,"Sin stock actual",IF(I19&lt;=0,"Sin ventas desde compra",IF(Q19&lt;=0,"Con stock, sin ventas 365d",IF(S19&lt;0.5,"Rotación baja",IF(S19&lt;1,"Rotación media","Compra absorbida; stock repuesto"))))))</x:f>
        <x:v>Sin ventas desde compra</x:v>
      </x:c>
    </x:row>
    <x:row r="20">
      <x:c r="A20" s="31" t="str">
        <x:v>FG3020</x:v>
      </x:c>
      <x:c r="B20" s="53" t="str">
        <x:v>GUAYA ACELERADOR CON RETORNO XT2 125 QUALITY</x:v>
      </x:c>
      <x:c r="C20" s="32" t="n">
        <x:v>1</x:v>
      </x:c>
      <x:c r="D20" s="38" t="n">
        <x:v>4</x:v>
      </x:c>
      <x:c r="E20" s="44" t="n">
        <x:v>18000</x:v>
      </x:c>
      <x:c r="F20" s="44" t="n">
        <x:v>72000</x:v>
      </x:c>
      <x:c r="G20" s="41" t="n">
        <x:v>0</x:v>
      </x:c>
      <x:c r="H20" s="44" t="n">
        <x:f>MAX(G20,0)*E20</x:f>
        <x:v>0</x:v>
      </x:c>
      <x:c r="I20" s="38" t="n">
        <x:v>4</x:v>
      </x:c>
      <x:c r="J20" s="44" t="n">
        <x:v>110000</x:v>
      </x:c>
      <x:c r="K20" s="32" t="n">
        <x:v>4</x:v>
      </x:c>
      <x:c r="L20" s="50" t="n">
        <x:v>45557.63769675926</x:v>
      </x:c>
      <x:c r="M20" s="50" t="n">
        <x:v>45981.72310185185</x:v>
      </x:c>
      <x:c r="N20" s="32" t="n">
        <x:f>IF(M20="","",MAX(0,'Resumen'!$B$3-M20))</x:f>
        <x:v>285.2768981481495</x:v>
      </x:c>
      <x:c r="O20" s="38" t="n">
        <x:v>0</x:v>
      </x:c>
      <x:c r="P20" s="38" t="n">
        <x:v>0</x:v>
      </x:c>
      <x:c r="Q20" s="38" t="n">
        <x:v>1</x:v>
      </x:c>
      <x:c r="R20" s="38" t="n">
        <x:f>MIN(D20,I20)</x:f>
        <x:v>4</x:v>
      </x:c>
      <x:c r="S20" s="47" t="n">
        <x:f>IFERROR(R20/D20,0)</x:f>
        <x:v>1</x:v>
      </x:c>
      <x:c r="T20" s="38" t="n">
        <x:f>MIN(MAX(G20,0),MAX(D20-I20,0))</x:f>
        <x:v>0</x:v>
      </x:c>
      <x:c r="U20" s="44" t="n">
        <x:f>T20*E20</x:f>
        <x:v>0</x:v>
      </x:c>
      <x:c r="V20" s="38" t="n">
        <x:v>0</x:v>
      </x:c>
      <x:c r="W20" s="32" t="n">
        <x:v>0</x:v>
      </x:c>
      <x:c r="X20" s="50"/>
      <x:c r="Y20" s="44" t="n">
        <x:v>30000</x:v>
      </x:c>
      <x:c r="Z20" s="44" t="n">
        <x:f>IF(I20&gt;0,R20*(J20/I20),0)</x:f>
        <x:v>110000</x:v>
      </x:c>
      <x:c r="AA20" s="44" t="n">
        <x:f>Z20-(R20*E20)</x:f>
        <x:v>38000</x:v>
      </x:c>
      <x:c r="AB20" s="47" t="n">
        <x:f>IFERROR(AA20/Z20,0)</x:f>
        <x:v>0.34545454545454546</x:v>
      </x:c>
      <x:c r="AC20" s="32" t="str">
        <x:f>IF(S20=0,"0%",IF(S20&lt;0.5,"1-49%",IF(S20&lt;0.8,"50-79%",IF(S20&lt;1,"80-99%","100%"))))</x:f>
        <x:v>100%</x:v>
      </x:c>
      <x:c r="AD20" s="33" t="str">
        <x:f>IF(G20&lt;0,"Stock negativo",IF(G20&lt;=0,"Sin stock actual",IF(I20&lt;=0,"Sin ventas desde compra",IF(Q20&lt;=0,"Con stock, sin ventas 365d",IF(S20&lt;0.5,"Rotación baja",IF(S20&lt;1,"Rotación media","Compra absorbida; stock repuesto"))))))</x:f>
        <x:v>Sin stock actual</x:v>
      </x:c>
    </x:row>
    <x:row r="21">
      <x:c r="A21" s="31" t="str">
        <x:v>MOTS1176</x:v>
      </x:c>
      <x:c r="B21" s="53" t="str">
        <x:v>MANIGUETA DER GN 125 / 65 125</x:v>
      </x:c>
      <x:c r="C21" s="32" t="n">
        <x:v>1</x:v>
      </x:c>
      <x:c r="D21" s="38" t="n">
        <x:v>6</x:v>
      </x:c>
      <x:c r="E21" s="44" t="n">
        <x:v>12000</x:v>
      </x:c>
      <x:c r="F21" s="44" t="n">
        <x:v>72000</x:v>
      </x:c>
      <x:c r="G21" s="41" t="n">
        <x:v>6</x:v>
      </x:c>
      <x:c r="H21" s="44" t="n">
        <x:f>MAX(G21,0)*E21</x:f>
        <x:v>72000</x:v>
      </x:c>
      <x:c r="I21" s="38" t="n">
        <x:v>0</x:v>
      </x:c>
      <x:c r="J21" s="44" t="n">
        <x:v>0</x:v>
      </x:c>
      <x:c r="K21" s="32" t="n">
        <x:v>0</x:v>
      </x:c>
      <x:c r="L21" s="50"/>
      <x:c r="M21" s="50"/>
      <x:c r="N21" s="32" t="str">
        <x:f>IF(M21="","",MAX(0,'Resumen'!$B$3-M21))</x:f>
      </x:c>
      <x:c r="O21" s="38" t="n">
        <x:v>0</x:v>
      </x:c>
      <x:c r="P21" s="38" t="n">
        <x:v>0</x:v>
      </x:c>
      <x:c r="Q21" s="38" t="n">
        <x:v>0</x:v>
      </x:c>
      <x:c r="R21" s="38" t="n">
        <x:f>MIN(D21,I21)</x:f>
        <x:v>0</x:v>
      </x:c>
      <x:c r="S21" s="47" t="n">
        <x:f>IFERROR(R21/D21,0)</x:f>
        <x:v>0</x:v>
      </x:c>
      <x:c r="T21" s="38" t="n">
        <x:f>MIN(MAX(G21,0),MAX(D21-I21,0))</x:f>
        <x:v>6</x:v>
      </x:c>
      <x:c r="U21" s="44" t="n">
        <x:f>T21*E21</x:f>
        <x:v>72000</x:v>
      </x:c>
      <x:c r="V21" s="38" t="n">
        <x:v>0</x:v>
      </x:c>
      <x:c r="W21" s="32" t="n">
        <x:v>0</x:v>
      </x:c>
      <x:c r="X21" s="50"/>
      <x:c r="Y21" s="44" t="n">
        <x:v>20000</x:v>
      </x:c>
      <x:c r="Z21" s="44" t="n">
        <x:f>IF(I21&gt;0,R21*(J21/I21),0)</x:f>
        <x:v>0</x:v>
      </x:c>
      <x:c r="AA21" s="44" t="n">
        <x:f>Z21-(R21*E21)</x:f>
        <x:v>0</x:v>
      </x:c>
      <x:c r="AB21" s="47" t="n">
        <x:f>IFERROR(AA21/Z21,0)</x:f>
        <x:v>0</x:v>
      </x:c>
      <x:c r="AC21" s="32" t="str">
        <x:f>IF(S21=0,"0%",IF(S21&lt;0.5,"1-49%",IF(S21&lt;0.8,"50-79%",IF(S21&lt;1,"80-99%","100%"))))</x:f>
        <x:v>0%</x:v>
      </x:c>
      <x:c r="AD21" s="33" t="str">
        <x:f>IF(G21&lt;0,"Stock negativo",IF(G21&lt;=0,"Sin stock actual",IF(I21&lt;=0,"Sin ventas desde compra",IF(Q21&lt;=0,"Con stock, sin ventas 365d",IF(S21&lt;0.5,"Rotación baja",IF(S21&lt;1,"Rotación media","Compra absorbida; stock repuesto"))))))</x:f>
        <x:v>Sin ventas desde compra</x:v>
      </x:c>
    </x:row>
    <x:row r="22">
      <x:c r="A22" s="31" t="str">
        <x:v>MOTS1086</x:v>
      </x:c>
      <x:c r="B22" s="53" t="str">
        <x:v>RETEN 32-43-12-5</x:v>
      </x:c>
      <x:c r="C22" s="32" t="n">
        <x:v>1</x:v>
      </x:c>
      <x:c r="D22" s="38" t="n">
        <x:v>17</x:v>
      </x:c>
      <x:c r="E22" s="44" t="n">
        <x:v>4000</x:v>
      </x:c>
      <x:c r="F22" s="44" t="n">
        <x:v>68000</x:v>
      </x:c>
      <x:c r="G22" s="41" t="n">
        <x:v>15</x:v>
      </x:c>
      <x:c r="H22" s="44" t="n">
        <x:f>MAX(G22,0)*E22</x:f>
        <x:v>60000</x:v>
      </x:c>
      <x:c r="I22" s="38" t="n">
        <x:v>2</x:v>
      </x:c>
      <x:c r="J22" s="44" t="n">
        <x:v>14000</x:v>
      </x:c>
      <x:c r="K22" s="32" t="n">
        <x:v>1</x:v>
      </x:c>
      <x:c r="L22" s="50" t="n">
        <x:v>45711.63418981482</x:v>
      </x:c>
      <x:c r="M22" s="50" t="n">
        <x:v>45711.63418981482</x:v>
      </x:c>
      <x:c r="N22" s="32" t="n">
        <x:f>IF(M22="","",MAX(0,'Resumen'!$B$3-M22))</x:f>
        <x:v>555.3658101851834</x:v>
      </x:c>
      <x:c r="O22" s="38" t="n">
        <x:v>0</x:v>
      </x:c>
      <x:c r="P22" s="38" t="n">
        <x:v>0</x:v>
      </x:c>
      <x:c r="Q22" s="38" t="n">
        <x:v>0</x:v>
      </x:c>
      <x:c r="R22" s="38" t="n">
        <x:f>MIN(D22,I22)</x:f>
        <x:v>2</x:v>
      </x:c>
      <x:c r="S22" s="47" t="n">
        <x:f>IFERROR(R22/D22,0)</x:f>
        <x:v>0.11764705882352941</x:v>
      </x:c>
      <x:c r="T22" s="38" t="n">
        <x:f>MIN(MAX(G22,0),MAX(D22-I22,0))</x:f>
        <x:v>15</x:v>
      </x:c>
      <x:c r="U22" s="44" t="n">
        <x:f>T22*E22</x:f>
        <x:v>60000</x:v>
      </x:c>
      <x:c r="V22" s="38" t="n">
        <x:v>0</x:v>
      </x:c>
      <x:c r="W22" s="32" t="n">
        <x:v>0</x:v>
      </x:c>
      <x:c r="X22" s="50"/>
      <x:c r="Y22" s="44" t="n">
        <x:v>7000</x:v>
      </x:c>
      <x:c r="Z22" s="44" t="n">
        <x:f>IF(I22&gt;0,R22*(J22/I22),0)</x:f>
        <x:v>14000</x:v>
      </x:c>
      <x:c r="AA22" s="44" t="n">
        <x:f>Z22-(R22*E22)</x:f>
        <x:v>6000</x:v>
      </x:c>
      <x:c r="AB22" s="47" t="n">
        <x:f>IFERROR(AA22/Z22,0)</x:f>
        <x:v>0.42857142857142855</x:v>
      </x:c>
      <x:c r="AC22" s="32" t="str">
        <x:f>IF(S22=0,"0%",IF(S22&lt;0.5,"1-49%",IF(S22&lt;0.8,"50-79%",IF(S22&lt;1,"80-99%","100%"))))</x:f>
        <x:v>1-49%</x:v>
      </x:c>
      <x:c r="AD22" s="33" t="str">
        <x:f>IF(G22&lt;0,"Stock negativo",IF(G22&lt;=0,"Sin stock actual",IF(I22&lt;=0,"Sin ventas desde compra",IF(Q22&lt;=0,"Con stock, sin ventas 365d",IF(S22&lt;0.5,"Rotación baja",IF(S22&lt;1,"Rotación media","Compra absorbida; stock repuesto"))))))</x:f>
        <x:v>Con stock, sin ventas 365d</x:v>
      </x:c>
    </x:row>
    <x:row r="23">
      <x:c r="A23" s="31" t="str">
        <x:v>16955</x:v>
      </x:c>
      <x:c r="B23" s="53" t="str">
        <x:v>KIT EMPAQUE COMPLETO PULSAR 200 NS MOTOTEE</x:v>
      </x:c>
      <x:c r="C23" s="32" t="n">
        <x:v>1</x:v>
      </x:c>
      <x:c r="D23" s="38" t="n">
        <x:v>3</x:v>
      </x:c>
      <x:c r="E23" s="44" t="n">
        <x:v>22500</x:v>
      </x:c>
      <x:c r="F23" s="44" t="n">
        <x:v>67500</x:v>
      </x:c>
      <x:c r="G23" s="41" t="n">
        <x:v>3</x:v>
      </x:c>
      <x:c r="H23" s="44" t="n">
        <x:f>MAX(G23,0)*E23</x:f>
        <x:v>67500</x:v>
      </x:c>
      <x:c r="I23" s="38" t="n">
        <x:v>0</x:v>
      </x:c>
      <x:c r="J23" s="44" t="n">
        <x:v>0</x:v>
      </x:c>
      <x:c r="K23" s="32" t="n">
        <x:v>0</x:v>
      </x:c>
      <x:c r="L23" s="50"/>
      <x:c r="M23" s="50"/>
      <x:c r="N23" s="32" t="str">
        <x:f>IF(M23="","",MAX(0,'Resumen'!$B$3-M23))</x:f>
      </x:c>
      <x:c r="O23" s="38" t="n">
        <x:v>0</x:v>
      </x:c>
      <x:c r="P23" s="38" t="n">
        <x:v>0</x:v>
      </x:c>
      <x:c r="Q23" s="38" t="n">
        <x:v>0</x:v>
      </x:c>
      <x:c r="R23" s="38" t="n">
        <x:f>MIN(D23,I23)</x:f>
        <x:v>0</x:v>
      </x:c>
      <x:c r="S23" s="47" t="n">
        <x:f>IFERROR(R23/D23,0)</x:f>
        <x:v>0</x:v>
      </x:c>
      <x:c r="T23" s="38" t="n">
        <x:f>MIN(MAX(G23,0),MAX(D23-I23,0))</x:f>
        <x:v>3</x:v>
      </x:c>
      <x:c r="U23" s="44" t="n">
        <x:f>T23*E23</x:f>
        <x:v>67500</x:v>
      </x:c>
      <x:c r="V23" s="38" t="n">
        <x:v>0</x:v>
      </x:c>
      <x:c r="W23" s="32" t="n">
        <x:v>0</x:v>
      </x:c>
      <x:c r="X23" s="50"/>
      <x:c r="Y23" s="44" t="n">
        <x:v>37500</x:v>
      </x:c>
      <x:c r="Z23" s="44" t="n">
        <x:f>IF(I23&gt;0,R23*(J23/I23),0)</x:f>
        <x:v>0</x:v>
      </x:c>
      <x:c r="AA23" s="44" t="n">
        <x:f>Z23-(R23*E23)</x:f>
        <x:v>0</x:v>
      </x:c>
      <x:c r="AB23" s="47" t="n">
        <x:f>IFERROR(AA23/Z23,0)</x:f>
        <x:v>0</x:v>
      </x:c>
      <x:c r="AC23" s="32" t="str">
        <x:f>IF(S23=0,"0%",IF(S23&lt;0.5,"1-49%",IF(S23&lt;0.8,"50-79%",IF(S23&lt;1,"80-99%","100%"))))</x:f>
        <x:v>0%</x:v>
      </x:c>
      <x:c r="AD23" s="33" t="str">
        <x:f>IF(G23&lt;0,"Stock negativo",IF(G23&lt;=0,"Sin stock actual",IF(I23&lt;=0,"Sin ventas desde compra",IF(Q23&lt;=0,"Con stock, sin ventas 365d",IF(S23&lt;0.5,"Rotación baja",IF(S23&lt;1,"Rotación media","Compra absorbida; stock repuesto"))))))</x:f>
        <x:v>Sin ventas desde compra</x:v>
      </x:c>
    </x:row>
    <x:row r="24">
      <x:c r="A24" s="31" t="str">
        <x:v>MOTS1246</x:v>
      </x:c>
      <x:c r="B24" s="53" t="str">
        <x:v>BOBINA ALTA ECO DELUXE HERO</x:v>
      </x:c>
      <x:c r="C24" s="32" t="n">
        <x:v>1</x:v>
      </x:c>
      <x:c r="D24" s="38" t="n">
        <x:v>4</x:v>
      </x:c>
      <x:c r="E24" s="44" t="n">
        <x:v>16000</x:v>
      </x:c>
      <x:c r="F24" s="44" t="n">
        <x:v>64000</x:v>
      </x:c>
      <x:c r="G24" s="41" t="n">
        <x:v>0</x:v>
      </x:c>
      <x:c r="H24" s="44" t="n">
        <x:f>MAX(G24,0)*E24</x:f>
        <x:v>0</x:v>
      </x:c>
      <x:c r="I24" s="38" t="n">
        <x:v>4</x:v>
      </x:c>
      <x:c r="J24" s="44" t="n">
        <x:v>97000</x:v>
      </x:c>
      <x:c r="K24" s="32" t="n">
        <x:v>3</x:v>
      </x:c>
      <x:c r="L24" s="50" t="n">
        <x:v>45678.65634259259</x:v>
      </x:c>
      <x:c r="M24" s="50" t="n">
        <x:v>45839.93067129629</x:v>
      </x:c>
      <x:c r="N24" s="32" t="n">
        <x:f>IF(M24="","",MAX(0,'Resumen'!$B$3-M24))</x:f>
        <x:v>427.06932870370656</x:v>
      </x:c>
      <x:c r="O24" s="38" t="n">
        <x:v>0</x:v>
      </x:c>
      <x:c r="P24" s="38" t="n">
        <x:v>0</x:v>
      </x:c>
      <x:c r="Q24" s="38" t="n">
        <x:v>0</x:v>
      </x:c>
      <x:c r="R24" s="38" t="n">
        <x:f>MIN(D24,I24)</x:f>
        <x:v>4</x:v>
      </x:c>
      <x:c r="S24" s="47" t="n">
        <x:f>IFERROR(R24/D24,0)</x:f>
        <x:v>1</x:v>
      </x:c>
      <x:c r="T24" s="38" t="n">
        <x:f>MIN(MAX(G24,0),MAX(D24-I24,0))</x:f>
        <x:v>0</x:v>
      </x:c>
      <x:c r="U24" s="44" t="n">
        <x:f>T24*E24</x:f>
        <x:v>0</x:v>
      </x:c>
      <x:c r="V24" s="38" t="n">
        <x:v>0</x:v>
      </x:c>
      <x:c r="W24" s="32" t="n">
        <x:v>0</x:v>
      </x:c>
      <x:c r="X24" s="50"/>
      <x:c r="Y24" s="44" t="n">
        <x:v>27000</x:v>
      </x:c>
      <x:c r="Z24" s="44" t="n">
        <x:f>IF(I24&gt;0,R24*(J24/I24),0)</x:f>
        <x:v>97000</x:v>
      </x:c>
      <x:c r="AA24" s="44" t="n">
        <x:f>Z24-(R24*E24)</x:f>
        <x:v>33000</x:v>
      </x:c>
      <x:c r="AB24" s="47" t="n">
        <x:f>IFERROR(AA24/Z24,0)</x:f>
        <x:v>0.3402061855670103</x:v>
      </x:c>
      <x:c r="AC24" s="32" t="str">
        <x:f>IF(S24=0,"0%",IF(S24&lt;0.5,"1-49%",IF(S24&lt;0.8,"50-79%",IF(S24&lt;1,"80-99%","100%"))))</x:f>
        <x:v>100%</x:v>
      </x:c>
      <x:c r="AD24" s="33" t="str">
        <x:f>IF(G24&lt;0,"Stock negativo",IF(G24&lt;=0,"Sin stock actual",IF(I24&lt;=0,"Sin ventas desde compra",IF(Q24&lt;=0,"Con stock, sin ventas 365d",IF(S24&lt;0.5,"Rotación baja",IF(S24&lt;1,"Rotación media","Compra absorbida; stock repuesto"))))))</x:f>
        <x:v>Sin stock actual</x:v>
      </x:c>
    </x:row>
    <x:row r="25">
      <x:c r="A25" s="31" t="str">
        <x:v>902263</x:v>
      </x:c>
      <x:c r="B25" s="53" t="str">
        <x:v>MANIGUETA DER CA 100 SPLENDOR JAPAN</x:v>
      </x:c>
      <x:c r="C25" s="32" t="n">
        <x:v>2</x:v>
      </x:c>
      <x:c r="D25" s="38" t="n">
        <x:v>10</x:v>
      </x:c>
      <x:c r="E25" s="44" t="n">
        <x:v>6300</x:v>
      </x:c>
      <x:c r="F25" s="44" t="n">
        <x:v>63000</x:v>
      </x:c>
      <x:c r="G25" s="41" t="n">
        <x:v>3</x:v>
      </x:c>
      <x:c r="H25" s="44" t="n">
        <x:f>MAX(G25,0)*E25</x:f>
        <x:v>18900</x:v>
      </x:c>
      <x:c r="I25" s="38" t="n">
        <x:v>10</x:v>
      </x:c>
      <x:c r="J25" s="44" t="n">
        <x:v>102500</x:v>
      </x:c>
      <x:c r="K25" s="32" t="n">
        <x:v>10</x:v>
      </x:c>
      <x:c r="L25" s="50" t="n">
        <x:v>45520.842094907406</x:v>
      </x:c>
      <x:c r="M25" s="50" t="n">
        <x:v>45744.93498842593</x:v>
      </x:c>
      <x:c r="N25" s="32" t="n">
        <x:f>IF(M25="","",MAX(0,'Resumen'!$B$3-M25))</x:f>
        <x:v>522.0650115740718</x:v>
      </x:c>
      <x:c r="O25" s="38" t="n">
        <x:v>0</x:v>
      </x:c>
      <x:c r="P25" s="38" t="n">
        <x:v>0</x:v>
      </x:c>
      <x:c r="Q25" s="38" t="n">
        <x:v>0</x:v>
      </x:c>
      <x:c r="R25" s="38" t="n">
        <x:f>MIN(D25,I25)</x:f>
        <x:v>10</x:v>
      </x:c>
      <x:c r="S25" s="47" t="n">
        <x:f>IFERROR(R25/D25,0)</x:f>
        <x:v>1</x:v>
      </x:c>
      <x:c r="T25" s="38" t="n">
        <x:f>MIN(MAX(G25,0),MAX(D25-I25,0))</x:f>
        <x:v>0</x:v>
      </x:c>
      <x:c r="U25" s="44" t="n">
        <x:f>T25*E25</x:f>
        <x:v>0</x:v>
      </x:c>
      <x:c r="V25" s="38" t="n">
        <x:v>3</x:v>
      </x:c>
      <x:c r="W25" s="32" t="n">
        <x:v>3</x:v>
      </x:c>
      <x:c r="X25" s="50" t="n">
        <x:v>45722</x:v>
      </x:c>
      <x:c r="Y25" s="44" t="n">
        <x:v>9500</x:v>
      </x:c>
      <x:c r="Z25" s="44" t="n">
        <x:f>IF(I25&gt;0,R25*(J25/I25),0)</x:f>
        <x:v>102500</x:v>
      </x:c>
      <x:c r="AA25" s="44" t="n">
        <x:f>Z25-(R25*E25)</x:f>
        <x:v>39500</x:v>
      </x:c>
      <x:c r="AB25" s="47" t="n">
        <x:f>IFERROR(AA25/Z25,0)</x:f>
        <x:v>0.3853658536585366</x:v>
      </x:c>
      <x:c r="AC25" s="32" t="str">
        <x:f>IF(S25=0,"0%",IF(S25&lt;0.5,"1-49%",IF(S25&lt;0.8,"50-79%",IF(S25&lt;1,"80-99%","100%"))))</x:f>
        <x:v>100%</x:v>
      </x:c>
      <x:c r="AD25" s="33" t="str">
        <x:f>IF(G25&lt;0,"Stock negativo",IF(G25&lt;=0,"Sin stock actual",IF(I25&lt;=0,"Sin ventas desde compra",IF(Q25&lt;=0,"Con stock, sin ventas 365d",IF(S25&lt;0.5,"Rotación baja",IF(S25&lt;1,"Rotación media","Compra absorbida; stock repuesto"))))))</x:f>
        <x:v>Con stock, sin ventas 365d</x:v>
      </x:c>
    </x:row>
    <x:row r="26">
      <x:c r="A26" s="31" t="str">
        <x:v>MOTS1023</x:v>
      </x:c>
      <x:c r="B26" s="53" t="str">
        <x:v>RUM COMPLETO NEGRO NIP POW</x:v>
      </x:c>
      <x:c r="C26" s="32" t="n">
        <x:v>1</x:v>
      </x:c>
      <x:c r="D26" s="38" t="n">
        <x:v>9</x:v>
      </x:c>
      <x:c r="E26" s="44" t="n">
        <x:v>6800</x:v>
      </x:c>
      <x:c r="F26" s="44" t="n">
        <x:v>61200</x:v>
      </x:c>
      <x:c r="G26" s="41" t="n">
        <x:v>3</x:v>
      </x:c>
      <x:c r="H26" s="44" t="n">
        <x:f>MAX(G26,0)*E26</x:f>
        <x:v>20400</x:v>
      </x:c>
      <x:c r="I26" s="38" t="n">
        <x:v>9</x:v>
      </x:c>
      <x:c r="J26" s="44" t="n">
        <x:v>98000</x:v>
      </x:c>
      <x:c r="K26" s="32" t="n">
        <x:v>9</x:v>
      </x:c>
      <x:c r="L26" s="50" t="n">
        <x:v>45506.662777777776</x:v>
      </x:c>
      <x:c r="M26" s="50" t="n">
        <x:v>45775.808391203704</x:v>
      </x:c>
      <x:c r="N26" s="32" t="n">
        <x:f>IF(M26="","",MAX(0,'Resumen'!$B$3-M26))</x:f>
        <x:v>491.19160879629635</x:v>
      </x:c>
      <x:c r="O26" s="38" t="n">
        <x:v>0</x:v>
      </x:c>
      <x:c r="P26" s="38" t="n">
        <x:v>0</x:v>
      </x:c>
      <x:c r="Q26" s="38" t="n">
        <x:v>0</x:v>
      </x:c>
      <x:c r="R26" s="38" t="n">
        <x:f>MIN(D26,I26)</x:f>
        <x:v>9</x:v>
      </x:c>
      <x:c r="S26" s="47" t="n">
        <x:f>IFERROR(R26/D26,0)</x:f>
        <x:v>1</x:v>
      </x:c>
      <x:c r="T26" s="38" t="n">
        <x:f>MIN(MAX(G26,0),MAX(D26-I26,0))</x:f>
        <x:v>0</x:v>
      </x:c>
      <x:c r="U26" s="44" t="n">
        <x:f>T26*E26</x:f>
        <x:v>0</x:v>
      </x:c>
      <x:c r="V26" s="38" t="n">
        <x:v>3</x:v>
      </x:c>
      <x:c r="W26" s="32" t="n">
        <x:v>3</x:v>
      </x:c>
      <x:c r="X26" s="50" t="n">
        <x:v>45774</x:v>
      </x:c>
      <x:c r="Y26" s="44" t="n">
        <x:v>11500</x:v>
      </x:c>
      <x:c r="Z26" s="44" t="n">
        <x:f>IF(I26&gt;0,R26*(J26/I26),0)</x:f>
        <x:v>98000</x:v>
      </x:c>
      <x:c r="AA26" s="44" t="n">
        <x:f>Z26-(R26*E26)</x:f>
        <x:v>36800</x:v>
      </x:c>
      <x:c r="AB26" s="47" t="n">
        <x:f>IFERROR(AA26/Z26,0)</x:f>
        <x:v>0.37551020408163266</x:v>
      </x:c>
      <x:c r="AC26" s="32" t="str">
        <x:f>IF(S26=0,"0%",IF(S26&lt;0.5,"1-49%",IF(S26&lt;0.8,"50-79%",IF(S26&lt;1,"80-99%","100%"))))</x:f>
        <x:v>100%</x:v>
      </x:c>
      <x:c r="AD26" s="33" t="str">
        <x:f>IF(G26&lt;0,"Stock negativo",IF(G26&lt;=0,"Sin stock actual",IF(I26&lt;=0,"Sin ventas desde compra",IF(Q26&lt;=0,"Con stock, sin ventas 365d",IF(S26&lt;0.5,"Rotación baja",IF(S26&lt;1,"Rotación media","Compra absorbida; stock repuesto"))))))</x:f>
        <x:v>Con stock, sin ventas 365d</x:v>
      </x:c>
    </x:row>
    <x:row r="27">
      <x:c r="A27" s="31" t="str">
        <x:v>MOTS1286</x:v>
      </x:c>
      <x:c r="B27" s="53" t="str">
        <x:v>VALVULAS BWS UNI VITRI</x:v>
      </x:c>
      <x:c r="C27" s="32" t="n">
        <x:v>1</x:v>
      </x:c>
      <x:c r="D27" s="38" t="n">
        <x:v>4</x:v>
      </x:c>
      <x:c r="E27" s="44" t="n">
        <x:v>15125</x:v>
      </x:c>
      <x:c r="F27" s="44" t="n">
        <x:v>60500</x:v>
      </x:c>
      <x:c r="G27" s="41" t="n">
        <x:v>2</x:v>
      </x:c>
      <x:c r="H27" s="44" t="n">
        <x:f>MAX(G27,0)*E27</x:f>
        <x:v>30250</x:v>
      </x:c>
      <x:c r="I27" s="38" t="n">
        <x:v>2</x:v>
      </x:c>
      <x:c r="J27" s="44" t="n">
        <x:v>45000</x:v>
      </x:c>
      <x:c r="K27" s="32" t="n">
        <x:v>1</x:v>
      </x:c>
      <x:c r="L27" s="50" t="n">
        <x:v>45601.73931712963</x:v>
      </x:c>
      <x:c r="M27" s="50" t="n">
        <x:v>45601.73931712963</x:v>
      </x:c>
      <x:c r="N27" s="32" t="n">
        <x:f>IF(M27="","",MAX(0,'Resumen'!$B$3-M27))</x:f>
        <x:v>665.260682870372</x:v>
      </x:c>
      <x:c r="O27" s="38" t="n">
        <x:v>0</x:v>
      </x:c>
      <x:c r="P27" s="38" t="n">
        <x:v>0</x:v>
      </x:c>
      <x:c r="Q27" s="38" t="n">
        <x:v>0</x:v>
      </x:c>
      <x:c r="R27" s="38" t="n">
        <x:f>MIN(D27,I27)</x:f>
        <x:v>2</x:v>
      </x:c>
      <x:c r="S27" s="47" t="n">
        <x:f>IFERROR(R27/D27,0)</x:f>
        <x:v>0.5</x:v>
      </x:c>
      <x:c r="T27" s="38" t="n">
        <x:f>MIN(MAX(G27,0),MAX(D27-I27,0))</x:f>
        <x:v>2</x:v>
      </x:c>
      <x:c r="U27" s="44" t="n">
        <x:f>T27*E27</x:f>
        <x:v>30250</x:v>
      </x:c>
      <x:c r="V27" s="38" t="n">
        <x:v>0</x:v>
      </x:c>
      <x:c r="W27" s="32" t="n">
        <x:v>0</x:v>
      </x:c>
      <x:c r="X27" s="50"/>
      <x:c r="Y27" s="44" t="n">
        <x:v>25500</x:v>
      </x:c>
      <x:c r="Z27" s="44" t="n">
        <x:f>IF(I27&gt;0,R27*(J27/I27),0)</x:f>
        <x:v>45000</x:v>
      </x:c>
      <x:c r="AA27" s="44" t="n">
        <x:f>Z27-(R27*E27)</x:f>
        <x:v>14750</x:v>
      </x:c>
      <x:c r="AB27" s="47" t="n">
        <x:f>IFERROR(AA27/Z27,0)</x:f>
        <x:v>0.3277777777777778</x:v>
      </x:c>
      <x:c r="AC27" s="32" t="str">
        <x:f>IF(S27=0,"0%",IF(S27&lt;0.5,"1-49%",IF(S27&lt;0.8,"50-79%",IF(S27&lt;1,"80-99%","100%"))))</x:f>
        <x:v>50-79%</x:v>
      </x:c>
      <x:c r="AD27" s="33" t="str">
        <x:f>IF(G27&lt;0,"Stock negativo",IF(G27&lt;=0,"Sin stock actual",IF(I27&lt;=0,"Sin ventas desde compra",IF(Q27&lt;=0,"Con stock, sin ventas 365d",IF(S27&lt;0.5,"Rotación baja",IF(S27&lt;1,"Rotación media","Compra absorbida; stock repuesto"))))))</x:f>
        <x:v>Con stock, sin ventas 365d</x:v>
      </x:c>
    </x:row>
    <x:row r="28">
      <x:c r="A28" s="31" t="str">
        <x:v>MOTS1213</x:v>
      </x:c>
      <x:c r="B28" s="53" t="str">
        <x:v>BANDA FRENO TRA  ECO DELUXE CROWN</x:v>
      </x:c>
      <x:c r="C28" s="32" t="n">
        <x:v>1</x:v>
      </x:c>
      <x:c r="D28" s="38" t="n">
        <x:v>5</x:v>
      </x:c>
      <x:c r="E28" s="44" t="n">
        <x:v>12000</x:v>
      </x:c>
      <x:c r="F28" s="44" t="n">
        <x:v>60000</x:v>
      </x:c>
      <x:c r="G28" s="41" t="n">
        <x:v>1</x:v>
      </x:c>
      <x:c r="H28" s="44" t="n">
        <x:f>MAX(G28,0)*E28</x:f>
        <x:v>12000</x:v>
      </x:c>
      <x:c r="I28" s="38" t="n">
        <x:v>5</x:v>
      </x:c>
      <x:c r="J28" s="44" t="n">
        <x:v>87000</x:v>
      </x:c>
      <x:c r="K28" s="32" t="n">
        <x:v>5</x:v>
      </x:c>
      <x:c r="L28" s="50" t="n">
        <x:v>45568.57150462963</x:v>
      </x:c>
      <x:c r="M28" s="50" t="n">
        <x:v>45901.7725</x:v>
      </x:c>
      <x:c r="N28" s="32" t="n">
        <x:f>IF(M28="","",MAX(0,'Resumen'!$B$3-M28))</x:f>
        <x:v>365.2275000000009</x:v>
      </x:c>
      <x:c r="O28" s="38" t="n">
        <x:v>0</x:v>
      </x:c>
      <x:c r="P28" s="38" t="n">
        <x:v>0</x:v>
      </x:c>
      <x:c r="Q28" s="38" t="n">
        <x:v>0</x:v>
      </x:c>
      <x:c r="R28" s="38" t="n">
        <x:f>MIN(D28,I28)</x:f>
        <x:v>5</x:v>
      </x:c>
      <x:c r="S28" s="47" t="n">
        <x:f>IFERROR(R28/D28,0)</x:f>
        <x:v>1</x:v>
      </x:c>
      <x:c r="T28" s="38" t="n">
        <x:f>MIN(MAX(G28,0),MAX(D28-I28,0))</x:f>
        <x:v>0</x:v>
      </x:c>
      <x:c r="U28" s="44" t="n">
        <x:f>T28*E28</x:f>
        <x:v>0</x:v>
      </x:c>
      <x:c r="V28" s="38" t="n">
        <x:v>1</x:v>
      </x:c>
      <x:c r="W28" s="32" t="n">
        <x:v>1</x:v>
      </x:c>
      <x:c r="X28" s="50" t="n">
        <x:v>45758</x:v>
      </x:c>
      <x:c r="Y28" s="44" t="n">
        <x:v>16000</x:v>
      </x:c>
      <x:c r="Z28" s="44" t="n">
        <x:f>IF(I28&gt;0,R28*(J28/I28),0)</x:f>
        <x:v>87000</x:v>
      </x:c>
      <x:c r="AA28" s="44" t="n">
        <x:f>Z28-(R28*E28)</x:f>
        <x:v>27000</x:v>
      </x:c>
      <x:c r="AB28" s="47" t="n">
        <x:f>IFERROR(AA28/Z28,0)</x:f>
        <x:v>0.3103448275862069</x:v>
      </x:c>
      <x:c r="AC28" s="32" t="str">
        <x:f>IF(S28=0,"0%",IF(S28&lt;0.5,"1-49%",IF(S28&lt;0.8,"50-79%",IF(S28&lt;1,"80-99%","100%"))))</x:f>
        <x:v>100%</x:v>
      </x:c>
      <x:c r="AD28" s="33" t="str">
        <x:f>IF(G28&lt;0,"Stock negativo",IF(G28&lt;=0,"Sin stock actual",IF(I28&lt;=0,"Sin ventas desde compra",IF(Q28&lt;=0,"Con stock, sin ventas 365d",IF(S28&lt;0.5,"Rotación baja",IF(S28&lt;1,"Rotación media","Compra absorbida; stock repuesto"))))))</x:f>
        <x:v>Con stock, sin ventas 365d</x:v>
      </x:c>
    </x:row>
    <x:row r="29">
      <x:c r="A29" s="31" t="str">
        <x:v>MOTS1303</x:v>
      </x:c>
      <x:c r="B29" s="53" t="str">
        <x:v>EMPAQUE TAPA CLUCTH CB 110 EMP AMERICA</x:v>
      </x:c>
      <x:c r="C29" s="32" t="n">
        <x:v>1</x:v>
      </x:c>
      <x:c r="D29" s="38" t="n">
        <x:v>5</x:v>
      </x:c>
      <x:c r="E29" s="44" t="n">
        <x:v>12000</x:v>
      </x:c>
      <x:c r="F29" s="44" t="n">
        <x:v>60000</x:v>
      </x:c>
      <x:c r="G29" s="41" t="n">
        <x:v>4</x:v>
      </x:c>
      <x:c r="H29" s="44" t="n">
        <x:f>MAX(G29,0)*E29</x:f>
        <x:v>48000</x:v>
      </x:c>
      <x:c r="I29" s="38" t="n">
        <x:v>1</x:v>
      </x:c>
      <x:c r="J29" s="44" t="n">
        <x:v>5000</x:v>
      </x:c>
      <x:c r="K29" s="32" t="n">
        <x:v>1</x:v>
      </x:c>
      <x:c r="L29" s="50" t="n">
        <x:v>45685.631944444445</x:v>
      </x:c>
      <x:c r="M29" s="50" t="n">
        <x:v>45685.631944444445</x:v>
      </x:c>
      <x:c r="N29" s="32" t="n">
        <x:f>IF(M29="","",MAX(0,'Resumen'!$B$3-M29))</x:f>
        <x:v>581.3680555555547</x:v>
      </x:c>
      <x:c r="O29" s="38" t="n">
        <x:v>0</x:v>
      </x:c>
      <x:c r="P29" s="38" t="n">
        <x:v>0</x:v>
      </x:c>
      <x:c r="Q29" s="38" t="n">
        <x:v>0</x:v>
      </x:c>
      <x:c r="R29" s="38" t="n">
        <x:f>MIN(D29,I29)</x:f>
        <x:v>1</x:v>
      </x:c>
      <x:c r="S29" s="47" t="n">
        <x:f>IFERROR(R29/D29,0)</x:f>
        <x:v>0.2</x:v>
      </x:c>
      <x:c r="T29" s="38" t="n">
        <x:f>MIN(MAX(G29,0),MAX(D29-I29,0))</x:f>
        <x:v>4</x:v>
      </x:c>
      <x:c r="U29" s="44" t="n">
        <x:f>T29*E29</x:f>
        <x:v>48000</x:v>
      </x:c>
      <x:c r="V29" s="38" t="n">
        <x:v>0</x:v>
      </x:c>
      <x:c r="W29" s="32" t="n">
        <x:v>0</x:v>
      </x:c>
      <x:c r="X29" s="50"/>
      <x:c r="Y29" s="44" t="n">
        <x:v>20000</x:v>
      </x:c>
      <x:c r="Z29" s="44" t="n">
        <x:f>IF(I29&gt;0,R29*(J29/I29),0)</x:f>
        <x:v>5000</x:v>
      </x:c>
      <x:c r="AA29" s="44" t="n">
        <x:f>Z29-(R29*E29)</x:f>
        <x:v>-7000</x:v>
      </x:c>
      <x:c r="AB29" s="47" t="n">
        <x:f>IFERROR(AA29/Z29,0)</x:f>
        <x:v>-1.4</x:v>
      </x:c>
      <x:c r="AC29" s="32" t="str">
        <x:f>IF(S29=0,"0%",IF(S29&lt;0.5,"1-49%",IF(S29&lt;0.8,"50-79%",IF(S29&lt;1,"80-99%","100%"))))</x:f>
        <x:v>1-49%</x:v>
      </x:c>
      <x:c r="AD29" s="33" t="str">
        <x:f>IF(G29&lt;0,"Stock negativo",IF(G29&lt;=0,"Sin stock actual",IF(I29&lt;=0,"Sin ventas desde compra",IF(Q29&lt;=0,"Con stock, sin ventas 365d",IF(S29&lt;0.5,"Rotación baja",IF(S29&lt;1,"Rotación media","Compra absorbida; stock repuesto"))))))</x:f>
        <x:v>Con stock, sin ventas 365d</x:v>
      </x:c>
    </x:row>
    <x:row r="30">
      <x:c r="A30" s="31" t="str">
        <x:v>MOTS1065</x:v>
      </x:c>
      <x:c r="B30" s="53" t="str">
        <x:v>RETEN 20-40-8</x:v>
      </x:c>
      <x:c r="C30" s="32" t="n">
        <x:v>1</x:v>
      </x:c>
      <x:c r="D30" s="38" t="n">
        <x:v>19</x:v>
      </x:c>
      <x:c r="E30" s="44" t="n">
        <x:v>3000</x:v>
      </x:c>
      <x:c r="F30" s="44" t="n">
        <x:v>57000</x:v>
      </x:c>
      <x:c r="G30" s="41" t="n">
        <x:v>19</x:v>
      </x:c>
      <x:c r="H30" s="44" t="n">
        <x:f>MAX(G30,0)*E30</x:f>
        <x:v>57000</x:v>
      </x:c>
      <x:c r="I30" s="38" t="n">
        <x:v>0</x:v>
      </x:c>
      <x:c r="J30" s="44" t="n">
        <x:v>0</x:v>
      </x:c>
      <x:c r="K30" s="32" t="n">
        <x:v>0</x:v>
      </x:c>
      <x:c r="L30" s="50"/>
      <x:c r="M30" s="50"/>
      <x:c r="N30" s="32" t="str">
        <x:f>IF(M30="","",MAX(0,'Resumen'!$B$3-M30))</x:f>
      </x:c>
      <x:c r="O30" s="38" t="n">
        <x:v>0</x:v>
      </x:c>
      <x:c r="P30" s="38" t="n">
        <x:v>0</x:v>
      </x:c>
      <x:c r="Q30" s="38" t="n">
        <x:v>0</x:v>
      </x:c>
      <x:c r="R30" s="38" t="n">
        <x:f>MIN(D30,I30)</x:f>
        <x:v>0</x:v>
      </x:c>
      <x:c r="S30" s="47" t="n">
        <x:f>IFERROR(R30/D30,0)</x:f>
        <x:v>0</x:v>
      </x:c>
      <x:c r="T30" s="38" t="n">
        <x:f>MIN(MAX(G30,0),MAX(D30-I30,0))</x:f>
        <x:v>19</x:v>
      </x:c>
      <x:c r="U30" s="44" t="n">
        <x:f>T30*E30</x:f>
        <x:v>57000</x:v>
      </x:c>
      <x:c r="V30" s="38" t="n">
        <x:v>0</x:v>
      </x:c>
      <x:c r="W30" s="32" t="n">
        <x:v>0</x:v>
      </x:c>
      <x:c r="X30" s="50"/>
      <x:c r="Y30" s="44" t="n">
        <x:v>5000</x:v>
      </x:c>
      <x:c r="Z30" s="44" t="n">
        <x:f>IF(I30&gt;0,R30*(J30/I30),0)</x:f>
        <x:v>0</x:v>
      </x:c>
      <x:c r="AA30" s="44" t="n">
        <x:f>Z30-(R30*E30)</x:f>
        <x:v>0</x:v>
      </x:c>
      <x:c r="AB30" s="47" t="n">
        <x:f>IFERROR(AA30/Z30,0)</x:f>
        <x:v>0</x:v>
      </x:c>
      <x:c r="AC30" s="32" t="str">
        <x:f>IF(S30=0,"0%",IF(S30&lt;0.5,"1-49%",IF(S30&lt;0.8,"50-79%",IF(S30&lt;1,"80-99%","100%"))))</x:f>
        <x:v>0%</x:v>
      </x:c>
      <x:c r="AD30" s="33" t="str">
        <x:f>IF(G30&lt;0,"Stock negativo",IF(G30&lt;=0,"Sin stock actual",IF(I30&lt;=0,"Sin ventas desde compra",IF(Q30&lt;=0,"Con stock, sin ventas 365d",IF(S30&lt;0.5,"Rotación baja",IF(S30&lt;1,"Rotación media","Compra absorbida; stock repuesto"))))))</x:f>
        <x:v>Sin ventas desde compra</x:v>
      </x:c>
    </x:row>
    <x:row r="31">
      <x:c r="A31" s="31" t="str">
        <x:v>MOTS1197</x:v>
      </x:c>
      <x:c r="B31" s="53" t="str">
        <x:v>SPROKER Y PIÑON CB 110</x:v>
      </x:c>
      <x:c r="C31" s="32" t="n">
        <x:v>1</x:v>
      </x:c>
      <x:c r="D31" s="38" t="n">
        <x:v>2</x:v>
      </x:c>
      <x:c r="E31" s="44" t="n">
        <x:v>28000</x:v>
      </x:c>
      <x:c r="F31" s="44" t="n">
        <x:v>56000</x:v>
      </x:c>
      <x:c r="G31" s="41" t="n">
        <x:v>2</x:v>
      </x:c>
      <x:c r="H31" s="44" t="n">
        <x:f>MAX(G31,0)*E31</x:f>
        <x:v>56000</x:v>
      </x:c>
      <x:c r="I31" s="38" t="n">
        <x:v>0</x:v>
      </x:c>
      <x:c r="J31" s="44" t="n">
        <x:v>0</x:v>
      </x:c>
      <x:c r="K31" s="32" t="n">
        <x:v>0</x:v>
      </x:c>
      <x:c r="L31" s="50"/>
      <x:c r="M31" s="50"/>
      <x:c r="N31" s="32" t="str">
        <x:f>IF(M31="","",MAX(0,'Resumen'!$B$3-M31))</x:f>
      </x:c>
      <x:c r="O31" s="38" t="n">
        <x:v>0</x:v>
      </x:c>
      <x:c r="P31" s="38" t="n">
        <x:v>0</x:v>
      </x:c>
      <x:c r="Q31" s="38" t="n">
        <x:v>0</x:v>
      </x:c>
      <x:c r="R31" s="38" t="n">
        <x:f>MIN(D31,I31)</x:f>
        <x:v>0</x:v>
      </x:c>
      <x:c r="S31" s="47" t="n">
        <x:f>IFERROR(R31/D31,0)</x:f>
        <x:v>0</x:v>
      </x:c>
      <x:c r="T31" s="38" t="n">
        <x:f>MIN(MAX(G31,0),MAX(D31-I31,0))</x:f>
        <x:v>2</x:v>
      </x:c>
      <x:c r="U31" s="44" t="n">
        <x:f>T31*E31</x:f>
        <x:v>56000</x:v>
      </x:c>
      <x:c r="V31" s="38" t="n">
        <x:v>0</x:v>
      </x:c>
      <x:c r="W31" s="32" t="n">
        <x:v>0</x:v>
      </x:c>
      <x:c r="X31" s="50"/>
      <x:c r="Y31" s="44" t="n">
        <x:v>35000</x:v>
      </x:c>
      <x:c r="Z31" s="44" t="n">
        <x:f>IF(I31&gt;0,R31*(J31/I31),0)</x:f>
        <x:v>0</x:v>
      </x:c>
      <x:c r="AA31" s="44" t="n">
        <x:f>Z31-(R31*E31)</x:f>
        <x:v>0</x:v>
      </x:c>
      <x:c r="AB31" s="47" t="n">
        <x:f>IFERROR(AA31/Z31,0)</x:f>
        <x:v>0</x:v>
      </x:c>
      <x:c r="AC31" s="32" t="str">
        <x:f>IF(S31=0,"0%",IF(S31&lt;0.5,"1-49%",IF(S31&lt;0.8,"50-79%",IF(S31&lt;1,"80-99%","100%"))))</x:f>
        <x:v>0%</x:v>
      </x:c>
      <x:c r="AD31" s="33" t="str">
        <x:f>IF(G31&lt;0,"Stock negativo",IF(G31&lt;=0,"Sin stock actual",IF(I31&lt;=0,"Sin ventas desde compra",IF(Q31&lt;=0,"Con stock, sin ventas 365d",IF(S31&lt;0.5,"Rotación baja",IF(S31&lt;1,"Rotación media","Compra absorbida; stock repuesto"))))))</x:f>
        <x:v>Sin ventas desde compra</x:v>
      </x:c>
    </x:row>
    <x:row r="32">
      <x:c r="A32" s="31" t="str">
        <x:v>619142</x:v>
      </x:c>
      <x:c r="B32" s="53" t="str">
        <x:v>KIT MEDIO EMPAQUE PULSAR 200 NS GPP</x:v>
      </x:c>
      <x:c r="C32" s="32" t="n">
        <x:v>1</x:v>
      </x:c>
      <x:c r="D32" s="38" t="n">
        <x:v>6</x:v>
      </x:c>
      <x:c r="E32" s="44" t="n">
        <x:v>9000</x:v>
      </x:c>
      <x:c r="F32" s="44" t="n">
        <x:v>54000</x:v>
      </x:c>
      <x:c r="G32" s="41" t="n">
        <x:v>5</x:v>
      </x:c>
      <x:c r="H32" s="44" t="n">
        <x:f>MAX(G32,0)*E32</x:f>
        <x:v>45000</x:v>
      </x:c>
      <x:c r="I32" s="38" t="n">
        <x:v>1</x:v>
      </x:c>
      <x:c r="J32" s="44" t="n">
        <x:v>12000</x:v>
      </x:c>
      <x:c r="K32" s="32" t="n">
        <x:v>1</x:v>
      </x:c>
      <x:c r="L32" s="50" t="n">
        <x:v>45652.840520833335</x:v>
      </x:c>
      <x:c r="M32" s="50" t="n">
        <x:v>45652.840520833335</x:v>
      </x:c>
      <x:c r="N32" s="32" t="n">
        <x:f>IF(M32="","",MAX(0,'Resumen'!$B$3-M32))</x:f>
        <x:v>614.1594791666648</x:v>
      </x:c>
      <x:c r="O32" s="38" t="n">
        <x:v>0</x:v>
      </x:c>
      <x:c r="P32" s="38" t="n">
        <x:v>0</x:v>
      </x:c>
      <x:c r="Q32" s="38" t="n">
        <x:v>0</x:v>
      </x:c>
      <x:c r="R32" s="38" t="n">
        <x:f>MIN(D32,I32)</x:f>
        <x:v>1</x:v>
      </x:c>
      <x:c r="S32" s="47" t="n">
        <x:f>IFERROR(R32/D32,0)</x:f>
        <x:v>0.16666666666666666</x:v>
      </x:c>
      <x:c r="T32" s="38" t="n">
        <x:f>MIN(MAX(G32,0),MAX(D32-I32,0))</x:f>
        <x:v>5</x:v>
      </x:c>
      <x:c r="U32" s="44" t="n">
        <x:f>T32*E32</x:f>
        <x:v>45000</x:v>
      </x:c>
      <x:c r="V32" s="38" t="n">
        <x:v>0</x:v>
      </x:c>
      <x:c r="W32" s="32" t="n">
        <x:v>0</x:v>
      </x:c>
      <x:c r="X32" s="50"/>
      <x:c r="Y32" s="44" t="n">
        <x:v>15000</x:v>
      </x:c>
      <x:c r="Z32" s="44" t="n">
        <x:f>IF(I32&gt;0,R32*(J32/I32),0)</x:f>
        <x:v>12000</x:v>
      </x:c>
      <x:c r="AA32" s="44" t="n">
        <x:f>Z32-(R32*E32)</x:f>
        <x:v>3000</x:v>
      </x:c>
      <x:c r="AB32" s="47" t="n">
        <x:f>IFERROR(AA32/Z32,0)</x:f>
        <x:v>0.25</x:v>
      </x:c>
      <x:c r="AC32" s="32" t="str">
        <x:f>IF(S32=0,"0%",IF(S32&lt;0.5,"1-49%",IF(S32&lt;0.8,"50-79%",IF(S32&lt;1,"80-99%","100%"))))</x:f>
        <x:v>1-49%</x:v>
      </x:c>
      <x:c r="AD32" s="33" t="str">
        <x:f>IF(G32&lt;0,"Stock negativo",IF(G32&lt;=0,"Sin stock actual",IF(I32&lt;=0,"Sin ventas desde compra",IF(Q32&lt;=0,"Con stock, sin ventas 365d",IF(S32&lt;0.5,"Rotación baja",IF(S32&lt;1,"Rotación media","Compra absorbida; stock repuesto"))))))</x:f>
        <x:v>Con stock, sin ventas 365d</x:v>
      </x:c>
    </x:row>
    <x:row r="33">
      <x:c r="A33" s="31" t="str">
        <x:v>902928</x:v>
      </x:c>
      <x:c r="B33" s="53" t="str">
        <x:v>MANIGUETA IZQ BWS 100 CROMADA JAPAN</x:v>
      </x:c>
      <x:c r="C33" s="32" t="n">
        <x:v>1</x:v>
      </x:c>
      <x:c r="D33" s="38" t="n">
        <x:v>6</x:v>
      </x:c>
      <x:c r="E33" s="44" t="n">
        <x:v>9000</x:v>
      </x:c>
      <x:c r="F33" s="44" t="n">
        <x:v>54000</x:v>
      </x:c>
      <x:c r="G33" s="41" t="n">
        <x:v>2</x:v>
      </x:c>
      <x:c r="H33" s="44" t="n">
        <x:f>MAX(G33,0)*E33</x:f>
        <x:v>18000</x:v>
      </x:c>
      <x:c r="I33" s="38" t="n">
        <x:v>5</x:v>
      </x:c>
      <x:c r="J33" s="44" t="n">
        <x:v>64000</x:v>
      </x:c>
      <x:c r="K33" s="32" t="n">
        <x:v>5</x:v>
      </x:c>
      <x:c r="L33" s="50" t="n">
        <x:v>45530.55920138889</x:v>
      </x:c>
      <x:c r="M33" s="50" t="n">
        <x:v>45946.801087962966</x:v>
      </x:c>
      <x:c r="N33" s="32" t="n">
        <x:f>IF(M33="","",MAX(0,'Resumen'!$B$3-M33))</x:f>
        <x:v>320.19891203703446</x:v>
      </x:c>
      <x:c r="O33" s="38" t="n">
        <x:v>0</x:v>
      </x:c>
      <x:c r="P33" s="38" t="n">
        <x:v>0</x:v>
      </x:c>
      <x:c r="Q33" s="38" t="n">
        <x:v>1</x:v>
      </x:c>
      <x:c r="R33" s="38" t="n">
        <x:f>MIN(D33,I33)</x:f>
        <x:v>5</x:v>
      </x:c>
      <x:c r="S33" s="47" t="n">
        <x:f>IFERROR(R33/D33,0)</x:f>
        <x:v>0.8333333333333334</x:v>
      </x:c>
      <x:c r="T33" s="38" t="n">
        <x:f>MIN(MAX(G33,0),MAX(D33-I33,0))</x:f>
        <x:v>1</x:v>
      </x:c>
      <x:c r="U33" s="44" t="n">
        <x:f>T33*E33</x:f>
        <x:v>9000</x:v>
      </x:c>
      <x:c r="V33" s="38" t="n">
        <x:v>1</x:v>
      </x:c>
      <x:c r="W33" s="32" t="n">
        <x:v>1</x:v>
      </x:c>
      <x:c r="X33" s="50" t="n">
        <x:v>45875</x:v>
      </x:c>
      <x:c r="Y33" s="44" t="n">
        <x:v>15000</x:v>
      </x:c>
      <x:c r="Z33" s="44" t="n">
        <x:f>IF(I33&gt;0,R33*(J33/I33),0)</x:f>
        <x:v>64000</x:v>
      </x:c>
      <x:c r="AA33" s="44" t="n">
        <x:f>Z33-(R33*E33)</x:f>
        <x:v>19000</x:v>
      </x:c>
      <x:c r="AB33" s="47" t="n">
        <x:f>IFERROR(AA33/Z33,0)</x:f>
        <x:v>0.296875</x:v>
      </x:c>
      <x:c r="AC33" s="32" t="str">
        <x:f>IF(S33=0,"0%",IF(S33&lt;0.5,"1-49%",IF(S33&lt;0.8,"50-79%",IF(S33&lt;1,"80-99%","100%"))))</x:f>
        <x:v>80-99%</x:v>
      </x:c>
      <x:c r="AD33" s="33" t="str">
        <x:f>IF(G33&lt;0,"Stock negativo",IF(G33&lt;=0,"Sin stock actual",IF(I33&lt;=0,"Sin ventas desde compra",IF(Q33&lt;=0,"Con stock, sin ventas 365d",IF(S33&lt;0.5,"Rotación baja",IF(S33&lt;1,"Rotación media","Compra absorbida; stock repuesto"))))))</x:f>
        <x:v>Rotación media</x:v>
      </x:c>
    </x:row>
    <x:row r="34">
      <x:c r="A34" s="31" t="str">
        <x:v>MOTS1243</x:v>
      </x:c>
      <x:c r="B34" s="53" t="str">
        <x:v>BALINERA 6304 C3 KOYO</x:v>
      </x:c>
      <x:c r="C34" s="32" t="n">
        <x:v>1</x:v>
      </x:c>
      <x:c r="D34" s="38" t="n">
        <x:v>4</x:v>
      </x:c>
      <x:c r="E34" s="44" t="n">
        <x:v>13500</x:v>
      </x:c>
      <x:c r="F34" s="44" t="n">
        <x:v>54000</x:v>
      </x:c>
      <x:c r="G34" s="41" t="n">
        <x:v>9</x:v>
      </x:c>
      <x:c r="H34" s="44" t="n">
        <x:f>MAX(G34,0)*E34</x:f>
        <x:v>121500</x:v>
      </x:c>
      <x:c r="I34" s="38" t="n">
        <x:v>4</x:v>
      </x:c>
      <x:c r="J34" s="44" t="n">
        <x:v>101000</x:v>
      </x:c>
      <x:c r="K34" s="32" t="n">
        <x:v>3</x:v>
      </x:c>
      <x:c r="L34" s="50" t="n">
        <x:v>45548.79119212963</x:v>
      </x:c>
      <x:c r="M34" s="50" t="n">
        <x:v>45670.96224537037</x:v>
      </x:c>
      <x:c r="N34" s="32" t="n">
        <x:f>IF(M34="","",MAX(0,'Resumen'!$B$3-M34))</x:f>
        <x:v>596.0377546296295</x:v>
      </x:c>
      <x:c r="O34" s="38" t="n">
        <x:v>0</x:v>
      </x:c>
      <x:c r="P34" s="38" t="n">
        <x:v>0</x:v>
      </x:c>
      <x:c r="Q34" s="38" t="n">
        <x:v>0</x:v>
      </x:c>
      <x:c r="R34" s="38" t="n">
        <x:f>MIN(D34,I34)</x:f>
        <x:v>4</x:v>
      </x:c>
      <x:c r="S34" s="47" t="n">
        <x:f>IFERROR(R34/D34,0)</x:f>
        <x:v>1</x:v>
      </x:c>
      <x:c r="T34" s="38" t="n">
        <x:f>MIN(MAX(G34,0),MAX(D34-I34,0))</x:f>
        <x:v>0</x:v>
      </x:c>
      <x:c r="U34" s="44" t="n">
        <x:f>T34*E34</x:f>
        <x:v>0</x:v>
      </x:c>
      <x:c r="V34" s="38" t="n">
        <x:v>9</x:v>
      </x:c>
      <x:c r="W34" s="32" t="n">
        <x:v>5</x:v>
      </x:c>
      <x:c r="X34" s="50" t="n">
        <x:v>45667</x:v>
      </x:c>
      <x:c r="Y34" s="44" t="n">
        <x:v>28000</x:v>
      </x:c>
      <x:c r="Z34" s="44" t="n">
        <x:f>IF(I34&gt;0,R34*(J34/I34),0)</x:f>
        <x:v>101000</x:v>
      </x:c>
      <x:c r="AA34" s="44" t="n">
        <x:f>Z34-(R34*E34)</x:f>
        <x:v>47000</x:v>
      </x:c>
      <x:c r="AB34" s="47" t="n">
        <x:f>IFERROR(AA34/Z34,0)</x:f>
        <x:v>0.46534653465346537</x:v>
      </x:c>
      <x:c r="AC34" s="32" t="str">
        <x:f>IF(S34=0,"0%",IF(S34&lt;0.5,"1-49%",IF(S34&lt;0.8,"50-79%",IF(S34&lt;1,"80-99%","100%"))))</x:f>
        <x:v>100%</x:v>
      </x:c>
      <x:c r="AD34" s="33" t="str">
        <x:f>IF(G34&lt;0,"Stock negativo",IF(G34&lt;=0,"Sin stock actual",IF(I34&lt;=0,"Sin ventas desde compra",IF(Q34&lt;=0,"Con stock, sin ventas 365d",IF(S34&lt;0.5,"Rotación baja",IF(S34&lt;1,"Rotación media","Compra absorbida; stock repuesto"))))))</x:f>
        <x:v>Con stock, sin ventas 365d</x:v>
      </x:c>
    </x:row>
    <x:row r="35">
      <x:c r="A35" s="31" t="str">
        <x:v>BAL - 052</x:v>
      </x:c>
      <x:c r="B35" s="53" t="str">
        <x:v>BALANCIN ECO HERO</x:v>
      </x:c>
      <x:c r="C35" s="32" t="n">
        <x:v>1</x:v>
      </x:c>
      <x:c r="D35" s="38" t="n">
        <x:v>2</x:v>
      </x:c>
      <x:c r="E35" s="44" t="n">
        <x:v>26800</x:v>
      </x:c>
      <x:c r="F35" s="44" t="n">
        <x:v>53600</x:v>
      </x:c>
      <x:c r="G35" s="41" t="n">
        <x:v>2</x:v>
      </x:c>
      <x:c r="H35" s="44" t="n">
        <x:f>MAX(G35,0)*E35</x:f>
        <x:v>53600</x:v>
      </x:c>
      <x:c r="I35" s="38" t="n">
        <x:v>2</x:v>
      </x:c>
      <x:c r="J35" s="44" t="n">
        <x:v>87000</x:v>
      </x:c>
      <x:c r="K35" s="32" t="n">
        <x:v>2</x:v>
      </x:c>
      <x:c r="L35" s="50" t="n">
        <x:v>45617.876435185186</x:v>
      </x:c>
      <x:c r="M35" s="50" t="n">
        <x:v>45934.7259837963</x:v>
      </x:c>
      <x:c r="N35" s="32" t="n">
        <x:f>IF(M35="","",MAX(0,'Resumen'!$B$3-M35))</x:f>
        <x:v>332.27401620370074</x:v>
      </x:c>
      <x:c r="O35" s="38" t="n">
        <x:v>0</x:v>
      </x:c>
      <x:c r="P35" s="38" t="n">
        <x:v>0</x:v>
      </x:c>
      <x:c r="Q35" s="38" t="n">
        <x:v>1</x:v>
      </x:c>
      <x:c r="R35" s="38" t="n">
        <x:f>MIN(D35,I35)</x:f>
        <x:v>2</x:v>
      </x:c>
      <x:c r="S35" s="47" t="n">
        <x:f>IFERROR(R35/D35,0)</x:f>
        <x:v>1</x:v>
      </x:c>
      <x:c r="T35" s="38" t="n">
        <x:f>MIN(MAX(G35,0),MAX(D35-I35,0))</x:f>
        <x:v>0</x:v>
      </x:c>
      <x:c r="U35" s="44" t="n">
        <x:f>T35*E35</x:f>
        <x:v>0</x:v>
      </x:c>
      <x:c r="V35" s="38" t="n">
        <x:v>2</x:v>
      </x:c>
      <x:c r="W35" s="32" t="n">
        <x:v>2</x:v>
      </x:c>
      <x:c r="X35" s="50" t="n">
        <x:v>45934</x:v>
      </x:c>
      <x:c r="Y35" s="44" t="n">
        <x:v>45000</x:v>
      </x:c>
      <x:c r="Z35" s="44" t="n">
        <x:f>IF(I35&gt;0,R35*(J35/I35),0)</x:f>
        <x:v>87000</x:v>
      </x:c>
      <x:c r="AA35" s="44" t="n">
        <x:f>Z35-(R35*E35)</x:f>
        <x:v>33400</x:v>
      </x:c>
      <x:c r="AB35" s="47" t="n">
        <x:f>IFERROR(AA35/Z35,0)</x:f>
        <x:v>0.3839080459770115</x:v>
      </x:c>
      <x:c r="AC35" s="32" t="str">
        <x:f>IF(S35=0,"0%",IF(S35&lt;0.5,"1-49%",IF(S35&lt;0.8,"50-79%",IF(S35&lt;1,"80-99%","100%"))))</x:f>
        <x:v>100%</x:v>
      </x:c>
      <x:c r="AD35" s="33" t="str">
        <x:f>IF(G35&lt;0,"Stock negativo",IF(G35&lt;=0,"Sin stock actual",IF(I35&lt;=0,"Sin ventas desde compra",IF(Q35&lt;=0,"Con stock, sin ventas 365d",IF(S35&lt;0.5,"Rotación baja",IF(S35&lt;1,"Rotación media","Compra absorbida; stock repuesto"))))))</x:f>
        <x:v>Compra absorbida; stock repuesto</x:v>
      </x:c>
    </x:row>
    <x:row r="36">
      <x:c r="A36" s="31" t="str">
        <x:v>MOTS1245</x:v>
      </x:c>
      <x:c r="B36" s="53" t="str">
        <x:v>TORNILLO PORTA BANDA UNIVERSAL</x:v>
      </x:c>
      <x:c r="C36" s="32" t="n">
        <x:v>1</x:v>
      </x:c>
      <x:c r="D36" s="38" t="n">
        <x:v>41</x:v>
      </x:c>
      <x:c r="E36" s="44" t="n">
        <x:v>1300</x:v>
      </x:c>
      <x:c r="F36" s="44" t="n">
        <x:v>53300</x:v>
      </x:c>
      <x:c r="G36" s="41" t="n">
        <x:v>29</x:v>
      </x:c>
      <x:c r="H36" s="44" t="n">
        <x:f>MAX(G36,0)*E36</x:f>
        <x:v>37700</x:v>
      </x:c>
      <x:c r="I36" s="38" t="n">
        <x:v>13</x:v>
      </x:c>
      <x:c r="J36" s="44" t="n">
        <x:v>32500</x:v>
      </x:c>
      <x:c r="K36" s="32" t="n">
        <x:v>10</x:v>
      </x:c>
      <x:c r="L36" s="50" t="n">
        <x:v>45510.847719907404</x:v>
      </x:c>
      <x:c r="M36" s="50" t="n">
        <x:v>46038.924791666665</x:v>
      </x:c>
      <x:c r="N36" s="32" t="n">
        <x:f>IF(M36="","",MAX(0,'Resumen'!$B$3-M36))</x:f>
        <x:v>228.07520833333547</x:v>
      </x:c>
      <x:c r="O36" s="38" t="n">
        <x:v>0</x:v>
      </x:c>
      <x:c r="P36" s="38" t="n">
        <x:v>0</x:v>
      </x:c>
      <x:c r="Q36" s="38" t="n">
        <x:v>1</x:v>
      </x:c>
      <x:c r="R36" s="38" t="n">
        <x:f>MIN(D36,I36)</x:f>
        <x:v>13</x:v>
      </x:c>
      <x:c r="S36" s="47" t="n">
        <x:f>IFERROR(R36/D36,0)</x:f>
        <x:v>0.3170731707317073</x:v>
      </x:c>
      <x:c r="T36" s="38" t="n">
        <x:f>MIN(MAX(G36,0),MAX(D36-I36,0))</x:f>
        <x:v>28</x:v>
      </x:c>
      <x:c r="U36" s="44" t="n">
        <x:f>T36*E36</x:f>
        <x:v>36400</x:v>
      </x:c>
      <x:c r="V36" s="38" t="n">
        <x:v>1</x:v>
      </x:c>
      <x:c r="W36" s="32" t="n">
        <x:v>1</x:v>
      </x:c>
      <x:c r="X36" s="50" t="n">
        <x:v>45839</x:v>
      </x:c>
      <x:c r="Y36" s="44" t="n">
        <x:v>2500</x:v>
      </x:c>
      <x:c r="Z36" s="44" t="n">
        <x:f>IF(I36&gt;0,R36*(J36/I36),0)</x:f>
        <x:v>32500</x:v>
      </x:c>
      <x:c r="AA36" s="44" t="n">
        <x:f>Z36-(R36*E36)</x:f>
        <x:v>15600</x:v>
      </x:c>
      <x:c r="AB36" s="47" t="n">
        <x:f>IFERROR(AA36/Z36,0)</x:f>
        <x:v>0.48</x:v>
      </x:c>
      <x:c r="AC36" s="32" t="str">
        <x:f>IF(S36=0,"0%",IF(S36&lt;0.5,"1-49%",IF(S36&lt;0.8,"50-79%",IF(S36&lt;1,"80-99%","100%"))))</x:f>
        <x:v>1-49%</x:v>
      </x:c>
      <x:c r="AD36" s="33" t="str">
        <x:f>IF(G36&lt;0,"Stock negativo",IF(G36&lt;=0,"Sin stock actual",IF(I36&lt;=0,"Sin ventas desde compra",IF(Q36&lt;=0,"Con stock, sin ventas 365d",IF(S36&lt;0.5,"Rotación baja",IF(S36&lt;1,"Rotación media","Compra absorbida; stock repuesto"))))))</x:f>
        <x:v>Rotación baja</x:v>
      </x:c>
    </x:row>
    <x:row r="37">
      <x:c r="A37" s="31" t="str">
        <x:v>06-108</x:v>
      </x:c>
      <x:c r="B37" s="53" t="str">
        <x:v>COMANDO DERECHO BWS 125 YAMAHA</x:v>
      </x:c>
      <x:c r="C37" s="32" t="n">
        <x:v>1</x:v>
      </x:c>
      <x:c r="D37" s="38" t="n">
        <x:v>2</x:v>
      </x:c>
      <x:c r="E37" s="44" t="n">
        <x:v>26000</x:v>
      </x:c>
      <x:c r="F37" s="44" t="n">
        <x:v>52000</x:v>
      </x:c>
      <x:c r="G37" s="41" t="n">
        <x:v>0</x:v>
      </x:c>
      <x:c r="H37" s="44" t="n">
        <x:f>MAX(G37,0)*E37</x:f>
        <x:v>0</x:v>
      </x:c>
      <x:c r="I37" s="38" t="n">
        <x:v>2</x:v>
      </x:c>
      <x:c r="J37" s="44" t="n">
        <x:v>80000</x:v>
      </x:c>
      <x:c r="K37" s="32" t="n">
        <x:v>2</x:v>
      </x:c>
      <x:c r="L37" s="50" t="n">
        <x:v>45509.94179398148</x:v>
      </x:c>
      <x:c r="M37" s="50" t="n">
        <x:v>45550.57408564815</x:v>
      </x:c>
      <x:c r="N37" s="32" t="n">
        <x:f>IF(M37="","",MAX(0,'Resumen'!$B$3-M37))</x:f>
        <x:v>716.4259143518502</x:v>
      </x:c>
      <x:c r="O37" s="38" t="n">
        <x:v>0</x:v>
      </x:c>
      <x:c r="P37" s="38" t="n">
        <x:v>0</x:v>
      </x:c>
      <x:c r="Q37" s="38" t="n">
        <x:v>0</x:v>
      </x:c>
      <x:c r="R37" s="38" t="n">
        <x:f>MIN(D37,I37)</x:f>
        <x:v>2</x:v>
      </x:c>
      <x:c r="S37" s="47" t="n">
        <x:f>IFERROR(R37/D37,0)</x:f>
        <x:v>1</x:v>
      </x:c>
      <x:c r="T37" s="38" t="n">
        <x:f>MIN(MAX(G37,0),MAX(D37-I37,0))</x:f>
        <x:v>0</x:v>
      </x:c>
      <x:c r="U37" s="44" t="n">
        <x:f>T37*E37</x:f>
        <x:v>0</x:v>
      </x:c>
      <x:c r="V37" s="38" t="n">
        <x:v>0</x:v>
      </x:c>
      <x:c r="W37" s="32" t="n">
        <x:v>0</x:v>
      </x:c>
      <x:c r="X37" s="50"/>
      <x:c r="Y37" s="44" t="n">
        <x:v>40000</x:v>
      </x:c>
      <x:c r="Z37" s="44" t="n">
        <x:f>IF(I37&gt;0,R37*(J37/I37),0)</x:f>
        <x:v>80000</x:v>
      </x:c>
      <x:c r="AA37" s="44" t="n">
        <x:f>Z37-(R37*E37)</x:f>
        <x:v>28000</x:v>
      </x:c>
      <x:c r="AB37" s="47" t="n">
        <x:f>IFERROR(AA37/Z37,0)</x:f>
        <x:v>0.35</x:v>
      </x:c>
      <x:c r="AC37" s="32" t="str">
        <x:f>IF(S37=0,"0%",IF(S37&lt;0.5,"1-49%",IF(S37&lt;0.8,"50-79%",IF(S37&lt;1,"80-99%","100%"))))</x:f>
        <x:v>100%</x:v>
      </x:c>
      <x:c r="AD37" s="33" t="str">
        <x:f>IF(G37&lt;0,"Stock negativo",IF(G37&lt;=0,"Sin stock actual",IF(I37&lt;=0,"Sin ventas desde compra",IF(Q37&lt;=0,"Con stock, sin ventas 365d",IF(S37&lt;0.5,"Rotación baja",IF(S37&lt;1,"Rotación media","Compra absorbida; stock repuesto"))))))</x:f>
        <x:v>Sin stock actual</x:v>
      </x:c>
    </x:row>
    <x:row r="38">
      <x:c r="A38" s="31" t="str">
        <x:v>D121</x:v>
      </x:c>
      <x:c r="B38" s="53" t="str">
        <x:v>RESTAURADOR PARTES NEGRAS BOWY</x:v>
      </x:c>
      <x:c r="C38" s="32" t="n">
        <x:v>1</x:v>
      </x:c>
      <x:c r="D38" s="38" t="n">
        <x:v>4</x:v>
      </x:c>
      <x:c r="E38" s="44" t="n">
        <x:v>12800</x:v>
      </x:c>
      <x:c r="F38" s="44" t="n">
        <x:v>51200</x:v>
      </x:c>
      <x:c r="G38" s="41" t="n">
        <x:v>0</x:v>
      </x:c>
      <x:c r="H38" s="44" t="n">
        <x:f>MAX(G38,0)*E38</x:f>
        <x:v>0</x:v>
      </x:c>
      <x:c r="I38" s="38" t="n">
        <x:v>4</x:v>
      </x:c>
      <x:c r="J38" s="44" t="n">
        <x:v>82500</x:v>
      </x:c>
      <x:c r="K38" s="32" t="n">
        <x:v>3</x:v>
      </x:c>
      <x:c r="L38" s="50" t="n">
        <x:v>45502.86829861111</x:v>
      </x:c>
      <x:c r="M38" s="50" t="n">
        <x:v>45556.91005787037</x:v>
      </x:c>
      <x:c r="N38" s="32" t="n">
        <x:f>IF(M38="","",MAX(0,'Resumen'!$B$3-M38))</x:f>
        <x:v>710.0899421296272</x:v>
      </x:c>
      <x:c r="O38" s="38" t="n">
        <x:v>0</x:v>
      </x:c>
      <x:c r="P38" s="38" t="n">
        <x:v>0</x:v>
      </x:c>
      <x:c r="Q38" s="38" t="n">
        <x:v>0</x:v>
      </x:c>
      <x:c r="R38" s="38" t="n">
        <x:f>MIN(D38,I38)</x:f>
        <x:v>4</x:v>
      </x:c>
      <x:c r="S38" s="47" t="n">
        <x:f>IFERROR(R38/D38,0)</x:f>
        <x:v>1</x:v>
      </x:c>
      <x:c r="T38" s="38" t="n">
        <x:f>MIN(MAX(G38,0),MAX(D38-I38,0))</x:f>
        <x:v>0</x:v>
      </x:c>
      <x:c r="U38" s="44" t="n">
        <x:f>T38*E38</x:f>
        <x:v>0</x:v>
      </x:c>
      <x:c r="V38" s="38" t="n">
        <x:v>0</x:v>
      </x:c>
      <x:c r="W38" s="32" t="n">
        <x:v>0</x:v>
      </x:c>
      <x:c r="X38" s="50"/>
      <x:c r="Y38" s="44" t="n">
        <x:v>21500</x:v>
      </x:c>
      <x:c r="Z38" s="44" t="n">
        <x:f>IF(I38&gt;0,R38*(J38/I38),0)</x:f>
        <x:v>82500</x:v>
      </x:c>
      <x:c r="AA38" s="44" t="n">
        <x:f>Z38-(R38*E38)</x:f>
        <x:v>31300</x:v>
      </x:c>
      <x:c r="AB38" s="47" t="n">
        <x:f>IFERROR(AA38/Z38,0)</x:f>
        <x:v>0.3793939393939394</x:v>
      </x:c>
      <x:c r="AC38" s="32" t="str">
        <x:f>IF(S38=0,"0%",IF(S38&lt;0.5,"1-49%",IF(S38&lt;0.8,"50-79%",IF(S38&lt;1,"80-99%","100%"))))</x:f>
        <x:v>100%</x:v>
      </x:c>
      <x:c r="AD38" s="33" t="str">
        <x:f>IF(G38&lt;0,"Stock negativo",IF(G38&lt;=0,"Sin stock actual",IF(I38&lt;=0,"Sin ventas desde compra",IF(Q38&lt;=0,"Con stock, sin ventas 365d",IF(S38&lt;0.5,"Rotación baja",IF(S38&lt;1,"Rotación media","Compra absorbida; stock repuesto"))))))</x:f>
        <x:v>Sin stock actual</x:v>
      </x:c>
    </x:row>
    <x:row r="39">
      <x:c r="A39" s="31" t="str">
        <x:v>D283</x:v>
      </x:c>
      <x:c r="B39" s="53" t="str">
        <x:v>LIQUIDO FRENO DOT 3 ISIN</x:v>
      </x:c>
      <x:c r="C39" s="32" t="n">
        <x:v>1</x:v>
      </x:c>
      <x:c r="D39" s="38" t="n">
        <x:v>10</x:v>
      </x:c>
      <x:c r="E39" s="44" t="n">
        <x:v>5100</x:v>
      </x:c>
      <x:c r="F39" s="44" t="n">
        <x:v>51000</x:v>
      </x:c>
      <x:c r="G39" s="41" t="n">
        <x:v>0</x:v>
      </x:c>
      <x:c r="H39" s="44" t="n">
        <x:f>MAX(G39,0)*E39</x:f>
        <x:v>0</x:v>
      </x:c>
      <x:c r="I39" s="38" t="n">
        <x:v>10</x:v>
      </x:c>
      <x:c r="J39" s="44" t="n">
        <x:v>85000</x:v>
      </x:c>
      <x:c r="K39" s="32" t="n">
        <x:v>10</x:v>
      </x:c>
      <x:c r="L39" s="50" t="n">
        <x:v>45500.90010416666</x:v>
      </x:c>
      <x:c r="M39" s="50" t="n">
        <x:v>45529.65269675926</x:v>
      </x:c>
      <x:c r="N39" s="32" t="n">
        <x:f>IF(M39="","",MAX(0,'Resumen'!$B$3-M39))</x:f>
        <x:v>737.3473032407419</x:v>
      </x:c>
      <x:c r="O39" s="38" t="n">
        <x:v>0</x:v>
      </x:c>
      <x:c r="P39" s="38" t="n">
        <x:v>0</x:v>
      </x:c>
      <x:c r="Q39" s="38" t="n">
        <x:v>0</x:v>
      </x:c>
      <x:c r="R39" s="38" t="n">
        <x:f>MIN(D39,I39)</x:f>
        <x:v>10</x:v>
      </x:c>
      <x:c r="S39" s="47" t="n">
        <x:f>IFERROR(R39/D39,0)</x:f>
        <x:v>1</x:v>
      </x:c>
      <x:c r="T39" s="38" t="n">
        <x:f>MIN(MAX(G39,0),MAX(D39-I39,0))</x:f>
        <x:v>0</x:v>
      </x:c>
      <x:c r="U39" s="44" t="n">
        <x:f>T39*E39</x:f>
        <x:v>0</x:v>
      </x:c>
      <x:c r="V39" s="38" t="n">
        <x:v>0</x:v>
      </x:c>
      <x:c r="W39" s="32" t="n">
        <x:v>0</x:v>
      </x:c>
      <x:c r="X39" s="50"/>
      <x:c r="Y39" s="44" t="n">
        <x:v>8500</x:v>
      </x:c>
      <x:c r="Z39" s="44" t="n">
        <x:f>IF(I39&gt;0,R39*(J39/I39),0)</x:f>
        <x:v>85000</x:v>
      </x:c>
      <x:c r="AA39" s="44" t="n">
        <x:f>Z39-(R39*E39)</x:f>
        <x:v>34000</x:v>
      </x:c>
      <x:c r="AB39" s="47" t="n">
        <x:f>IFERROR(AA39/Z39,0)</x:f>
        <x:v>0.4</x:v>
      </x:c>
      <x:c r="AC39" s="32" t="str">
        <x:f>IF(S39=0,"0%",IF(S39&lt;0.5,"1-49%",IF(S39&lt;0.8,"50-79%",IF(S39&lt;1,"80-99%","100%"))))</x:f>
        <x:v>100%</x:v>
      </x:c>
      <x:c r="AD39" s="33" t="str">
        <x:f>IF(G39&lt;0,"Stock negativo",IF(G39&lt;=0,"Sin stock actual",IF(I39&lt;=0,"Sin ventas desde compra",IF(Q39&lt;=0,"Con stock, sin ventas 365d",IF(S39&lt;0.5,"Rotación baja",IF(S39&lt;1,"Rotación media","Compra absorbida; stock repuesto"))))))</x:f>
        <x:v>Sin stock actual</x:v>
      </x:c>
    </x:row>
    <x:row r="40">
      <x:c r="A40" s="31" t="str">
        <x:v>MOTS1173</x:v>
      </x:c>
      <x:c r="B40" s="53" t="str">
        <x:v>LLAVE GASOLINA EPLENDOR GENINE PARTE</x:v>
      </x:c>
      <x:c r="C40" s="32" t="n">
        <x:v>1</x:v>
      </x:c>
      <x:c r="D40" s="38" t="n">
        <x:v>3</x:v>
      </x:c>
      <x:c r="E40" s="44" t="n">
        <x:v>16500</x:v>
      </x:c>
      <x:c r="F40" s="44" t="n">
        <x:v>49500</x:v>
      </x:c>
      <x:c r="G40" s="41" t="n">
        <x:v>0</x:v>
      </x:c>
      <x:c r="H40" s="44" t="n">
        <x:f>MAX(G40,0)*E40</x:f>
        <x:v>0</x:v>
      </x:c>
      <x:c r="I40" s="38" t="n">
        <x:v>3</x:v>
      </x:c>
      <x:c r="J40" s="44" t="n">
        <x:v>74500</x:v>
      </x:c>
      <x:c r="K40" s="32" t="n">
        <x:v>3</x:v>
      </x:c>
      <x:c r="L40" s="50" t="n">
        <x:v>45608.59012731481</x:v>
      </x:c>
      <x:c r="M40" s="50" t="n">
        <x:v>45690.02814814815</x:v>
      </x:c>
      <x:c r="N40" s="32" t="n">
        <x:f>IF(M40="","",MAX(0,'Resumen'!$B$3-M40))</x:f>
        <x:v>576.9718518518494</x:v>
      </x:c>
      <x:c r="O40" s="38" t="n">
        <x:v>0</x:v>
      </x:c>
      <x:c r="P40" s="38" t="n">
        <x:v>0</x:v>
      </x:c>
      <x:c r="Q40" s="38" t="n">
        <x:v>0</x:v>
      </x:c>
      <x:c r="R40" s="38" t="n">
        <x:f>MIN(D40,I40)</x:f>
        <x:v>3</x:v>
      </x:c>
      <x:c r="S40" s="47" t="n">
        <x:f>IFERROR(R40/D40,0)</x:f>
        <x:v>1</x:v>
      </x:c>
      <x:c r="T40" s="38" t="n">
        <x:f>MIN(MAX(G40,0),MAX(D40-I40,0))</x:f>
        <x:v>0</x:v>
      </x:c>
      <x:c r="U40" s="44" t="n">
        <x:f>T40*E40</x:f>
        <x:v>0</x:v>
      </x:c>
      <x:c r="V40" s="38" t="n">
        <x:v>0</x:v>
      </x:c>
      <x:c r="W40" s="32" t="n">
        <x:v>0</x:v>
      </x:c>
      <x:c r="X40" s="50"/>
      <x:c r="Y40" s="44" t="n">
        <x:v>27500</x:v>
      </x:c>
      <x:c r="Z40" s="44" t="n">
        <x:f>IF(I40&gt;0,R40*(J40/I40),0)</x:f>
        <x:v>74500</x:v>
      </x:c>
      <x:c r="AA40" s="44" t="n">
        <x:f>Z40-(R40*E40)</x:f>
        <x:v>25000</x:v>
      </x:c>
      <x:c r="AB40" s="47" t="n">
        <x:f>IFERROR(AA40/Z40,0)</x:f>
        <x:v>0.33557046979865773</x:v>
      </x:c>
      <x:c r="AC40" s="32" t="str">
        <x:f>IF(S40=0,"0%",IF(S40&lt;0.5,"1-49%",IF(S40&lt;0.8,"50-79%",IF(S40&lt;1,"80-99%","100%"))))</x:f>
        <x:v>100%</x:v>
      </x:c>
      <x:c r="AD40" s="33" t="str">
        <x:f>IF(G40&lt;0,"Stock negativo",IF(G40&lt;=0,"Sin stock actual",IF(I40&lt;=0,"Sin ventas desde compra",IF(Q40&lt;=0,"Con stock, sin ventas 365d",IF(S40&lt;0.5,"Rotación baja",IF(S40&lt;1,"Rotación media","Compra absorbida; stock repuesto"))))))</x:f>
        <x:v>Sin stock actual</x:v>
      </x:c>
    </x:row>
    <x:row r="41">
      <x:c r="A41" s="31" t="str">
        <x:v>203259</x:v>
      </x:c>
      <x:c r="B41" s="53" t="str">
        <x:v>GUAYA ACELERADOR FZ 16 MN EVERESTT</x:v>
      </x:c>
      <x:c r="C41" s="32" t="n">
        <x:v>1</x:v>
      </x:c>
      <x:c r="D41" s="38" t="n">
        <x:v>7</x:v>
      </x:c>
      <x:c r="E41" s="44" t="n">
        <x:v>7000</x:v>
      </x:c>
      <x:c r="F41" s="44" t="n">
        <x:v>49000</x:v>
      </x:c>
      <x:c r="G41" s="41" t="n">
        <x:v>3</x:v>
      </x:c>
      <x:c r="H41" s="44" t="n">
        <x:f>MAX(G41,0)*E41</x:f>
        <x:v>21000</x:v>
      </x:c>
      <x:c r="I41" s="38" t="n">
        <x:v>5</x:v>
      </x:c>
      <x:c r="J41" s="44" t="n">
        <x:v>60000</x:v>
      </x:c>
      <x:c r="K41" s="32" t="n">
        <x:v>4</x:v>
      </x:c>
      <x:c r="L41" s="50" t="n">
        <x:v>45633.66756944444</x:v>
      </x:c>
      <x:c r="M41" s="50" t="n">
        <x:v>45811.74521990741</x:v>
      </x:c>
      <x:c r="N41" s="32" t="n">
        <x:f>IF(M41="","",MAX(0,'Resumen'!$B$3-M41))</x:f>
        <x:v>455.2547800925895</x:v>
      </x:c>
      <x:c r="O41" s="38" t="n">
        <x:v>0</x:v>
      </x:c>
      <x:c r="P41" s="38" t="n">
        <x:v>0</x:v>
      </x:c>
      <x:c r="Q41" s="38" t="n">
        <x:v>0</x:v>
      </x:c>
      <x:c r="R41" s="38" t="n">
        <x:f>MIN(D41,I41)</x:f>
        <x:v>5</x:v>
      </x:c>
      <x:c r="S41" s="47" t="n">
        <x:f>IFERROR(R41/D41,0)</x:f>
        <x:v>0.7142857142857143</x:v>
      </x:c>
      <x:c r="T41" s="38" t="n">
        <x:f>MIN(MAX(G41,0),MAX(D41-I41,0))</x:f>
        <x:v>2</x:v>
      </x:c>
      <x:c r="U41" s="44" t="n">
        <x:f>T41*E41</x:f>
        <x:v>14000</x:v>
      </x:c>
      <x:c r="V41" s="38" t="n">
        <x:v>1</x:v>
      </x:c>
      <x:c r="W41" s="32" t="n">
        <x:v>1</x:v>
      </x:c>
      <x:c r="X41" s="50" t="n">
        <x:v>46107</x:v>
      </x:c>
      <x:c r="Y41" s="44" t="n">
        <x:v>12000</x:v>
      </x:c>
      <x:c r="Z41" s="44" t="n">
        <x:f>IF(I41&gt;0,R41*(J41/I41),0)</x:f>
        <x:v>60000</x:v>
      </x:c>
      <x:c r="AA41" s="44" t="n">
        <x:f>Z41-(R41*E41)</x:f>
        <x:v>25000</x:v>
      </x:c>
      <x:c r="AB41" s="47" t="n">
        <x:f>IFERROR(AA41/Z41,0)</x:f>
        <x:v>0.4166666666666667</x:v>
      </x:c>
      <x:c r="AC41" s="32" t="str">
        <x:f>IF(S41=0,"0%",IF(S41&lt;0.5,"1-49%",IF(S41&lt;0.8,"50-79%",IF(S41&lt;1,"80-99%","100%"))))</x:f>
        <x:v>50-79%</x:v>
      </x:c>
      <x:c r="AD41" s="33" t="str">
        <x:f>IF(G41&lt;0,"Stock negativo",IF(G41&lt;=0,"Sin stock actual",IF(I41&lt;=0,"Sin ventas desde compra",IF(Q41&lt;=0,"Con stock, sin ventas 365d",IF(S41&lt;0.5,"Rotación baja",IF(S41&lt;1,"Rotación media","Compra absorbida; stock repuesto"))))))</x:f>
        <x:v>Con stock, sin ventas 365d</x:v>
      </x:c>
    </x:row>
    <x:row r="42">
      <x:c r="A42" s="31" t="str">
        <x:v>MOTS1309</x:v>
      </x:c>
      <x:c r="B42" s="53" t="str">
        <x:v>BOMBILLO DIRECCIONAL 12 V LED WHITE VARIOS QUALITY</x:v>
      </x:c>
      <x:c r="C42" s="32" t="n">
        <x:v>1</x:v>
      </x:c>
      <x:c r="D42" s="38" t="n">
        <x:v>14</x:v>
      </x:c>
      <x:c r="E42" s="44" t="n">
        <x:v>3500</x:v>
      </x:c>
      <x:c r="F42" s="44" t="n">
        <x:v>49000</x:v>
      </x:c>
      <x:c r="G42" s="41" t="n">
        <x:v>10</x:v>
      </x:c>
      <x:c r="H42" s="44" t="n">
        <x:f>MAX(G42,0)*E42</x:f>
        <x:v>35000</x:v>
      </x:c>
      <x:c r="I42" s="38" t="n">
        <x:v>4</x:v>
      </x:c>
      <x:c r="J42" s="44" t="n">
        <x:v>20000</x:v>
      </x:c>
      <x:c r="K42" s="32" t="n">
        <x:v>1</x:v>
      </x:c>
      <x:c r="L42" s="50" t="n">
        <x:v>45558.81554398148</x:v>
      </x:c>
      <x:c r="M42" s="50" t="n">
        <x:v>45558.81554398148</x:v>
      </x:c>
      <x:c r="N42" s="32" t="n">
        <x:f>IF(M42="","",MAX(0,'Resumen'!$B$3-M42))</x:f>
        <x:v>708.18445601852</x:v>
      </x:c>
      <x:c r="O42" s="38" t="n">
        <x:v>0</x:v>
      </x:c>
      <x:c r="P42" s="38" t="n">
        <x:v>0</x:v>
      </x:c>
      <x:c r="Q42" s="38" t="n">
        <x:v>0</x:v>
      </x:c>
      <x:c r="R42" s="38" t="n">
        <x:f>MIN(D42,I42)</x:f>
        <x:v>4</x:v>
      </x:c>
      <x:c r="S42" s="47" t="n">
        <x:f>IFERROR(R42/D42,0)</x:f>
        <x:v>0.2857142857142857</x:v>
      </x:c>
      <x:c r="T42" s="38" t="n">
        <x:f>MIN(MAX(G42,0),MAX(D42-I42,0))</x:f>
        <x:v>10</x:v>
      </x:c>
      <x:c r="U42" s="44" t="n">
        <x:f>T42*E42</x:f>
        <x:v>35000</x:v>
      </x:c>
      <x:c r="V42" s="38" t="n">
        <x:v>0</x:v>
      </x:c>
      <x:c r="W42" s="32" t="n">
        <x:v>0</x:v>
      </x:c>
      <x:c r="X42" s="50"/>
      <x:c r="Y42" s="44" t="n">
        <x:v>6000</x:v>
      </x:c>
      <x:c r="Z42" s="44" t="n">
        <x:f>IF(I42&gt;0,R42*(J42/I42),0)</x:f>
        <x:v>20000</x:v>
      </x:c>
      <x:c r="AA42" s="44" t="n">
        <x:f>Z42-(R42*E42)</x:f>
        <x:v>6000</x:v>
      </x:c>
      <x:c r="AB42" s="47" t="n">
        <x:f>IFERROR(AA42/Z42,0)</x:f>
        <x:v>0.3</x:v>
      </x:c>
      <x:c r="AC42" s="32" t="str">
        <x:f>IF(S42=0,"0%",IF(S42&lt;0.5,"1-49%",IF(S42&lt;0.8,"50-79%",IF(S42&lt;1,"80-99%","100%"))))</x:f>
        <x:v>1-49%</x:v>
      </x:c>
      <x:c r="AD42" s="33" t="str">
        <x:f>IF(G42&lt;0,"Stock negativo",IF(G42&lt;=0,"Sin stock actual",IF(I42&lt;=0,"Sin ventas desde compra",IF(Q42&lt;=0,"Con stock, sin ventas 365d",IF(S42&lt;0.5,"Rotación baja",IF(S42&lt;1,"Rotación media","Compra absorbida; stock repuesto"))))))</x:f>
        <x:v>Con stock, sin ventas 365d</x:v>
      </x:c>
    </x:row>
    <x:row r="43">
      <x:c r="A43" s="31" t="str">
        <x:v>CAD-034</x:v>
      </x:c>
      <x:c r="B43" s="53" t="str">
        <x:v>CADENILLA PULSAR X98 APRIL</x:v>
      </x:c>
      <x:c r="C43" s="32" t="n">
        <x:v>1</x:v>
      </x:c>
      <x:c r="D43" s="38" t="n">
        <x:v>4</x:v>
      </x:c>
      <x:c r="E43" s="44" t="n">
        <x:v>12000</x:v>
      </x:c>
      <x:c r="F43" s="44" t="n">
        <x:v>48000</x:v>
      </x:c>
      <x:c r="G43" s="41" t="n">
        <x:v>2</x:v>
      </x:c>
      <x:c r="H43" s="44" t="n">
        <x:f>MAX(G43,0)*E43</x:f>
        <x:v>24000</x:v>
      </x:c>
      <x:c r="I43" s="38" t="n">
        <x:v>3</x:v>
      </x:c>
      <x:c r="J43" s="44" t="n">
        <x:v>60000</x:v>
      </x:c>
      <x:c r="K43" s="32" t="n">
        <x:v>3</x:v>
      </x:c>
      <x:c r="L43" s="50" t="n">
        <x:v>45598.73813657407</x:v>
      </x:c>
      <x:c r="M43" s="50" t="n">
        <x:v>45936.58987268519</x:v>
      </x:c>
      <x:c r="N43" s="32" t="n">
        <x:f>IF(M43="","",MAX(0,'Resumen'!$B$3-M43))</x:f>
        <x:v>330.4101273148117</x:v>
      </x:c>
      <x:c r="O43" s="38" t="n">
        <x:v>0</x:v>
      </x:c>
      <x:c r="P43" s="38" t="n">
        <x:v>0</x:v>
      </x:c>
      <x:c r="Q43" s="38" t="n">
        <x:v>1</x:v>
      </x:c>
      <x:c r="R43" s="38" t="n">
        <x:f>MIN(D43,I43)</x:f>
        <x:v>3</x:v>
      </x:c>
      <x:c r="S43" s="47" t="n">
        <x:f>IFERROR(R43/D43,0)</x:f>
        <x:v>0.75</x:v>
      </x:c>
      <x:c r="T43" s="38" t="n">
        <x:f>MIN(MAX(G43,0),MAX(D43-I43,0))</x:f>
        <x:v>1</x:v>
      </x:c>
      <x:c r="U43" s="44" t="n">
        <x:f>T43*E43</x:f>
        <x:v>12000</x:v>
      </x:c>
      <x:c r="V43" s="38" t="n">
        <x:v>1</x:v>
      </x:c>
      <x:c r="W43" s="32" t="n">
        <x:v>1</x:v>
      </x:c>
      <x:c r="X43" s="50" t="n">
        <x:v>45894</x:v>
      </x:c>
      <x:c r="Y43" s="44" t="n">
        <x:v>20000</x:v>
      </x:c>
      <x:c r="Z43" s="44" t="n">
        <x:f>IF(I43&gt;0,R43*(J43/I43),0)</x:f>
        <x:v>60000</x:v>
      </x:c>
      <x:c r="AA43" s="44" t="n">
        <x:f>Z43-(R43*E43)</x:f>
        <x:v>24000</x:v>
      </x:c>
      <x:c r="AB43" s="47" t="n">
        <x:f>IFERROR(AA43/Z43,0)</x:f>
        <x:v>0.4</x:v>
      </x:c>
      <x:c r="AC43" s="32" t="str">
        <x:f>IF(S43=0,"0%",IF(S43&lt;0.5,"1-49%",IF(S43&lt;0.8,"50-79%",IF(S43&lt;1,"80-99%","100%"))))</x:f>
        <x:v>50-79%</x:v>
      </x:c>
      <x:c r="AD43" s="33" t="str">
        <x:f>IF(G43&lt;0,"Stock negativo",IF(G43&lt;=0,"Sin stock actual",IF(I43&lt;=0,"Sin ventas desde compra",IF(Q43&lt;=0,"Con stock, sin ventas 365d",IF(S43&lt;0.5,"Rotación baja",IF(S43&lt;1,"Rotación media","Compra absorbida; stock repuesto"))))))</x:f>
        <x:v>Rotación media</x:v>
      </x:c>
    </x:row>
    <x:row r="44">
      <x:c r="A44" s="31" t="str">
        <x:v>MOTS1414</x:v>
      </x:c>
      <x:c r="B44" s="53" t="str">
        <x:v>CUNA DE DIRECCION PULSAR 200</x:v>
      </x:c>
      <x:c r="C44" s="32" t="n">
        <x:v>1</x:v>
      </x:c>
      <x:c r="D44" s="38" t="n">
        <x:v>3</x:v>
      </x:c>
      <x:c r="E44" s="44" t="n">
        <x:v>16000</x:v>
      </x:c>
      <x:c r="F44" s="44" t="n">
        <x:v>48000</x:v>
      </x:c>
      <x:c r="G44" s="41" t="n">
        <x:v>3</x:v>
      </x:c>
      <x:c r="H44" s="44" t="n">
        <x:f>MAX(G44,0)*E44</x:f>
        <x:v>48000</x:v>
      </x:c>
      <x:c r="I44" s="38" t="n">
        <x:v>0</x:v>
      </x:c>
      <x:c r="J44" s="44" t="n">
        <x:v>0</x:v>
      </x:c>
      <x:c r="K44" s="32" t="n">
        <x:v>0</x:v>
      </x:c>
      <x:c r="L44" s="50"/>
      <x:c r="M44" s="50"/>
      <x:c r="N44" s="32" t="str">
        <x:f>IF(M44="","",MAX(0,'Resumen'!$B$3-M44))</x:f>
      </x:c>
      <x:c r="O44" s="38" t="n">
        <x:v>0</x:v>
      </x:c>
      <x:c r="P44" s="38" t="n">
        <x:v>0</x:v>
      </x:c>
      <x:c r="Q44" s="38" t="n">
        <x:v>0</x:v>
      </x:c>
      <x:c r="R44" s="38" t="n">
        <x:f>MIN(D44,I44)</x:f>
        <x:v>0</x:v>
      </x:c>
      <x:c r="S44" s="47" t="n">
        <x:f>IFERROR(R44/D44,0)</x:f>
        <x:v>0</x:v>
      </x:c>
      <x:c r="T44" s="38" t="n">
        <x:f>MIN(MAX(G44,0),MAX(D44-I44,0))</x:f>
        <x:v>3</x:v>
      </x:c>
      <x:c r="U44" s="44" t="n">
        <x:f>T44*E44</x:f>
        <x:v>48000</x:v>
      </x:c>
      <x:c r="V44" s="38" t="n">
        <x:v>0</x:v>
      </x:c>
      <x:c r="W44" s="32" t="n">
        <x:v>0</x:v>
      </x:c>
      <x:c r="X44" s="50"/>
      <x:c r="Y44" s="44" t="n">
        <x:v>32000</x:v>
      </x:c>
      <x:c r="Z44" s="44" t="n">
        <x:f>IF(I44&gt;0,R44*(J44/I44),0)</x:f>
        <x:v>0</x:v>
      </x:c>
      <x:c r="AA44" s="44" t="n">
        <x:f>Z44-(R44*E44)</x:f>
        <x:v>0</x:v>
      </x:c>
      <x:c r="AB44" s="47" t="n">
        <x:f>IFERROR(AA44/Z44,0)</x:f>
        <x:v>0</x:v>
      </x:c>
      <x:c r="AC44" s="32" t="str">
        <x:f>IF(S44=0,"0%",IF(S44&lt;0.5,"1-49%",IF(S44&lt;0.8,"50-79%",IF(S44&lt;1,"80-99%","100%"))))</x:f>
        <x:v>0%</x:v>
      </x:c>
      <x:c r="AD44" s="33" t="str">
        <x:f>IF(G44&lt;0,"Stock negativo",IF(G44&lt;=0,"Sin stock actual",IF(I44&lt;=0,"Sin ventas desde compra",IF(Q44&lt;=0,"Con stock, sin ventas 365d",IF(S44&lt;0.5,"Rotación baja",IF(S44&lt;1,"Rotación media","Compra absorbida; stock repuesto"))))))</x:f>
        <x:v>Sin ventas desde compra</x:v>
      </x:c>
    </x:row>
    <x:row r="45">
      <x:c r="A45" s="31" t="str">
        <x:v>48965</x:v>
      </x:c>
      <x:c r="B45" s="53" t="str">
        <x:v>NEUMATICO 2,75/300-17 REEPARTS</x:v>
      </x:c>
      <x:c r="C45" s="32" t="n">
        <x:v>1</x:v>
      </x:c>
      <x:c r="D45" s="38" t="n">
        <x:v>5</x:v>
      </x:c>
      <x:c r="E45" s="44" t="n">
        <x:v>9400</x:v>
      </x:c>
      <x:c r="F45" s="44" t="n">
        <x:v>47000</x:v>
      </x:c>
      <x:c r="G45" s="41" t="n">
        <x:v>7</x:v>
      </x:c>
      <x:c r="H45" s="44" t="n">
        <x:f>MAX(G45,0)*E45</x:f>
        <x:v>65800</x:v>
      </x:c>
      <x:c r="I45" s="38" t="n">
        <x:v>15</x:v>
      </x:c>
      <x:c r="J45" s="44" t="n">
        <x:v>225000</x:v>
      </x:c>
      <x:c r="K45" s="32" t="n">
        <x:v>13</x:v>
      </x:c>
      <x:c r="L45" s="50" t="n">
        <x:v>45503.608402777776</x:v>
      </x:c>
      <x:c r="M45" s="50" t="n">
        <x:v>46184.71412037037</x:v>
      </x:c>
      <x:c r="N45" s="32" t="n">
        <x:f>IF(M45="","",MAX(0,'Resumen'!$B$3-M45))</x:f>
        <x:v>82.28587962962774</x:v>
      </x:c>
      <x:c r="O45" s="38" t="n">
        <x:v>0</x:v>
      </x:c>
      <x:c r="P45" s="38" t="n">
        <x:v>1</x:v>
      </x:c>
      <x:c r="Q45" s="38" t="n">
        <x:v>9</x:v>
      </x:c>
      <x:c r="R45" s="38" t="n">
        <x:f>MIN(D45,I45)</x:f>
        <x:v>5</x:v>
      </x:c>
      <x:c r="S45" s="47" t="n">
        <x:f>IFERROR(R45/D45,0)</x:f>
        <x:v>1</x:v>
      </x:c>
      <x:c r="T45" s="38" t="n">
        <x:f>MIN(MAX(G45,0),MAX(D45-I45,0))</x:f>
        <x:v>0</x:v>
      </x:c>
      <x:c r="U45" s="44" t="n">
        <x:f>T45*E45</x:f>
        <x:v>0</x:v>
      </x:c>
      <x:c r="V45" s="38" t="n">
        <x:v>17</x:v>
      </x:c>
      <x:c r="W45" s="32" t="n">
        <x:v>3</x:v>
      </x:c>
      <x:c r="X45" s="50" t="n">
        <x:v>46053</x:v>
      </x:c>
      <x:c r="Y45" s="44" t="n">
        <x:v>16500</x:v>
      </x:c>
      <x:c r="Z45" s="44" t="n">
        <x:f>IF(I45&gt;0,R45*(J45/I45),0)</x:f>
        <x:v>75000</x:v>
      </x:c>
      <x:c r="AA45" s="44" t="n">
        <x:f>Z45-(R45*E45)</x:f>
        <x:v>28000</x:v>
      </x:c>
      <x:c r="AB45" s="47" t="n">
        <x:f>IFERROR(AA45/Z45,0)</x:f>
        <x:v>0.37333333333333335</x:v>
      </x:c>
      <x:c r="AC45" s="32" t="str">
        <x:f>IF(S45=0,"0%",IF(S45&lt;0.5,"1-49%",IF(S45&lt;0.8,"50-79%",IF(S45&lt;1,"80-99%","100%"))))</x:f>
        <x:v>100%</x:v>
      </x:c>
      <x:c r="AD45" s="33" t="str">
        <x:f>IF(G45&lt;0,"Stock negativo",IF(G45&lt;=0,"Sin stock actual",IF(I45&lt;=0,"Sin ventas desde compra",IF(Q45&lt;=0,"Con stock, sin ventas 365d",IF(S45&lt;0.5,"Rotación baja",IF(S45&lt;1,"Rotación media","Compra absorbida; stock repuesto"))))))</x:f>
        <x:v>Compra absorbida; stock repuesto</x:v>
      </x:c>
    </x:row>
    <x:row r="46">
      <x:c r="A46" s="31" t="str">
        <x:v>A131A3</x:v>
      </x:c>
      <x:c r="B46" s="53" t="str">
        <x:v>KIT XT2 125 GPP</x:v>
      </x:c>
      <x:c r="C46" s="32" t="n">
        <x:v>1</x:v>
      </x:c>
      <x:c r="D46" s="38" t="n">
        <x:v>6</x:v>
      </x:c>
      <x:c r="E46" s="44" t="n">
        <x:v>7500</x:v>
      </x:c>
      <x:c r="F46" s="44" t="n">
        <x:v>45000</x:v>
      </x:c>
      <x:c r="G46" s="41" t="n">
        <x:v>6</x:v>
      </x:c>
      <x:c r="H46" s="44" t="n">
        <x:f>MAX(G46,0)*E46</x:f>
        <x:v>45000</x:v>
      </x:c>
      <x:c r="I46" s="38" t="n">
        <x:v>0</x:v>
      </x:c>
      <x:c r="J46" s="44" t="n">
        <x:v>0</x:v>
      </x:c>
      <x:c r="K46" s="32" t="n">
        <x:v>0</x:v>
      </x:c>
      <x:c r="L46" s="50"/>
      <x:c r="M46" s="50"/>
      <x:c r="N46" s="32" t="str">
        <x:f>IF(M46="","",MAX(0,'Resumen'!$B$3-M46))</x:f>
      </x:c>
      <x:c r="O46" s="38" t="n">
        <x:v>0</x:v>
      </x:c>
      <x:c r="P46" s="38" t="n">
        <x:v>0</x:v>
      </x:c>
      <x:c r="Q46" s="38" t="n">
        <x:v>0</x:v>
      </x:c>
      <x:c r="R46" s="38" t="n">
        <x:f>MIN(D46,I46)</x:f>
        <x:v>0</x:v>
      </x:c>
      <x:c r="S46" s="47" t="n">
        <x:f>IFERROR(R46/D46,0)</x:f>
        <x:v>0</x:v>
      </x:c>
      <x:c r="T46" s="38" t="n">
        <x:f>MIN(MAX(G46,0),MAX(D46-I46,0))</x:f>
        <x:v>6</x:v>
      </x:c>
      <x:c r="U46" s="44" t="n">
        <x:f>T46*E46</x:f>
        <x:v>45000</x:v>
      </x:c>
      <x:c r="V46" s="38" t="n">
        <x:v>0</x:v>
      </x:c>
      <x:c r="W46" s="32" t="n">
        <x:v>0</x:v>
      </x:c>
      <x:c r="X46" s="50"/>
      <x:c r="Y46" s="44" t="n">
        <x:v>12500</x:v>
      </x:c>
      <x:c r="Z46" s="44" t="n">
        <x:f>IF(I46&gt;0,R46*(J46/I46),0)</x:f>
        <x:v>0</x:v>
      </x:c>
      <x:c r="AA46" s="44" t="n">
        <x:f>Z46-(R46*E46)</x:f>
        <x:v>0</x:v>
      </x:c>
      <x:c r="AB46" s="47" t="n">
        <x:f>IFERROR(AA46/Z46,0)</x:f>
        <x:v>0</x:v>
      </x:c>
      <x:c r="AC46" s="32" t="str">
        <x:f>IF(S46=0,"0%",IF(S46&lt;0.5,"1-49%",IF(S46&lt;0.8,"50-79%",IF(S46&lt;1,"80-99%","100%"))))</x:f>
        <x:v>0%</x:v>
      </x:c>
      <x:c r="AD46" s="33" t="str">
        <x:f>IF(G46&lt;0,"Stock negativo",IF(G46&lt;=0,"Sin stock actual",IF(I46&lt;=0,"Sin ventas desde compra",IF(Q46&lt;=0,"Con stock, sin ventas 365d",IF(S46&lt;0.5,"Rotación baja",IF(S46&lt;1,"Rotación media","Compra absorbida; stock repuesto"))))))</x:f>
        <x:v>Sin ventas desde compra</x:v>
      </x:c>
    </x:row>
    <x:row r="47">
      <x:c r="A47" s="31" t="str">
        <x:v>MOTS1214</x:v>
      </x:c>
      <x:c r="B47" s="53" t="str">
        <x:v>BANDA FRENO TRA  ECO HONDA CD 100 ECO RODAMAIS</x:v>
      </x:c>
      <x:c r="C47" s="32" t="n">
        <x:v>1</x:v>
      </x:c>
      <x:c r="D47" s="38" t="n">
        <x:v>4</x:v>
      </x:c>
      <x:c r="E47" s="44" t="n">
        <x:v>11200</x:v>
      </x:c>
      <x:c r="F47" s="44" t="n">
        <x:v>44800</x:v>
      </x:c>
      <x:c r="G47" s="41" t="n">
        <x:v>3</x:v>
      </x:c>
      <x:c r="H47" s="44" t="n">
        <x:f>MAX(G47,0)*E47</x:f>
        <x:v>33600</x:v>
      </x:c>
      <x:c r="I47" s="38" t="n">
        <x:v>1</x:v>
      </x:c>
      <x:c r="J47" s="44" t="n">
        <x:v>15000</x:v>
      </x:c>
      <x:c r="K47" s="32" t="n">
        <x:v>1</x:v>
      </x:c>
      <x:c r="L47" s="50" t="n">
        <x:v>46122.93913194445</x:v>
      </x:c>
      <x:c r="M47" s="50" t="n">
        <x:v>46122.93913194445</x:v>
      </x:c>
      <x:c r="N47" s="32" t="n">
        <x:f>IF(M47="","",MAX(0,'Resumen'!$B$3-M47))</x:f>
        <x:v>144.06086805555242</x:v>
      </x:c>
      <x:c r="O47" s="38" t="n">
        <x:v>0</x:v>
      </x:c>
      <x:c r="P47" s="38" t="n">
        <x:v>0</x:v>
      </x:c>
      <x:c r="Q47" s="38" t="n">
        <x:v>1</x:v>
      </x:c>
      <x:c r="R47" s="38" t="n">
        <x:f>MIN(D47,I47)</x:f>
        <x:v>1</x:v>
      </x:c>
      <x:c r="S47" s="47" t="n">
        <x:f>IFERROR(R47/D47,0)</x:f>
        <x:v>0.25</x:v>
      </x:c>
      <x:c r="T47" s="38" t="n">
        <x:f>MIN(MAX(G47,0),MAX(D47-I47,0))</x:f>
        <x:v>3</x:v>
      </x:c>
      <x:c r="U47" s="44" t="n">
        <x:f>T47*E47</x:f>
        <x:v>33600</x:v>
      </x:c>
      <x:c r="V47" s="38" t="n">
        <x:v>0</x:v>
      </x:c>
      <x:c r="W47" s="32" t="n">
        <x:v>0</x:v>
      </x:c>
      <x:c r="X47" s="50"/>
      <x:c r="Y47" s="44" t="n">
        <x:v>15000</x:v>
      </x:c>
      <x:c r="Z47" s="44" t="n">
        <x:f>IF(I47&gt;0,R47*(J47/I47),0)</x:f>
        <x:v>15000</x:v>
      </x:c>
      <x:c r="AA47" s="44" t="n">
        <x:f>Z47-(R47*E47)</x:f>
        <x:v>3800</x:v>
      </x:c>
      <x:c r="AB47" s="47" t="n">
        <x:f>IFERROR(AA47/Z47,0)</x:f>
        <x:v>0.25333333333333335</x:v>
      </x:c>
      <x:c r="AC47" s="32" t="str">
        <x:f>IF(S47=0,"0%",IF(S47&lt;0.5,"1-49%",IF(S47&lt;0.8,"50-79%",IF(S47&lt;1,"80-99%","100%"))))</x:f>
        <x:v>1-49%</x:v>
      </x:c>
      <x:c r="AD47" s="33" t="str">
        <x:f>IF(G47&lt;0,"Stock negativo",IF(G47&lt;=0,"Sin stock actual",IF(I47&lt;=0,"Sin ventas desde compra",IF(Q47&lt;=0,"Con stock, sin ventas 365d",IF(S47&lt;0.5,"Rotación baja",IF(S47&lt;1,"Rotación media","Compra absorbida; stock repuesto"))))))</x:f>
        <x:v>Rotación baja</x:v>
      </x:c>
    </x:row>
    <x:row r="48">
      <x:c r="A48" s="31" t="str">
        <x:v>BAZ - 310</x:v>
      </x:c>
      <x:c r="B48" s="53" t="str">
        <x:v>GUAYA CLUCTH PULSAR 200 NS 2013 / FI NS 2019 SUPRA PARTS</x:v>
      </x:c>
      <x:c r="C48" s="32" t="n">
        <x:v>1</x:v>
      </x:c>
      <x:c r="D48" s="38" t="n">
        <x:v>4</x:v>
      </x:c>
      <x:c r="E48" s="44" t="n">
        <x:v>11000</x:v>
      </x:c>
      <x:c r="F48" s="44" t="n">
        <x:v>44000</x:v>
      </x:c>
      <x:c r="G48" s="41" t="n">
        <x:v>1</x:v>
      </x:c>
      <x:c r="H48" s="44" t="n">
        <x:f>MAX(G48,0)*E48</x:f>
        <x:v>11000</x:v>
      </x:c>
      <x:c r="I48" s="38" t="n">
        <x:v>3</x:v>
      </x:c>
      <x:c r="J48" s="44" t="n">
        <x:v>52000</x:v>
      </x:c>
      <x:c r="K48" s="32" t="n">
        <x:v>3</x:v>
      </x:c>
      <x:c r="L48" s="50" t="n">
        <x:v>45530.551157407404</x:v>
      </x:c>
      <x:c r="M48" s="50" t="n">
        <x:v>46079.853310185186</x:v>
      </x:c>
      <x:c r="N48" s="32" t="n">
        <x:f>IF(M48="","",MAX(0,'Resumen'!$B$3-M48))</x:f>
        <x:v>187.14668981481373</x:v>
      </x:c>
      <x:c r="O48" s="38" t="n">
        <x:v>0</x:v>
      </x:c>
      <x:c r="P48" s="38" t="n">
        <x:v>0</x:v>
      </x:c>
      <x:c r="Q48" s="38" t="n">
        <x:v>1</x:v>
      </x:c>
      <x:c r="R48" s="38" t="n">
        <x:f>MIN(D48,I48)</x:f>
        <x:v>3</x:v>
      </x:c>
      <x:c r="S48" s="47" t="n">
        <x:f>IFERROR(R48/D48,0)</x:f>
        <x:v>0.75</x:v>
      </x:c>
      <x:c r="T48" s="38" t="n">
        <x:f>MIN(MAX(G48,0),MAX(D48-I48,0))</x:f>
        <x:v>1</x:v>
      </x:c>
      <x:c r="U48" s="44" t="n">
        <x:f>T48*E48</x:f>
        <x:v>11000</x:v>
      </x:c>
      <x:c r="V48" s="38" t="n">
        <x:v>0</x:v>
      </x:c>
      <x:c r="W48" s="32" t="n">
        <x:v>0</x:v>
      </x:c>
      <x:c r="X48" s="50"/>
      <x:c r="Y48" s="44" t="n">
        <x:v>18000</x:v>
      </x:c>
      <x:c r="Z48" s="44" t="n">
        <x:f>IF(I48&gt;0,R48*(J48/I48),0)</x:f>
        <x:v>52000</x:v>
      </x:c>
      <x:c r="AA48" s="44" t="n">
        <x:f>Z48-(R48*E48)</x:f>
        <x:v>19000</x:v>
      </x:c>
      <x:c r="AB48" s="47" t="n">
        <x:f>IFERROR(AA48/Z48,0)</x:f>
        <x:v>0.36538461538461536</x:v>
      </x:c>
      <x:c r="AC48" s="32" t="str">
        <x:f>IF(S48=0,"0%",IF(S48&lt;0.5,"1-49%",IF(S48&lt;0.8,"50-79%",IF(S48&lt;1,"80-99%","100%"))))</x:f>
        <x:v>50-79%</x:v>
      </x:c>
      <x:c r="AD48" s="33" t="str">
        <x:f>IF(G48&lt;0,"Stock negativo",IF(G48&lt;=0,"Sin stock actual",IF(I48&lt;=0,"Sin ventas desde compra",IF(Q48&lt;=0,"Con stock, sin ventas 365d",IF(S48&lt;0.5,"Rotación baja",IF(S48&lt;1,"Rotación media","Compra absorbida; stock repuesto"))))))</x:f>
        <x:v>Rotación media</x:v>
      </x:c>
    </x:row>
    <x:row r="49">
      <x:c r="A49" s="31" t="str">
        <x:v>MOTS1198</x:v>
      </x:c>
      <x:c r="B49" s="53" t="str">
        <x:v>KIT ARRASTRE XT2 125 14 - 50T 428 HX 132</x:v>
      </x:c>
      <x:c r="C49" s="32" t="n">
        <x:v>1</x:v>
      </x:c>
      <x:c r="D49" s="38" t="n">
        <x:v>1</x:v>
      </x:c>
      <x:c r="E49" s="44" t="n">
        <x:v>44000</x:v>
      </x:c>
      <x:c r="F49" s="44" t="n">
        <x:v>44000</x:v>
      </x:c>
      <x:c r="G49" s="41" t="n">
        <x:v>0</x:v>
      </x:c>
      <x:c r="H49" s="44" t="n">
        <x:f>MAX(G49,0)*E49</x:f>
        <x:v>0</x:v>
      </x:c>
      <x:c r="I49" s="38" t="n">
        <x:v>1</x:v>
      </x:c>
      <x:c r="J49" s="44" t="n">
        <x:v>70000</x:v>
      </x:c>
      <x:c r="K49" s="32" t="n">
        <x:v>1</x:v>
      </x:c>
      <x:c r="L49" s="50" t="n">
        <x:v>45672.917905092596</x:v>
      </x:c>
      <x:c r="M49" s="50" t="n">
        <x:v>45672.917905092596</x:v>
      </x:c>
      <x:c r="N49" s="32" t="n">
        <x:f>IF(M49="","",MAX(0,'Resumen'!$B$3-M49))</x:f>
        <x:v>594.0820949074041</x:v>
      </x:c>
      <x:c r="O49" s="38" t="n">
        <x:v>0</x:v>
      </x:c>
      <x:c r="P49" s="38" t="n">
        <x:v>0</x:v>
      </x:c>
      <x:c r="Q49" s="38" t="n">
        <x:v>0</x:v>
      </x:c>
      <x:c r="R49" s="38" t="n">
        <x:f>MIN(D49,I49)</x:f>
        <x:v>1</x:v>
      </x:c>
      <x:c r="S49" s="47" t="n">
        <x:f>IFERROR(R49/D49,0)</x:f>
        <x:v>1</x:v>
      </x:c>
      <x:c r="T49" s="38" t="n">
        <x:f>MIN(MAX(G49,0),MAX(D49-I49,0))</x:f>
        <x:v>0</x:v>
      </x:c>
      <x:c r="U49" s="44" t="n">
        <x:f>T49*E49</x:f>
        <x:v>0</x:v>
      </x:c>
      <x:c r="V49" s="38" t="n">
        <x:v>0</x:v>
      </x:c>
      <x:c r="W49" s="32" t="n">
        <x:v>0</x:v>
      </x:c>
      <x:c r="X49" s="50"/>
      <x:c r="Y49" s="44" t="n">
        <x:v>74000</x:v>
      </x:c>
      <x:c r="Z49" s="44" t="n">
        <x:f>IF(I49&gt;0,R49*(J49/I49),0)</x:f>
        <x:v>70000</x:v>
      </x:c>
      <x:c r="AA49" s="44" t="n">
        <x:f>Z49-(R49*E49)</x:f>
        <x:v>26000</x:v>
      </x:c>
      <x:c r="AB49" s="47" t="n">
        <x:f>IFERROR(AA49/Z49,0)</x:f>
        <x:v>0.37142857142857144</x:v>
      </x:c>
      <x:c r="AC49" s="32" t="str">
        <x:f>IF(S49=0,"0%",IF(S49&lt;0.5,"1-49%",IF(S49&lt;0.8,"50-79%",IF(S49&lt;1,"80-99%","100%"))))</x:f>
        <x:v>100%</x:v>
      </x:c>
      <x:c r="AD49" s="33" t="str">
        <x:f>IF(G49&lt;0,"Stock negativo",IF(G49&lt;=0,"Sin stock actual",IF(I49&lt;=0,"Sin ventas desde compra",IF(Q49&lt;=0,"Con stock, sin ventas 365d",IF(S49&lt;0.5,"Rotación baja",IF(S49&lt;1,"Rotación media","Compra absorbida; stock repuesto"))))))</x:f>
        <x:v>Sin stock actual</x:v>
      </x:c>
    </x:row>
    <x:row r="50">
      <x:c r="A50" s="31" t="str">
        <x:v>43979</x:v>
      </x:c>
      <x:c r="B50" s="53" t="str">
        <x:v>MANUBRIO XTZ 125</x:v>
      </x:c>
      <x:c r="C50" s="32" t="n">
        <x:v>1</x:v>
      </x:c>
      <x:c r="D50" s="38" t="n">
        <x:v>2</x:v>
      </x:c>
      <x:c r="E50" s="44" t="n">
        <x:v>21550</x:v>
      </x:c>
      <x:c r="F50" s="44" t="n">
        <x:v>43100</x:v>
      </x:c>
      <x:c r="G50" s="41" t="n">
        <x:v>0</x:v>
      </x:c>
      <x:c r="H50" s="44" t="n">
        <x:f>MAX(G50,0)*E50</x:f>
        <x:v>0</x:v>
      </x:c>
      <x:c r="I50" s="38" t="n">
        <x:v>9</x:v>
      </x:c>
      <x:c r="J50" s="44" t="n">
        <x:v>368000</x:v>
      </x:c>
      <x:c r="K50" s="32" t="n">
        <x:v>9</x:v>
      </x:c>
      <x:c r="L50" s="50" t="n">
        <x:v>45552.726018518515</x:v>
      </x:c>
      <x:c r="M50" s="50" t="n">
        <x:v>46254.93069444445</x:v>
      </x:c>
      <x:c r="N50" s="32" t="n">
        <x:f>IF(M50="","",MAX(0,'Resumen'!$B$3-M50))</x:f>
        <x:v>12.069305555553</x:v>
      </x:c>
      <x:c r="O50" s="38" t="n">
        <x:v>1</x:v>
      </x:c>
      <x:c r="P50" s="38" t="n">
        <x:v>2</x:v>
      </x:c>
      <x:c r="Q50" s="38" t="n">
        <x:v>4</x:v>
      </x:c>
      <x:c r="R50" s="38" t="n">
        <x:f>MIN(D50,I50)</x:f>
        <x:v>2</x:v>
      </x:c>
      <x:c r="S50" s="47" t="n">
        <x:f>IFERROR(R50/D50,0)</x:f>
        <x:v>1</x:v>
      </x:c>
      <x:c r="T50" s="38" t="n">
        <x:f>MIN(MAX(G50,0),MAX(D50-I50,0))</x:f>
        <x:v>0</x:v>
      </x:c>
      <x:c r="U50" s="44" t="n">
        <x:f>T50*E50</x:f>
        <x:v>0</x:v>
      </x:c>
      <x:c r="V50" s="38" t="n">
        <x:v>7</x:v>
      </x:c>
      <x:c r="W50" s="32" t="n">
        <x:v>4</x:v>
      </x:c>
      <x:c r="X50" s="50" t="n">
        <x:v>46170</x:v>
      </x:c>
      <x:c r="Y50" s="44" t="n">
        <x:v>49800</x:v>
      </x:c>
      <x:c r="Z50" s="44" t="n">
        <x:f>IF(I50&gt;0,R50*(J50/I50),0)</x:f>
        <x:v>81777.77777777778</x:v>
      </x:c>
      <x:c r="AA50" s="44" t="n">
        <x:f>Z50-(R50*E50)</x:f>
        <x:v>38677.77777777778</x:v>
      </x:c>
      <x:c r="AB50" s="47" t="n">
        <x:f>IFERROR(AA50/Z50,0)</x:f>
        <x:v>0.47296195652173917</x:v>
      </x:c>
      <x:c r="AC50" s="32" t="str">
        <x:f>IF(S50=0,"0%",IF(S50&lt;0.5,"1-49%",IF(S50&lt;0.8,"50-79%",IF(S50&lt;1,"80-99%","100%"))))</x:f>
        <x:v>100%</x:v>
      </x:c>
      <x:c r="AD50" s="33" t="str">
        <x:f>IF(G50&lt;0,"Stock negativo",IF(G50&lt;=0,"Sin stock actual",IF(I50&lt;=0,"Sin ventas desde compra",IF(Q50&lt;=0,"Con stock, sin ventas 365d",IF(S50&lt;0.5,"Rotación baja",IF(S50&lt;1,"Rotación media","Compra absorbida; stock repuesto"))))))</x:f>
        <x:v>Sin stock actual</x:v>
      </x:c>
    </x:row>
    <x:row r="51">
      <x:c r="A51" s="31" t="str">
        <x:v>MOTS1415</x:v>
      </x:c>
      <x:c r="B51" s="53" t="str">
        <x:v>KIT 1/2 PULSAR 135</x:v>
      </x:c>
      <x:c r="C51" s="32" t="n">
        <x:v>1</x:v>
      </x:c>
      <x:c r="D51" s="38" t="n">
        <x:v>5</x:v>
      </x:c>
      <x:c r="E51" s="44" t="n">
        <x:v>8500</x:v>
      </x:c>
      <x:c r="F51" s="44" t="n">
        <x:v>42500</x:v>
      </x:c>
      <x:c r="G51" s="41" t="n">
        <x:v>5</x:v>
      </x:c>
      <x:c r="H51" s="44" t="n">
        <x:f>MAX(G51,0)*E51</x:f>
        <x:v>42500</x:v>
      </x:c>
      <x:c r="I51" s="38" t="n">
        <x:v>0</x:v>
      </x:c>
      <x:c r="J51" s="44" t="n">
        <x:v>0</x:v>
      </x:c>
      <x:c r="K51" s="32" t="n">
        <x:v>0</x:v>
      </x:c>
      <x:c r="L51" s="50"/>
      <x:c r="M51" s="50"/>
      <x:c r="N51" s="32" t="str">
        <x:f>IF(M51="","",MAX(0,'Resumen'!$B$3-M51))</x:f>
      </x:c>
      <x:c r="O51" s="38" t="n">
        <x:v>0</x:v>
      </x:c>
      <x:c r="P51" s="38" t="n">
        <x:v>0</x:v>
      </x:c>
      <x:c r="Q51" s="38" t="n">
        <x:v>0</x:v>
      </x:c>
      <x:c r="R51" s="38" t="n">
        <x:f>MIN(D51,I51)</x:f>
        <x:v>0</x:v>
      </x:c>
      <x:c r="S51" s="47" t="n">
        <x:f>IFERROR(R51/D51,0)</x:f>
        <x:v>0</x:v>
      </x:c>
      <x:c r="T51" s="38" t="n">
        <x:f>MIN(MAX(G51,0),MAX(D51-I51,0))</x:f>
        <x:v>5</x:v>
      </x:c>
      <x:c r="U51" s="44" t="n">
        <x:f>T51*E51</x:f>
        <x:v>42500</x:v>
      </x:c>
      <x:c r="V51" s="38" t="n">
        <x:v>0</x:v>
      </x:c>
      <x:c r="W51" s="32" t="n">
        <x:v>0</x:v>
      </x:c>
      <x:c r="X51" s="50"/>
      <x:c r="Y51" s="44" t="n">
        <x:v>18000</x:v>
      </x:c>
      <x:c r="Z51" s="44" t="n">
        <x:f>IF(I51&gt;0,R51*(J51/I51),0)</x:f>
        <x:v>0</x:v>
      </x:c>
      <x:c r="AA51" s="44" t="n">
        <x:f>Z51-(R51*E51)</x:f>
        <x:v>0</x:v>
      </x:c>
      <x:c r="AB51" s="47" t="n">
        <x:f>IFERROR(AA51/Z51,0)</x:f>
        <x:v>0</x:v>
      </x:c>
      <x:c r="AC51" s="32" t="str">
        <x:f>IF(S51=0,"0%",IF(S51&lt;0.5,"1-49%",IF(S51&lt;0.8,"50-79%",IF(S51&lt;1,"80-99%","100%"))))</x:f>
        <x:v>0%</x:v>
      </x:c>
      <x:c r="AD51" s="33" t="str">
        <x:f>IF(G51&lt;0,"Stock negativo",IF(G51&lt;=0,"Sin stock actual",IF(I51&lt;=0,"Sin ventas desde compra",IF(Q51&lt;=0,"Con stock, sin ventas 365d",IF(S51&lt;0.5,"Rotación baja",IF(S51&lt;1,"Rotación media","Compra absorbida; stock repuesto"))))))</x:f>
        <x:v>Sin ventas desde compra</x:v>
      </x:c>
    </x:row>
    <x:row r="52">
      <x:c r="A52" s="31" t="str">
        <x:v>COR - 089</x:v>
      </x:c>
      <x:c r="B52" s="53" t="str">
        <x:v>CORREA TRASMISION BWS 125 YAMAHA</x:v>
      </x:c>
      <x:c r="C52" s="32" t="n">
        <x:v>1</x:v>
      </x:c>
      <x:c r="D52" s="38" t="n">
        <x:v>1</x:v>
      </x:c>
      <x:c r="E52" s="44" t="n">
        <x:v>42000</x:v>
      </x:c>
      <x:c r="F52" s="44" t="n">
        <x:v>42000</x:v>
      </x:c>
      <x:c r="G52" s="41" t="n">
        <x:v>0</x:v>
      </x:c>
      <x:c r="H52" s="44" t="n">
        <x:f>MAX(G52,0)*E52</x:f>
        <x:v>0</x:v>
      </x:c>
      <x:c r="I52" s="38" t="n">
        <x:v>1</x:v>
      </x:c>
      <x:c r="J52" s="44" t="n">
        <x:v>70000</x:v>
      </x:c>
      <x:c r="K52" s="32" t="n">
        <x:v>1</x:v>
      </x:c>
      <x:c r="L52" s="50" t="n">
        <x:v>45551.86378472222</x:v>
      </x:c>
      <x:c r="M52" s="50" t="n">
        <x:v>45551.86378472222</x:v>
      </x:c>
      <x:c r="N52" s="32" t="n">
        <x:f>IF(M52="","",MAX(0,'Resumen'!$B$3-M52))</x:f>
        <x:v>715.1362152777801</x:v>
      </x:c>
      <x:c r="O52" s="38" t="n">
        <x:v>0</x:v>
      </x:c>
      <x:c r="P52" s="38" t="n">
        <x:v>0</x:v>
      </x:c>
      <x:c r="Q52" s="38" t="n">
        <x:v>0</x:v>
      </x:c>
      <x:c r="R52" s="38" t="n">
        <x:f>MIN(D52,I52)</x:f>
        <x:v>1</x:v>
      </x:c>
      <x:c r="S52" s="47" t="n">
        <x:f>IFERROR(R52/D52,0)</x:f>
        <x:v>1</x:v>
      </x:c>
      <x:c r="T52" s="38" t="n">
        <x:f>MIN(MAX(G52,0),MAX(D52-I52,0))</x:f>
        <x:v>0</x:v>
      </x:c>
      <x:c r="U52" s="44" t="n">
        <x:f>T52*E52</x:f>
        <x:v>0</x:v>
      </x:c>
      <x:c r="V52" s="38" t="n">
        <x:v>0</x:v>
      </x:c>
      <x:c r="W52" s="32" t="n">
        <x:v>0</x:v>
      </x:c>
      <x:c r="X52" s="50"/>
      <x:c r="Y52" s="44" t="n">
        <x:v>70000</x:v>
      </x:c>
      <x:c r="Z52" s="44" t="n">
        <x:f>IF(I52&gt;0,R52*(J52/I52),0)</x:f>
        <x:v>70000</x:v>
      </x:c>
      <x:c r="AA52" s="44" t="n">
        <x:f>Z52-(R52*E52)</x:f>
        <x:v>28000</x:v>
      </x:c>
      <x:c r="AB52" s="47" t="n">
        <x:f>IFERROR(AA52/Z52,0)</x:f>
        <x:v>0.4</x:v>
      </x:c>
      <x:c r="AC52" s="32" t="str">
        <x:f>IF(S52=0,"0%",IF(S52&lt;0.5,"1-49%",IF(S52&lt;0.8,"50-79%",IF(S52&lt;1,"80-99%","100%"))))</x:f>
        <x:v>100%</x:v>
      </x:c>
      <x:c r="AD52" s="33" t="str">
        <x:f>IF(G52&lt;0,"Stock negativo",IF(G52&lt;=0,"Sin stock actual",IF(I52&lt;=0,"Sin ventas desde compra",IF(Q52&lt;=0,"Con stock, sin ventas 365d",IF(S52&lt;0.5,"Rotación baja",IF(S52&lt;1,"Rotación media","Compra absorbida; stock repuesto"))))))</x:f>
        <x:v>Sin stock actual</x:v>
      </x:c>
    </x:row>
    <x:row r="53">
      <x:c r="A53" s="31" t="str">
        <x:v>KIT - 01C8150</x:v>
      </x:c>
      <x:c r="B53" s="53" t="str">
        <x:v>KIT ARRASTRE CB 110 428 H - 120 L 42T 6 PP</x:v>
      </x:c>
      <x:c r="C53" s="32" t="n">
        <x:v>1</x:v>
      </x:c>
      <x:c r="D53" s="38" t="n">
        <x:v>1</x:v>
      </x:c>
      <x:c r="E53" s="44" t="n">
        <x:v>42000</x:v>
      </x:c>
      <x:c r="F53" s="44" t="n">
        <x:v>42000</x:v>
      </x:c>
      <x:c r="G53" s="41" t="n">
        <x:v>1</x:v>
      </x:c>
      <x:c r="H53" s="44" t="n">
        <x:f>MAX(G53,0)*E53</x:f>
        <x:v>42000</x:v>
      </x:c>
      <x:c r="I53" s="38" t="n">
        <x:v>0</x:v>
      </x:c>
      <x:c r="J53" s="44" t="n">
        <x:v>0</x:v>
      </x:c>
      <x:c r="K53" s="32" t="n">
        <x:v>0</x:v>
      </x:c>
      <x:c r="L53" s="50"/>
      <x:c r="M53" s="50"/>
      <x:c r="N53" s="32" t="str">
        <x:f>IF(M53="","",MAX(0,'Resumen'!$B$3-M53))</x:f>
      </x:c>
      <x:c r="O53" s="38" t="n">
        <x:v>0</x:v>
      </x:c>
      <x:c r="P53" s="38" t="n">
        <x:v>0</x:v>
      </x:c>
      <x:c r="Q53" s="38" t="n">
        <x:v>0</x:v>
      </x:c>
      <x:c r="R53" s="38" t="n">
        <x:f>MIN(D53,I53)</x:f>
        <x:v>0</x:v>
      </x:c>
      <x:c r="S53" s="47" t="n">
        <x:f>IFERROR(R53/D53,0)</x:f>
        <x:v>0</x:v>
      </x:c>
      <x:c r="T53" s="38" t="n">
        <x:f>MIN(MAX(G53,0),MAX(D53-I53,0))</x:f>
        <x:v>1</x:v>
      </x:c>
      <x:c r="U53" s="44" t="n">
        <x:f>T53*E53</x:f>
        <x:v>42000</x:v>
      </x:c>
      <x:c r="V53" s="38" t="n">
        <x:v>0</x:v>
      </x:c>
      <x:c r="W53" s="32" t="n">
        <x:v>0</x:v>
      </x:c>
      <x:c r="X53" s="50"/>
      <x:c r="Y53" s="44" t="n">
        <x:v>70000</x:v>
      </x:c>
      <x:c r="Z53" s="44" t="n">
        <x:f>IF(I53&gt;0,R53*(J53/I53),0)</x:f>
        <x:v>0</x:v>
      </x:c>
      <x:c r="AA53" s="44" t="n">
        <x:f>Z53-(R53*E53)</x:f>
        <x:v>0</x:v>
      </x:c>
      <x:c r="AB53" s="47" t="n">
        <x:f>IFERROR(AA53/Z53,0)</x:f>
        <x:v>0</x:v>
      </x:c>
      <x:c r="AC53" s="32" t="str">
        <x:f>IF(S53=0,"0%",IF(S53&lt;0.5,"1-49%",IF(S53&lt;0.8,"50-79%",IF(S53&lt;1,"80-99%","100%"))))</x:f>
        <x:v>0%</x:v>
      </x:c>
      <x:c r="AD53" s="33" t="str">
        <x:f>IF(G53&lt;0,"Stock negativo",IF(G53&lt;=0,"Sin stock actual",IF(I53&lt;=0,"Sin ventas desde compra",IF(Q53&lt;=0,"Con stock, sin ventas 365d",IF(S53&lt;0.5,"Rotación baja",IF(S53&lt;1,"Rotación media","Compra absorbida; stock repuesto"))))))</x:f>
        <x:v>Sin ventas desde compra</x:v>
      </x:c>
    </x:row>
    <x:row r="54">
      <x:c r="A54" s="31" t="str">
        <x:v>MOTS1038</x:v>
      </x:c>
      <x:c r="B54" s="53" t="str">
        <x:v>RETEN 20-38-5</x:v>
      </x:c>
      <x:c r="C54" s="32" t="n">
        <x:v>1</x:v>
      </x:c>
      <x:c r="D54" s="38" t="n">
        <x:v>21</x:v>
      </x:c>
      <x:c r="E54" s="44" t="n">
        <x:v>2000</x:v>
      </x:c>
      <x:c r="F54" s="44" t="n">
        <x:v>42000</x:v>
      </x:c>
      <x:c r="G54" s="41" t="n">
        <x:v>15</x:v>
      </x:c>
      <x:c r="H54" s="44" t="n">
        <x:f>MAX(G54,0)*E54</x:f>
        <x:v>30000</x:v>
      </x:c>
      <x:c r="I54" s="38" t="n">
        <x:v>16</x:v>
      </x:c>
      <x:c r="J54" s="44" t="n">
        <x:v>51500</x:v>
      </x:c>
      <x:c r="K54" s="32" t="n">
        <x:v>15</x:v>
      </x:c>
      <x:c r="L54" s="50" t="n">
        <x:v>45565.81988425926</x:v>
      </x:c>
      <x:c r="M54" s="50" t="n">
        <x:v>46251.640393518515</x:v>
      </x:c>
      <x:c r="N54" s="32" t="n">
        <x:f>IF(M54="","",MAX(0,'Resumen'!$B$3-M54))</x:f>
        <x:v>15.359606481484661</x:v>
      </x:c>
      <x:c r="O54" s="38" t="n">
        <x:v>1</x:v>
      </x:c>
      <x:c r="P54" s="38" t="n">
        <x:v>1</x:v>
      </x:c>
      <x:c r="Q54" s="38" t="n">
        <x:v>9</x:v>
      </x:c>
      <x:c r="R54" s="38" t="n">
        <x:f>MIN(D54,I54)</x:f>
        <x:v>16</x:v>
      </x:c>
      <x:c r="S54" s="47" t="n">
        <x:f>IFERROR(R54/D54,0)</x:f>
        <x:v>0.7619047619047619</x:v>
      </x:c>
      <x:c r="T54" s="38" t="n">
        <x:f>MIN(MAX(G54,0),MAX(D54-I54,0))</x:f>
        <x:v>5</x:v>
      </x:c>
      <x:c r="U54" s="44" t="n">
        <x:f>T54*E54</x:f>
        <x:v>10000</x:v>
      </x:c>
      <x:c r="V54" s="38" t="n">
        <x:v>10</x:v>
      </x:c>
      <x:c r="W54" s="32" t="n">
        <x:v>1</x:v>
      </x:c>
      <x:c r="X54" s="50" t="n">
        <x:v>46206</x:v>
      </x:c>
      <x:c r="Y54" s="44" t="n">
        <x:v>3500</x:v>
      </x:c>
      <x:c r="Z54" s="44" t="n">
        <x:f>IF(I54&gt;0,R54*(J54/I54),0)</x:f>
        <x:v>51500</x:v>
      </x:c>
      <x:c r="AA54" s="44" t="n">
        <x:f>Z54-(R54*E54)</x:f>
        <x:v>19500</x:v>
      </x:c>
      <x:c r="AB54" s="47" t="n">
        <x:f>IFERROR(AA54/Z54,0)</x:f>
        <x:v>0.3786407766990291</x:v>
      </x:c>
      <x:c r="AC54" s="32" t="str">
        <x:f>IF(S54=0,"0%",IF(S54&lt;0.5,"1-49%",IF(S54&lt;0.8,"50-79%",IF(S54&lt;1,"80-99%","100%"))))</x:f>
        <x:v>50-79%</x:v>
      </x:c>
      <x:c r="AD54" s="33" t="str">
        <x:f>IF(G54&lt;0,"Stock negativo",IF(G54&lt;=0,"Sin stock actual",IF(I54&lt;=0,"Sin ventas desde compra",IF(Q54&lt;=0,"Con stock, sin ventas 365d",IF(S54&lt;0.5,"Rotación baja",IF(S54&lt;1,"Rotación media","Compra absorbida; stock repuesto"))))))</x:f>
        <x:v>Rotación media</x:v>
      </x:c>
    </x:row>
    <x:row r="55">
      <x:c r="A55" s="31" t="str">
        <x:v>MOTS1180</x:v>
      </x:c>
      <x:c r="B55" s="53" t="str">
        <x:v>MANIGUETA DER XT2 125 NARITA</x:v>
      </x:c>
      <x:c r="C55" s="32" t="n">
        <x:v>1</x:v>
      </x:c>
      <x:c r="D55" s="38" t="n">
        <x:v>6</x:v>
      </x:c>
      <x:c r="E55" s="44" t="n">
        <x:v>7000</x:v>
      </x:c>
      <x:c r="F55" s="44" t="n">
        <x:v>42000</x:v>
      </x:c>
      <x:c r="G55" s="41" t="n">
        <x:v>2</x:v>
      </x:c>
      <x:c r="H55" s="44" t="n">
        <x:f>MAX(G55,0)*E55</x:f>
        <x:v>14000</x:v>
      </x:c>
      <x:c r="I55" s="38" t="n">
        <x:v>5</x:v>
      </x:c>
      <x:c r="J55" s="44" t="n">
        <x:v>57000</x:v>
      </x:c>
      <x:c r="K55" s="32" t="n">
        <x:v>5</x:v>
      </x:c>
      <x:c r="L55" s="50" t="n">
        <x:v>45520.91197916667</x:v>
      </x:c>
      <x:c r="M55" s="50" t="n">
        <x:v>46104.69967592593</x:v>
      </x:c>
      <x:c r="N55" s="32" t="n">
        <x:f>IF(M55="","",MAX(0,'Resumen'!$B$3-M55))</x:f>
        <x:v>162.3003240740727</x:v>
      </x:c>
      <x:c r="O55" s="38" t="n">
        <x:v>0</x:v>
      </x:c>
      <x:c r="P55" s="38" t="n">
        <x:v>0</x:v>
      </x:c>
      <x:c r="Q55" s="38" t="n">
        <x:v>1</x:v>
      </x:c>
      <x:c r="R55" s="38" t="n">
        <x:f>MIN(D55,I55)</x:f>
        <x:v>5</x:v>
      </x:c>
      <x:c r="S55" s="47" t="n">
        <x:f>IFERROR(R55/D55,0)</x:f>
        <x:v>0.8333333333333334</x:v>
      </x:c>
      <x:c r="T55" s="38" t="n">
        <x:f>MIN(MAX(G55,0),MAX(D55-I55,0))</x:f>
        <x:v>1</x:v>
      </x:c>
      <x:c r="U55" s="44" t="n">
        <x:f>T55*E55</x:f>
        <x:v>7000</x:v>
      </x:c>
      <x:c r="V55" s="38" t="n">
        <x:v>1</x:v>
      </x:c>
      <x:c r="W55" s="32" t="n">
        <x:v>1</x:v>
      </x:c>
      <x:c r="X55" s="50" t="n">
        <x:v>45772</x:v>
      </x:c>
      <x:c r="Y55" s="44" t="n">
        <x:v>12000</x:v>
      </x:c>
      <x:c r="Z55" s="44" t="n">
        <x:f>IF(I55&gt;0,R55*(J55/I55),0)</x:f>
        <x:v>57000</x:v>
      </x:c>
      <x:c r="AA55" s="44" t="n">
        <x:f>Z55-(R55*E55)</x:f>
        <x:v>22000</x:v>
      </x:c>
      <x:c r="AB55" s="47" t="n">
        <x:f>IFERROR(AA55/Z55,0)</x:f>
        <x:v>0.38596491228070173</x:v>
      </x:c>
      <x:c r="AC55" s="32" t="str">
        <x:f>IF(S55=0,"0%",IF(S55&lt;0.5,"1-49%",IF(S55&lt;0.8,"50-79%",IF(S55&lt;1,"80-99%","100%"))))</x:f>
        <x:v>80-99%</x:v>
      </x:c>
      <x:c r="AD55" s="33" t="str">
        <x:f>IF(G55&lt;0,"Stock negativo",IF(G55&lt;=0,"Sin stock actual",IF(I55&lt;=0,"Sin ventas desde compra",IF(Q55&lt;=0,"Con stock, sin ventas 365d",IF(S55&lt;0.5,"Rotación baja",IF(S55&lt;1,"Rotación media","Compra absorbida; stock repuesto"))))))</x:f>
        <x:v>Rotación media</x:v>
      </x:c>
    </x:row>
    <x:row r="56">
      <x:c r="A56" s="31" t="str">
        <x:v>PIN - 073</x:v>
      </x:c>
      <x:c r="B56" s="53" t="str">
        <x:v>PIÑON SEGUNDA ECO DELUXE HERO</x:v>
      </x:c>
      <x:c r="C56" s="32" t="n">
        <x:v>1</x:v>
      </x:c>
      <x:c r="D56" s="38" t="n">
        <x:v>3</x:v>
      </x:c>
      <x:c r="E56" s="44" t="n">
        <x:v>14000</x:v>
      </x:c>
      <x:c r="F56" s="44" t="n">
        <x:v>42000</x:v>
      </x:c>
      <x:c r="G56" s="41" t="n">
        <x:v>2</x:v>
      </x:c>
      <x:c r="H56" s="44" t="n">
        <x:f>MAX(G56,0)*E56</x:f>
        <x:v>28000</x:v>
      </x:c>
      <x:c r="I56" s="38" t="n">
        <x:v>3</x:v>
      </x:c>
      <x:c r="J56" s="44" t="n">
        <x:v>66000</x:v>
      </x:c>
      <x:c r="K56" s="32" t="n">
        <x:v>3</x:v>
      </x:c>
      <x:c r="L56" s="50" t="n">
        <x:v>45649.60340277778</x:v>
      </x:c>
      <x:c r="M56" s="50" t="n">
        <x:v>45703.67052083334</x:v>
      </x:c>
      <x:c r="N56" s="32" t="n">
        <x:f>IF(M56="","",MAX(0,'Resumen'!$B$3-M56))</x:f>
        <x:v>563.3294791666631</x:v>
      </x:c>
      <x:c r="O56" s="38" t="n">
        <x:v>0</x:v>
      </x:c>
      <x:c r="P56" s="38" t="n">
        <x:v>0</x:v>
      </x:c>
      <x:c r="Q56" s="38" t="n">
        <x:v>0</x:v>
      </x:c>
      <x:c r="R56" s="38" t="n">
        <x:f>MIN(D56,I56)</x:f>
        <x:v>3</x:v>
      </x:c>
      <x:c r="S56" s="47" t="n">
        <x:f>IFERROR(R56/D56,0)</x:f>
        <x:v>1</x:v>
      </x:c>
      <x:c r="T56" s="38" t="n">
        <x:f>MIN(MAX(G56,0),MAX(D56-I56,0))</x:f>
        <x:v>0</x:v>
      </x:c>
      <x:c r="U56" s="44" t="n">
        <x:f>T56*E56</x:f>
        <x:v>0</x:v>
      </x:c>
      <x:c r="V56" s="38" t="n">
        <x:v>2</x:v>
      </x:c>
      <x:c r="W56" s="32" t="n">
        <x:v>2</x:v>
      </x:c>
      <x:c r="X56" s="50" t="n">
        <x:v>45761</x:v>
      </x:c>
      <x:c r="Y56" s="44" t="n">
        <x:v>23500</x:v>
      </x:c>
      <x:c r="Z56" s="44" t="n">
        <x:f>IF(I56&gt;0,R56*(J56/I56),0)</x:f>
        <x:v>66000</x:v>
      </x:c>
      <x:c r="AA56" s="44" t="n">
        <x:f>Z56-(R56*E56)</x:f>
        <x:v>24000</x:v>
      </x:c>
      <x:c r="AB56" s="47" t="n">
        <x:f>IFERROR(AA56/Z56,0)</x:f>
        <x:v>0.36363636363636365</x:v>
      </x:c>
      <x:c r="AC56" s="32" t="str">
        <x:f>IF(S56=0,"0%",IF(S56&lt;0.5,"1-49%",IF(S56&lt;0.8,"50-79%",IF(S56&lt;1,"80-99%","100%"))))</x:f>
        <x:v>100%</x:v>
      </x:c>
      <x:c r="AD56" s="33" t="str">
        <x:f>IF(G56&lt;0,"Stock negativo",IF(G56&lt;=0,"Sin stock actual",IF(I56&lt;=0,"Sin ventas desde compra",IF(Q56&lt;=0,"Con stock, sin ventas 365d",IF(S56&lt;0.5,"Rotación baja",IF(S56&lt;1,"Rotación media","Compra absorbida; stock repuesto"))))))</x:f>
        <x:v>Con stock, sin ventas 365d</x:v>
      </x:c>
    </x:row>
    <x:row r="57">
      <x:c r="A57" s="31" t="str">
        <x:v>D172</x:v>
      </x:c>
      <x:c r="B57" s="53" t="str">
        <x:v>SILICONA PROTECTOR SIEMPRE NUEVO SIMONIZ</x:v>
      </x:c>
      <x:c r="C57" s="32" t="n">
        <x:v>1</x:v>
      </x:c>
      <x:c r="D57" s="38" t="n">
        <x:v>5</x:v>
      </x:c>
      <x:c r="E57" s="44" t="n">
        <x:v>8000</x:v>
      </x:c>
      <x:c r="F57" s="44" t="n">
        <x:v>40000</x:v>
      </x:c>
      <x:c r="G57" s="41" t="n">
        <x:v>0</x:v>
      </x:c>
      <x:c r="H57" s="44" t="n">
        <x:f>MAX(G57,0)*E57</x:f>
        <x:v>0</x:v>
      </x:c>
      <x:c r="I57" s="38" t="n">
        <x:v>5</x:v>
      </x:c>
      <x:c r="J57" s="44" t="n">
        <x:v>70000</x:v>
      </x:c>
      <x:c r="K57" s="32" t="n">
        <x:v>5</x:v>
      </x:c>
      <x:c r="L57" s="50" t="n">
        <x:v>45501.751238425924</x:v>
      </x:c>
      <x:c r="M57" s="50" t="n">
        <x:v>45711.60600694444</x:v>
      </x:c>
      <x:c r="N57" s="32" t="n">
        <x:f>IF(M57="","",MAX(0,'Resumen'!$B$3-M57))</x:f>
        <x:v>555.3939930555571</x:v>
      </x:c>
      <x:c r="O57" s="38" t="n">
        <x:v>0</x:v>
      </x:c>
      <x:c r="P57" s="38" t="n">
        <x:v>0</x:v>
      </x:c>
      <x:c r="Q57" s="38" t="n">
        <x:v>0</x:v>
      </x:c>
      <x:c r="R57" s="38" t="n">
        <x:f>MIN(D57,I57)</x:f>
        <x:v>5</x:v>
      </x:c>
      <x:c r="S57" s="47" t="n">
        <x:f>IFERROR(R57/D57,0)</x:f>
        <x:v>1</x:v>
      </x:c>
      <x:c r="T57" s="38" t="n">
        <x:f>MIN(MAX(G57,0),MAX(D57-I57,0))</x:f>
        <x:v>0</x:v>
      </x:c>
      <x:c r="U57" s="44" t="n">
        <x:f>T57*E57</x:f>
        <x:v>0</x:v>
      </x:c>
      <x:c r="V57" s="38" t="n">
        <x:v>0</x:v>
      </x:c>
      <x:c r="W57" s="32" t="n">
        <x:v>0</x:v>
      </x:c>
      <x:c r="X57" s="50"/>
      <x:c r="Y57" s="44" t="n">
        <x:v>14000</x:v>
      </x:c>
      <x:c r="Z57" s="44" t="n">
        <x:f>IF(I57&gt;0,R57*(J57/I57),0)</x:f>
        <x:v>70000</x:v>
      </x:c>
      <x:c r="AA57" s="44" t="n">
        <x:f>Z57-(R57*E57)</x:f>
        <x:v>30000</x:v>
      </x:c>
      <x:c r="AB57" s="47" t="n">
        <x:f>IFERROR(AA57/Z57,0)</x:f>
        <x:v>0.42857142857142855</x:v>
      </x:c>
      <x:c r="AC57" s="32" t="str">
        <x:f>IF(S57=0,"0%",IF(S57&lt;0.5,"1-49%",IF(S57&lt;0.8,"50-79%",IF(S57&lt;1,"80-99%","100%"))))</x:f>
        <x:v>100%</x:v>
      </x:c>
      <x:c r="AD57" s="33" t="str">
        <x:f>IF(G57&lt;0,"Stock negativo",IF(G57&lt;=0,"Sin stock actual",IF(I57&lt;=0,"Sin ventas desde compra",IF(Q57&lt;=0,"Con stock, sin ventas 365d",IF(S57&lt;0.5,"Rotación baja",IF(S57&lt;1,"Rotación media","Compra absorbida; stock repuesto"))))))</x:f>
        <x:v>Sin stock actual</x:v>
      </x:c>
    </x:row>
    <x:row r="58">
      <x:c r="A58" s="31" t="str">
        <x:v>MOTS1075</x:v>
      </x:c>
      <x:c r="B58" s="53" t="str">
        <x:v>RETEN 16-26-7</x:v>
      </x:c>
      <x:c r="C58" s="32" t="n">
        <x:v>1</x:v>
      </x:c>
      <x:c r="D58" s="38" t="n">
        <x:v>10</x:v>
      </x:c>
      <x:c r="E58" s="44" t="n">
        <x:v>4000</x:v>
      </x:c>
      <x:c r="F58" s="44" t="n">
        <x:v>40000</x:v>
      </x:c>
      <x:c r="G58" s="41" t="n">
        <x:v>8</x:v>
      </x:c>
      <x:c r="H58" s="44" t="n">
        <x:f>MAX(G58,0)*E58</x:f>
        <x:v>32000</x:v>
      </x:c>
      <x:c r="I58" s="38" t="n">
        <x:v>2</x:v>
      </x:c>
      <x:c r="J58" s="44" t="n">
        <x:v>11000</x:v>
      </x:c>
      <x:c r="K58" s="32" t="n">
        <x:v>2</x:v>
      </x:c>
      <x:c r="L58" s="50" t="n">
        <x:v>45687.70087962963</x:v>
      </x:c>
      <x:c r="M58" s="50" t="n">
        <x:v>45711.59148148148</x:v>
      </x:c>
      <x:c r="N58" s="32" t="n">
        <x:f>IF(M58="","",MAX(0,'Resumen'!$B$3-M58))</x:f>
        <x:v>555.4085185185177</x:v>
      </x:c>
      <x:c r="O58" s="38" t="n">
        <x:v>0</x:v>
      </x:c>
      <x:c r="P58" s="38" t="n">
        <x:v>0</x:v>
      </x:c>
      <x:c r="Q58" s="38" t="n">
        <x:v>0</x:v>
      </x:c>
      <x:c r="R58" s="38" t="n">
        <x:f>MIN(D58,I58)</x:f>
        <x:v>2</x:v>
      </x:c>
      <x:c r="S58" s="47" t="n">
        <x:f>IFERROR(R58/D58,0)</x:f>
        <x:v>0.2</x:v>
      </x:c>
      <x:c r="T58" s="38" t="n">
        <x:f>MIN(MAX(G58,0),MAX(D58-I58,0))</x:f>
        <x:v>8</x:v>
      </x:c>
      <x:c r="U58" s="44" t="n">
        <x:f>T58*E58</x:f>
        <x:v>32000</x:v>
      </x:c>
      <x:c r="V58" s="38" t="n">
        <x:v>0</x:v>
      </x:c>
      <x:c r="W58" s="32" t="n">
        <x:v>0</x:v>
      </x:c>
      <x:c r="X58" s="50"/>
      <x:c r="Y58" s="44" t="n">
        <x:v>7000</x:v>
      </x:c>
      <x:c r="Z58" s="44" t="n">
        <x:f>IF(I58&gt;0,R58*(J58/I58),0)</x:f>
        <x:v>11000</x:v>
      </x:c>
      <x:c r="AA58" s="44" t="n">
        <x:f>Z58-(R58*E58)</x:f>
        <x:v>3000</x:v>
      </x:c>
      <x:c r="AB58" s="47" t="n">
        <x:f>IFERROR(AA58/Z58,0)</x:f>
        <x:v>0.2727272727272727</x:v>
      </x:c>
      <x:c r="AC58" s="32" t="str">
        <x:f>IF(S58=0,"0%",IF(S58&lt;0.5,"1-49%",IF(S58&lt;0.8,"50-79%",IF(S58&lt;1,"80-99%","100%"))))</x:f>
        <x:v>1-49%</x:v>
      </x:c>
      <x:c r="AD58" s="33" t="str">
        <x:f>IF(G58&lt;0,"Stock negativo",IF(G58&lt;=0,"Sin stock actual",IF(I58&lt;=0,"Sin ventas desde compra",IF(Q58&lt;=0,"Con stock, sin ventas 365d",IF(S58&lt;0.5,"Rotación baja",IF(S58&lt;1,"Rotación media","Compra absorbida; stock repuesto"))))))</x:f>
        <x:v>Con stock, sin ventas 365d</x:v>
      </x:c>
    </x:row>
    <x:row r="59">
      <x:c r="A59" s="31" t="str">
        <x:v>MOTS1217</x:v>
      </x:c>
      <x:c r="B59" s="53" t="str">
        <x:v>GUIA DE VALVULA ECO DELUXE HERO</x:v>
      </x:c>
      <x:c r="C59" s="32" t="n">
        <x:v>1</x:v>
      </x:c>
      <x:c r="D59" s="38" t="n">
        <x:v>5</x:v>
      </x:c>
      <x:c r="E59" s="44" t="n">
        <x:v>8000</x:v>
      </x:c>
      <x:c r="F59" s="44" t="n">
        <x:v>40000</x:v>
      </x:c>
      <x:c r="G59" s="41" t="n">
        <x:v>4</x:v>
      </x:c>
      <x:c r="H59" s="44" t="n">
        <x:f>MAX(G59,0)*E59</x:f>
        <x:v>32000</x:v>
      </x:c>
      <x:c r="I59" s="38" t="n">
        <x:v>1</x:v>
      </x:c>
      <x:c r="J59" s="44" t="n">
        <x:v>12000</x:v>
      </x:c>
      <x:c r="K59" s="32" t="n">
        <x:v>1</x:v>
      </x:c>
      <x:c r="L59" s="50" t="n">
        <x:v>45706.675405092596</x:v>
      </x:c>
      <x:c r="M59" s="50" t="n">
        <x:v>45706.675405092596</x:v>
      </x:c>
      <x:c r="N59" s="32" t="n">
        <x:f>IF(M59="","",MAX(0,'Resumen'!$B$3-M59))</x:f>
        <x:v>560.3245949074044</x:v>
      </x:c>
      <x:c r="O59" s="38" t="n">
        <x:v>0</x:v>
      </x:c>
      <x:c r="P59" s="38" t="n">
        <x:v>0</x:v>
      </x:c>
      <x:c r="Q59" s="38" t="n">
        <x:v>0</x:v>
      </x:c>
      <x:c r="R59" s="38" t="n">
        <x:f>MIN(D59,I59)</x:f>
        <x:v>1</x:v>
      </x:c>
      <x:c r="S59" s="47" t="n">
        <x:f>IFERROR(R59/D59,0)</x:f>
        <x:v>0.2</x:v>
      </x:c>
      <x:c r="T59" s="38" t="n">
        <x:f>MIN(MAX(G59,0),MAX(D59-I59,0))</x:f>
        <x:v>4</x:v>
      </x:c>
      <x:c r="U59" s="44" t="n">
        <x:f>T59*E59</x:f>
        <x:v>32000</x:v>
      </x:c>
      <x:c r="V59" s="38" t="n">
        <x:v>0</x:v>
      </x:c>
      <x:c r="W59" s="32" t="n">
        <x:v>0</x:v>
      </x:c>
      <x:c r="X59" s="50"/>
      <x:c r="Y59" s="44" t="n">
        <x:v>13500</x:v>
      </x:c>
      <x:c r="Z59" s="44" t="n">
        <x:f>IF(I59&gt;0,R59*(J59/I59),0)</x:f>
        <x:v>12000</x:v>
      </x:c>
      <x:c r="AA59" s="44" t="n">
        <x:f>Z59-(R59*E59)</x:f>
        <x:v>4000</x:v>
      </x:c>
      <x:c r="AB59" s="47" t="n">
        <x:f>IFERROR(AA59/Z59,0)</x:f>
        <x:v>0.3333333333333333</x:v>
      </x:c>
      <x:c r="AC59" s="32" t="str">
        <x:f>IF(S59=0,"0%",IF(S59&lt;0.5,"1-49%",IF(S59&lt;0.8,"50-79%",IF(S59&lt;1,"80-99%","100%"))))</x:f>
        <x:v>1-49%</x:v>
      </x:c>
      <x:c r="AD59" s="33" t="str">
        <x:f>IF(G59&lt;0,"Stock negativo",IF(G59&lt;=0,"Sin stock actual",IF(I59&lt;=0,"Sin ventas desde compra",IF(Q59&lt;=0,"Con stock, sin ventas 365d",IF(S59&lt;0.5,"Rotación baja",IF(S59&lt;1,"Rotación media","Compra absorbida; stock repuesto"))))))</x:f>
        <x:v>Con stock, sin ventas 365d</x:v>
      </x:c>
    </x:row>
    <x:row r="60">
      <x:c r="A60" s="31" t="str">
        <x:v>CAB - 061080</x:v>
      </x:c>
      <x:c r="B60" s="53" t="str">
        <x:v>COMANDO IZQ 125 BWS YAMAHA</x:v>
      </x:c>
      <x:c r="C60" s="32" t="n">
        <x:v>1</x:v>
      </x:c>
      <x:c r="D60" s="38" t="n">
        <x:v>1</x:v>
      </x:c>
      <x:c r="E60" s="44" t="n">
        <x:v>39000</x:v>
      </x:c>
      <x:c r="F60" s="44" t="n">
        <x:v>39000</x:v>
      </x:c>
      <x:c r="G60" s="41" t="n">
        <x:v>1</x:v>
      </x:c>
      <x:c r="H60" s="44" t="n">
        <x:f>MAX(G60,0)*E60</x:f>
        <x:v>39000</x:v>
      </x:c>
      <x:c r="I60" s="38" t="n">
        <x:v>2</x:v>
      </x:c>
      <x:c r="J60" s="44" t="n">
        <x:v>105000</x:v>
      </x:c>
      <x:c r="K60" s="32" t="n">
        <x:v>2</x:v>
      </x:c>
      <x:c r="L60" s="50" t="n">
        <x:v>45509.94179398148</x:v>
      </x:c>
      <x:c r="M60" s="50" t="n">
        <x:v>45581.96030092592</x:v>
      </x:c>
      <x:c r="N60" s="32" t="n">
        <x:f>IF(M60="","",MAX(0,'Resumen'!$B$3-M60))</x:f>
        <x:v>685.0396990740774</x:v>
      </x:c>
      <x:c r="O60" s="38" t="n">
        <x:v>0</x:v>
      </x:c>
      <x:c r="P60" s="38" t="n">
        <x:v>0</x:v>
      </x:c>
      <x:c r="Q60" s="38" t="n">
        <x:v>0</x:v>
      </x:c>
      <x:c r="R60" s="38" t="n">
        <x:f>MIN(D60,I60)</x:f>
        <x:v>1</x:v>
      </x:c>
      <x:c r="S60" s="47" t="n">
        <x:f>IFERROR(R60/D60,0)</x:f>
        <x:v>1</x:v>
      </x:c>
      <x:c r="T60" s="38" t="n">
        <x:f>MIN(MAX(G60,0),MAX(D60-I60,0))</x:f>
        <x:v>0</x:v>
      </x:c>
      <x:c r="U60" s="44" t="n">
        <x:f>T60*E60</x:f>
        <x:v>0</x:v>
      </x:c>
      <x:c r="V60" s="38" t="n">
        <x:v>2</x:v>
      </x:c>
      <x:c r="W60" s="32" t="n">
        <x:v>2</x:v>
      </x:c>
      <x:c r="X60" s="50" t="n">
        <x:v>45670</x:v>
      </x:c>
      <x:c r="Y60" s="44" t="n">
        <x:v>45000</x:v>
      </x:c>
      <x:c r="Z60" s="44" t="n">
        <x:f>IF(I60&gt;0,R60*(J60/I60),0)</x:f>
        <x:v>52500</x:v>
      </x:c>
      <x:c r="AA60" s="44" t="n">
        <x:f>Z60-(R60*E60)</x:f>
        <x:v>13500</x:v>
      </x:c>
      <x:c r="AB60" s="47" t="n">
        <x:f>IFERROR(AA60/Z60,0)</x:f>
        <x:v>0.2571428571428571</x:v>
      </x:c>
      <x:c r="AC60" s="32" t="str">
        <x:f>IF(S60=0,"0%",IF(S60&lt;0.5,"1-49%",IF(S60&lt;0.8,"50-79%",IF(S60&lt;1,"80-99%","100%"))))</x:f>
        <x:v>100%</x:v>
      </x:c>
      <x:c r="AD60" s="33" t="str">
        <x:f>IF(G60&lt;0,"Stock negativo",IF(G60&lt;=0,"Sin stock actual",IF(I60&lt;=0,"Sin ventas desde compra",IF(Q60&lt;=0,"Con stock, sin ventas 365d",IF(S60&lt;0.5,"Rotación baja",IF(S60&lt;1,"Rotación media","Compra absorbida; stock repuesto"))))))</x:f>
        <x:v>Con stock, sin ventas 365d</x:v>
      </x:c>
    </x:row>
    <x:row r="61">
      <x:c r="A61" s="31" t="str">
        <x:v>MOTS1091</x:v>
      </x:c>
      <x:c r="B61" s="53" t="str">
        <x:v>RETEN 12-22-5</x:v>
      </x:c>
      <x:c r="C61" s="32" t="n">
        <x:v>1</x:v>
      </x:c>
      <x:c r="D61" s="38" t="n">
        <x:v>39</x:v>
      </x:c>
      <x:c r="E61" s="44" t="n">
        <x:v>1000</x:v>
      </x:c>
      <x:c r="F61" s="44" t="n">
        <x:v>39000</x:v>
      </x:c>
      <x:c r="G61" s="41" t="n">
        <x:v>38</x:v>
      </x:c>
      <x:c r="H61" s="44" t="n">
        <x:f>MAX(G61,0)*E61</x:f>
        <x:v>38000</x:v>
      </x:c>
      <x:c r="I61" s="38" t="n">
        <x:v>1</x:v>
      </x:c>
      <x:c r="J61" s="44" t="n">
        <x:v>2000</x:v>
      </x:c>
      <x:c r="K61" s="32" t="n">
        <x:v>1</x:v>
      </x:c>
      <x:c r="L61" s="50" t="n">
        <x:v>45916.64318287037</x:v>
      </x:c>
      <x:c r="M61" s="50" t="n">
        <x:v>45916.64318287037</x:v>
      </x:c>
      <x:c r="N61" s="32" t="n">
        <x:f>IF(M61="","",MAX(0,'Resumen'!$B$3-M61))</x:f>
        <x:v>350.3568171296283</x:v>
      </x:c>
      <x:c r="O61" s="38" t="n">
        <x:v>0</x:v>
      </x:c>
      <x:c r="P61" s="38" t="n">
        <x:v>0</x:v>
      </x:c>
      <x:c r="Q61" s="38" t="n">
        <x:v>1</x:v>
      </x:c>
      <x:c r="R61" s="38" t="n">
        <x:f>MIN(D61,I61)</x:f>
        <x:v>1</x:v>
      </x:c>
      <x:c r="S61" s="47" t="n">
        <x:f>IFERROR(R61/D61,0)</x:f>
        <x:v>0.02564102564102564</x:v>
      </x:c>
      <x:c r="T61" s="38" t="n">
        <x:f>MIN(MAX(G61,0),MAX(D61-I61,0))</x:f>
        <x:v>38</x:v>
      </x:c>
      <x:c r="U61" s="44" t="n">
        <x:f>T61*E61</x:f>
        <x:v>38000</x:v>
      </x:c>
      <x:c r="V61" s="38" t="n">
        <x:v>0</x:v>
      </x:c>
      <x:c r="W61" s="32" t="n">
        <x:v>0</x:v>
      </x:c>
      <x:c r="X61" s="50"/>
      <x:c r="Y61" s="44" t="n">
        <x:v>2000</x:v>
      </x:c>
      <x:c r="Z61" s="44" t="n">
        <x:f>IF(I61&gt;0,R61*(J61/I61),0)</x:f>
        <x:v>2000</x:v>
      </x:c>
      <x:c r="AA61" s="44" t="n">
        <x:f>Z61-(R61*E61)</x:f>
        <x:v>1000</x:v>
      </x:c>
      <x:c r="AB61" s="47" t="n">
        <x:f>IFERROR(AA61/Z61,0)</x:f>
        <x:v>0.5</x:v>
      </x:c>
      <x:c r="AC61" s="32" t="str">
        <x:f>IF(S61=0,"0%",IF(S61&lt;0.5,"1-49%",IF(S61&lt;0.8,"50-79%",IF(S61&lt;1,"80-99%","100%"))))</x:f>
        <x:v>1-49%</x:v>
      </x:c>
      <x:c r="AD61" s="33" t="str">
        <x:f>IF(G61&lt;0,"Stock negativo",IF(G61&lt;=0,"Sin stock actual",IF(I61&lt;=0,"Sin ventas desde compra",IF(Q61&lt;=0,"Con stock, sin ventas 365d",IF(S61&lt;0.5,"Rotación baja",IF(S61&lt;1,"Rotación media","Compra absorbida; stock repuesto"))))))</x:f>
        <x:v>Rotación baja</x:v>
      </x:c>
    </x:row>
    <x:row r="62">
      <x:c r="A62" s="31" t="str">
        <x:v>BAL - 01908</x:v>
      </x:c>
      <x:c r="B62" s="53" t="str">
        <x:v>BALINERA 6301 ZZCM KOYO</x:v>
      </x:c>
      <x:c r="C62" s="32" t="n">
        <x:v>1</x:v>
      </x:c>
      <x:c r="D62" s="38" t="n">
        <x:v>8</x:v>
      </x:c>
      <x:c r="E62" s="44" t="n">
        <x:v>4800</x:v>
      </x:c>
      <x:c r="F62" s="44" t="n">
        <x:v>38400</x:v>
      </x:c>
      <x:c r="G62" s="41" t="n">
        <x:v>7</x:v>
      </x:c>
      <x:c r="H62" s="44" t="n">
        <x:f>MAX(G62,0)*E62</x:f>
        <x:v>33600</x:v>
      </x:c>
      <x:c r="I62" s="38" t="n">
        <x:v>8</x:v>
      </x:c>
      <x:c r="J62" s="44" t="n">
        <x:v>74000</x:v>
      </x:c>
      <x:c r="K62" s="32" t="n">
        <x:v>5</x:v>
      </x:c>
      <x:c r="L62" s="50" t="n">
        <x:v>45509.94179398148</x:v>
      </x:c>
      <x:c r="M62" s="50" t="n">
        <x:v>45531.857407407406</x:v>
      </x:c>
      <x:c r="N62" s="32" t="n">
        <x:f>IF(M62="","",MAX(0,'Resumen'!$B$3-M62))</x:f>
        <x:v>735.1425925925942</x:v>
      </x:c>
      <x:c r="O62" s="38" t="n">
        <x:v>0</x:v>
      </x:c>
      <x:c r="P62" s="38" t="n">
        <x:v>0</x:v>
      </x:c>
      <x:c r="Q62" s="38" t="n">
        <x:v>0</x:v>
      </x:c>
      <x:c r="R62" s="38" t="n">
        <x:f>MIN(D62,I62)</x:f>
        <x:v>8</x:v>
      </x:c>
      <x:c r="S62" s="47" t="n">
        <x:f>IFERROR(R62/D62,0)</x:f>
        <x:v>1</x:v>
      </x:c>
      <x:c r="T62" s="38" t="n">
        <x:f>MIN(MAX(G62,0),MAX(D62-I62,0))</x:f>
        <x:v>0</x:v>
      </x:c>
      <x:c r="U62" s="44" t="n">
        <x:f>T62*E62</x:f>
        <x:v>0</x:v>
      </x:c>
      <x:c r="V62" s="38" t="n">
        <x:v>7</x:v>
      </x:c>
      <x:c r="W62" s="32" t="n">
        <x:v>2</x:v>
      </x:c>
      <x:c r="X62" s="50" t="n">
        <x:v>45673</x:v>
      </x:c>
      <x:c r="Y62" s="44" t="n">
        <x:v>10500</x:v>
      </x:c>
      <x:c r="Z62" s="44" t="n">
        <x:f>IF(I62&gt;0,R62*(J62/I62),0)</x:f>
        <x:v>74000</x:v>
      </x:c>
      <x:c r="AA62" s="44" t="n">
        <x:f>Z62-(R62*E62)</x:f>
        <x:v>35600</x:v>
      </x:c>
      <x:c r="AB62" s="47" t="n">
        <x:f>IFERROR(AA62/Z62,0)</x:f>
        <x:v>0.4810810810810811</x:v>
      </x:c>
      <x:c r="AC62" s="32" t="str">
        <x:f>IF(S62=0,"0%",IF(S62&lt;0.5,"1-49%",IF(S62&lt;0.8,"50-79%",IF(S62&lt;1,"80-99%","100%"))))</x:f>
        <x:v>100%</x:v>
      </x:c>
      <x:c r="AD62" s="33" t="str">
        <x:f>IF(G62&lt;0,"Stock negativo",IF(G62&lt;=0,"Sin stock actual",IF(I62&lt;=0,"Sin ventas desde compra",IF(Q62&lt;=0,"Con stock, sin ventas 365d",IF(S62&lt;0.5,"Rotación baja",IF(S62&lt;1,"Rotación media","Compra absorbida; stock repuesto"))))))</x:f>
        <x:v>Con stock, sin ventas 365d</x:v>
      </x:c>
    </x:row>
    <x:row r="63">
      <x:c r="A63" s="31" t="str">
        <x:v>COM-148</x:v>
      </x:c>
      <x:c r="B63" s="53" t="str">
        <x:v>COMANDO IZQ FZ 16 MOTOTEC</x:v>
      </x:c>
      <x:c r="C63" s="32" t="n">
        <x:v>1</x:v>
      </x:c>
      <x:c r="D63" s="38" t="n">
        <x:v>2</x:v>
      </x:c>
      <x:c r="E63" s="44" t="n">
        <x:v>19200</x:v>
      </x:c>
      <x:c r="F63" s="44" t="n">
        <x:v>38400</x:v>
      </x:c>
      <x:c r="G63" s="41" t="n">
        <x:v>2</x:v>
      </x:c>
      <x:c r="H63" s="44" t="n">
        <x:f>MAX(G63,0)*E63</x:f>
        <x:v>38400</x:v>
      </x:c>
      <x:c r="I63" s="38" t="n">
        <x:v>1</x:v>
      </x:c>
      <x:c r="J63" s="44" t="n">
        <x:v>30000</x:v>
      </x:c>
      <x:c r="K63" s="32" t="n">
        <x:v>1</x:v>
      </x:c>
      <x:c r="L63" s="50" t="n">
        <x:v>45569.98197916667</x:v>
      </x:c>
      <x:c r="M63" s="50" t="n">
        <x:v>45569.98197916667</x:v>
      </x:c>
      <x:c r="N63" s="32" t="n">
        <x:f>IF(M63="","",MAX(0,'Resumen'!$B$3-M63))</x:f>
        <x:v>697.0180208333331</x:v>
      </x:c>
      <x:c r="O63" s="38" t="n">
        <x:v>0</x:v>
      </x:c>
      <x:c r="P63" s="38" t="n">
        <x:v>0</x:v>
      </x:c>
      <x:c r="Q63" s="38" t="n">
        <x:v>0</x:v>
      </x:c>
      <x:c r="R63" s="38" t="n">
        <x:f>MIN(D63,I63)</x:f>
        <x:v>1</x:v>
      </x:c>
      <x:c r="S63" s="47" t="n">
        <x:f>IFERROR(R63/D63,0)</x:f>
        <x:v>0.5</x:v>
      </x:c>
      <x:c r="T63" s="38" t="n">
        <x:f>MIN(MAX(G63,0),MAX(D63-I63,0))</x:f>
        <x:v>1</x:v>
      </x:c>
      <x:c r="U63" s="44" t="n">
        <x:f>T63*E63</x:f>
        <x:v>19200</x:v>
      </x:c>
      <x:c r="V63" s="38" t="n">
        <x:v>1</x:v>
      </x:c>
      <x:c r="W63" s="32" t="n">
        <x:v>1</x:v>
      </x:c>
      <x:c r="X63" s="50" t="n">
        <x:v>46107</x:v>
      </x:c>
      <x:c r="Y63" s="44" t="n">
        <x:v>32000</x:v>
      </x:c>
      <x:c r="Z63" s="44" t="n">
        <x:f>IF(I63&gt;0,R63*(J63/I63),0)</x:f>
        <x:v>30000</x:v>
      </x:c>
      <x:c r="AA63" s="44" t="n">
        <x:f>Z63-(R63*E63)</x:f>
        <x:v>10800</x:v>
      </x:c>
      <x:c r="AB63" s="47" t="n">
        <x:f>IFERROR(AA63/Z63,0)</x:f>
        <x:v>0.36</x:v>
      </x:c>
      <x:c r="AC63" s="32" t="str">
        <x:f>IF(S63=0,"0%",IF(S63&lt;0.5,"1-49%",IF(S63&lt;0.8,"50-79%",IF(S63&lt;1,"80-99%","100%"))))</x:f>
        <x:v>50-79%</x:v>
      </x:c>
      <x:c r="AD63" s="33" t="str">
        <x:f>IF(G63&lt;0,"Stock negativo",IF(G63&lt;=0,"Sin stock actual",IF(I63&lt;=0,"Sin ventas desde compra",IF(Q63&lt;=0,"Con stock, sin ventas 365d",IF(S63&lt;0.5,"Rotación baja",IF(S63&lt;1,"Rotación media","Compra absorbida; stock repuesto"))))))</x:f>
        <x:v>Con stock, sin ventas 365d</x:v>
      </x:c>
    </x:row>
    <x:row r="64">
      <x:c r="A64" s="31" t="str">
        <x:v>MOTS1216</x:v>
      </x:c>
      <x:c r="B64" s="53" t="str">
        <x:v>CUNAS RX 100-115 / CT 125 - 115 / BR15 YGR 125 RODILLO EVOL</x:v>
      </x:c>
      <x:c r="C64" s="32" t="n">
        <x:v>1</x:v>
      </x:c>
      <x:c r="D64" s="38" t="n">
        <x:v>3</x:v>
      </x:c>
      <x:c r="E64" s="44" t="n">
        <x:v>12800</x:v>
      </x:c>
      <x:c r="F64" s="44" t="n">
        <x:v>38400</x:v>
      </x:c>
      <x:c r="G64" s="41" t="n">
        <x:v>3</x:v>
      </x:c>
      <x:c r="H64" s="44" t="n">
        <x:f>MAX(G64,0)*E64</x:f>
        <x:v>38400</x:v>
      </x:c>
      <x:c r="I64" s="38" t="n">
        <x:v>0</x:v>
      </x:c>
      <x:c r="J64" s="44" t="n">
        <x:v>0</x:v>
      </x:c>
      <x:c r="K64" s="32" t="n">
        <x:v>0</x:v>
      </x:c>
      <x:c r="L64" s="50"/>
      <x:c r="M64" s="50"/>
      <x:c r="N64" s="32" t="str">
        <x:f>IF(M64="","",MAX(0,'Resumen'!$B$3-M64))</x:f>
      </x:c>
      <x:c r="O64" s="38" t="n">
        <x:v>0</x:v>
      </x:c>
      <x:c r="P64" s="38" t="n">
        <x:v>0</x:v>
      </x:c>
      <x:c r="Q64" s="38" t="n">
        <x:v>0</x:v>
      </x:c>
      <x:c r="R64" s="38" t="n">
        <x:f>MIN(D64,I64)</x:f>
        <x:v>0</x:v>
      </x:c>
      <x:c r="S64" s="47" t="n">
        <x:f>IFERROR(R64/D64,0)</x:f>
        <x:v>0</x:v>
      </x:c>
      <x:c r="T64" s="38" t="n">
        <x:f>MIN(MAX(G64,0),MAX(D64-I64,0))</x:f>
        <x:v>3</x:v>
      </x:c>
      <x:c r="U64" s="44" t="n">
        <x:f>T64*E64</x:f>
        <x:v>38400</x:v>
      </x:c>
      <x:c r="V64" s="38" t="n">
        <x:v>0</x:v>
      </x:c>
      <x:c r="W64" s="32" t="n">
        <x:v>0</x:v>
      </x:c>
      <x:c r="X64" s="50"/>
      <x:c r="Y64" s="44" t="n">
        <x:v>21500</x:v>
      </x:c>
      <x:c r="Z64" s="44" t="n">
        <x:f>IF(I64&gt;0,R64*(J64/I64),0)</x:f>
        <x:v>0</x:v>
      </x:c>
      <x:c r="AA64" s="44" t="n">
        <x:f>Z64-(R64*E64)</x:f>
        <x:v>0</x:v>
      </x:c>
      <x:c r="AB64" s="47" t="n">
        <x:f>IFERROR(AA64/Z64,0)</x:f>
        <x:v>0</x:v>
      </x:c>
      <x:c r="AC64" s="32" t="str">
        <x:f>IF(S64=0,"0%",IF(S64&lt;0.5,"1-49%",IF(S64&lt;0.8,"50-79%",IF(S64&lt;1,"80-99%","100%"))))</x:f>
        <x:v>0%</x:v>
      </x:c>
      <x:c r="AD64" s="33" t="str">
        <x:f>IF(G64&lt;0,"Stock negativo",IF(G64&lt;=0,"Sin stock actual",IF(I64&lt;=0,"Sin ventas desde compra",IF(Q64&lt;=0,"Con stock, sin ventas 365d",IF(S64&lt;0.5,"Rotación baja",IF(S64&lt;1,"Rotación media","Compra absorbida; stock repuesto"))))))</x:f>
        <x:v>Sin ventas desde compra</x:v>
      </x:c>
    </x:row>
    <x:row r="65">
      <x:c r="A65" s="31" t="str">
        <x:v>MOTS1145</x:v>
      </x:c>
      <x:c r="B65" s="53" t="str">
        <x:v>DIRECCIONAL PULSAR 200NS PAR</x:v>
      </x:c>
      <x:c r="C65" s="32" t="n">
        <x:v>1</x:v>
      </x:c>
      <x:c r="D65" s="38" t="n">
        <x:v>2</x:v>
      </x:c>
      <x:c r="E65" s="44" t="n">
        <x:v>19000</x:v>
      </x:c>
      <x:c r="F65" s="44" t="n">
        <x:v>38000</x:v>
      </x:c>
      <x:c r="G65" s="41" t="n">
        <x:v>0</x:v>
      </x:c>
      <x:c r="H65" s="44" t="n">
        <x:f>MAX(G65,0)*E65</x:f>
        <x:v>0</x:v>
      </x:c>
      <x:c r="I65" s="38" t="n">
        <x:v>2</x:v>
      </x:c>
      <x:c r="J65" s="44" t="n">
        <x:v>58000</x:v>
      </x:c>
      <x:c r="K65" s="32" t="n">
        <x:v>2</x:v>
      </x:c>
      <x:c r="L65" s="50" t="n">
        <x:v>45552.71988425926</x:v>
      </x:c>
      <x:c r="M65" s="50" t="n">
        <x:v>45684.85011574074</x:v>
      </x:c>
      <x:c r="N65" s="32" t="n">
        <x:f>IF(M65="","",MAX(0,'Resumen'!$B$3-M65))</x:f>
        <x:v>582.1498842592628</x:v>
      </x:c>
      <x:c r="O65" s="38" t="n">
        <x:v>0</x:v>
      </x:c>
      <x:c r="P65" s="38" t="n">
        <x:v>0</x:v>
      </x:c>
      <x:c r="Q65" s="38" t="n">
        <x:v>0</x:v>
      </x:c>
      <x:c r="R65" s="38" t="n">
        <x:f>MIN(D65,I65)</x:f>
        <x:v>2</x:v>
      </x:c>
      <x:c r="S65" s="47" t="n">
        <x:f>IFERROR(R65/D65,0)</x:f>
        <x:v>1</x:v>
      </x:c>
      <x:c r="T65" s="38" t="n">
        <x:f>MIN(MAX(G65,0),MAX(D65-I65,0))</x:f>
        <x:v>0</x:v>
      </x:c>
      <x:c r="U65" s="44" t="n">
        <x:f>T65*E65</x:f>
        <x:v>0</x:v>
      </x:c>
      <x:c r="V65" s="38" t="n">
        <x:v>0</x:v>
      </x:c>
      <x:c r="W65" s="32" t="n">
        <x:v>0</x:v>
      </x:c>
      <x:c r="X65" s="50"/>
      <x:c r="Y65" s="44" t="n">
        <x:v>32000</x:v>
      </x:c>
      <x:c r="Z65" s="44" t="n">
        <x:f>IF(I65&gt;0,R65*(J65/I65),0)</x:f>
        <x:v>58000</x:v>
      </x:c>
      <x:c r="AA65" s="44" t="n">
        <x:f>Z65-(R65*E65)</x:f>
        <x:v>20000</x:v>
      </x:c>
      <x:c r="AB65" s="47" t="n">
        <x:f>IFERROR(AA65/Z65,0)</x:f>
        <x:v>0.3448275862068966</x:v>
      </x:c>
      <x:c r="AC65" s="32" t="str">
        <x:f>IF(S65=0,"0%",IF(S65&lt;0.5,"1-49%",IF(S65&lt;0.8,"50-79%",IF(S65&lt;1,"80-99%","100%"))))</x:f>
        <x:v>100%</x:v>
      </x:c>
      <x:c r="AD65" s="33" t="str">
        <x:f>IF(G65&lt;0,"Stock negativo",IF(G65&lt;=0,"Sin stock actual",IF(I65&lt;=0,"Sin ventas desde compra",IF(Q65&lt;=0,"Con stock, sin ventas 365d",IF(S65&lt;0.5,"Rotación baja",IF(S65&lt;1,"Rotación media","Compra absorbida; stock repuesto"))))))</x:f>
        <x:v>Sin stock actual</x:v>
      </x:c>
    </x:row>
    <x:row r="66">
      <x:c r="A66" s="31" t="str">
        <x:v>X - 656</x:v>
      </x:c>
      <x:c r="B66" s="53" t="str">
        <x:v>DIRECCIONAL BWS FI TRA HUMO PAR X MOTOS PRECIO UNID</x:v>
      </x:c>
      <x:c r="C66" s="32" t="n">
        <x:v>1</x:v>
      </x:c>
      <x:c r="D66" s="38" t="n">
        <x:v>2</x:v>
      </x:c>
      <x:c r="E66" s="44" t="n">
        <x:v>19000</x:v>
      </x:c>
      <x:c r="F66" s="44" t="n">
        <x:v>38000</x:v>
      </x:c>
      <x:c r="G66" s="41" t="n">
        <x:v>0</x:v>
      </x:c>
      <x:c r="H66" s="44" t="n">
        <x:f>MAX(G66,0)*E66</x:f>
        <x:v>0</x:v>
      </x:c>
      <x:c r="I66" s="38" t="n">
        <x:v>2</x:v>
      </x:c>
      <x:c r="J66" s="44" t="n">
        <x:v>50000</x:v>
      </x:c>
      <x:c r="K66" s="32" t="n">
        <x:v>2</x:v>
      </x:c>
      <x:c r="L66" s="50" t="n">
        <x:v>45734.70590277778</x:v>
      </x:c>
      <x:c r="M66" s="50" t="n">
        <x:v>45743.72621527778</x:v>
      </x:c>
      <x:c r="N66" s="32" t="n">
        <x:f>IF(M66="","",MAX(0,'Resumen'!$B$3-M66))</x:f>
        <x:v>523.2737847222234</x:v>
      </x:c>
      <x:c r="O66" s="38" t="n">
        <x:v>0</x:v>
      </x:c>
      <x:c r="P66" s="38" t="n">
        <x:v>0</x:v>
      </x:c>
      <x:c r="Q66" s="38" t="n">
        <x:v>0</x:v>
      </x:c>
      <x:c r="R66" s="38" t="n">
        <x:f>MIN(D66,I66)</x:f>
        <x:v>2</x:v>
      </x:c>
      <x:c r="S66" s="47" t="n">
        <x:f>IFERROR(R66/D66,0)</x:f>
        <x:v>1</x:v>
      </x:c>
      <x:c r="T66" s="38" t="n">
        <x:f>MIN(MAX(G66,0),MAX(D66-I66,0))</x:f>
        <x:v>0</x:v>
      </x:c>
      <x:c r="U66" s="44" t="n">
        <x:f>T66*E66</x:f>
        <x:v>0</x:v>
      </x:c>
      <x:c r="V66" s="38" t="n">
        <x:v>0</x:v>
      </x:c>
      <x:c r="W66" s="32" t="n">
        <x:v>0</x:v>
      </x:c>
      <x:c r="X66" s="50"/>
      <x:c r="Y66" s="44" t="n">
        <x:v>25000</x:v>
      </x:c>
      <x:c r="Z66" s="44" t="n">
        <x:f>IF(I66&gt;0,R66*(J66/I66),0)</x:f>
        <x:v>50000</x:v>
      </x:c>
      <x:c r="AA66" s="44" t="n">
        <x:f>Z66-(R66*E66)</x:f>
        <x:v>12000</x:v>
      </x:c>
      <x:c r="AB66" s="47" t="n">
        <x:f>IFERROR(AA66/Z66,0)</x:f>
        <x:v>0.24</x:v>
      </x:c>
      <x:c r="AC66" s="32" t="str">
        <x:f>IF(S66=0,"0%",IF(S66&lt;0.5,"1-49%",IF(S66&lt;0.8,"50-79%",IF(S66&lt;1,"80-99%","100%"))))</x:f>
        <x:v>100%</x:v>
      </x:c>
      <x:c r="AD66" s="33" t="str">
        <x:f>IF(G66&lt;0,"Stock negativo",IF(G66&lt;=0,"Sin stock actual",IF(I66&lt;=0,"Sin ventas desde compra",IF(Q66&lt;=0,"Con stock, sin ventas 365d",IF(S66&lt;0.5,"Rotación baja",IF(S66&lt;1,"Rotación media","Compra absorbida; stock repuesto"))))))</x:f>
        <x:v>Sin stock actual</x:v>
      </x:c>
    </x:row>
    <x:row r="67">
      <x:c r="A67" s="31" t="str">
        <x:v>GUA - 051304</x:v>
      </x:c>
      <x:c r="B67" s="53" t="str">
        <x:v>GUAYA ACELERADOR FZ 2.0 INYECCION No. 1 SYK</x:v>
      </x:c>
      <x:c r="C67" s="32" t="n">
        <x:v>1</x:v>
      </x:c>
      <x:c r="D67" s="38" t="n">
        <x:v>7</x:v>
      </x:c>
      <x:c r="E67" s="44" t="n">
        <x:v>5300</x:v>
      </x:c>
      <x:c r="F67" s="44" t="n">
        <x:v>37100</x:v>
      </x:c>
      <x:c r="G67" s="41" t="n">
        <x:v>6</x:v>
      </x:c>
      <x:c r="H67" s="44" t="n">
        <x:f>MAX(G67,0)*E67</x:f>
        <x:v>31800</x:v>
      </x:c>
      <x:c r="I67" s="38" t="n">
        <x:v>1</x:v>
      </x:c>
      <x:c r="J67" s="44" t="n">
        <x:v>9000</x:v>
      </x:c>
      <x:c r="K67" s="32" t="n">
        <x:v>1</x:v>
      </x:c>
      <x:c r="L67" s="50" t="n">
        <x:v>46217.82885416667</x:v>
      </x:c>
      <x:c r="M67" s="50" t="n">
        <x:v>46217.82885416667</x:v>
      </x:c>
      <x:c r="N67" s="32" t="n">
        <x:f>IF(M67="","",MAX(0,'Resumen'!$B$3-M67))</x:f>
        <x:v>49.17114583333023</x:v>
      </x:c>
      <x:c r="O67" s="38" t="n">
        <x:v>0</x:v>
      </x:c>
      <x:c r="P67" s="38" t="n">
        <x:v>1</x:v>
      </x:c>
      <x:c r="Q67" s="38" t="n">
        <x:v>1</x:v>
      </x:c>
      <x:c r="R67" s="38" t="n">
        <x:f>MIN(D67,I67)</x:f>
        <x:v>1</x:v>
      </x:c>
      <x:c r="S67" s="47" t="n">
        <x:f>IFERROR(R67/D67,0)</x:f>
        <x:v>0.14285714285714285</x:v>
      </x:c>
      <x:c r="T67" s="38" t="n">
        <x:f>MIN(MAX(G67,0),MAX(D67-I67,0))</x:f>
        <x:v>6</x:v>
      </x:c>
      <x:c r="U67" s="44" t="n">
        <x:f>T67*E67</x:f>
        <x:v>31800</x:v>
      </x:c>
      <x:c r="V67" s="38" t="n">
        <x:v>0</x:v>
      </x:c>
      <x:c r="W67" s="32" t="n">
        <x:v>0</x:v>
      </x:c>
      <x:c r="X67" s="50"/>
      <x:c r="Y67" s="44" t="n">
        <x:v>9000</x:v>
      </x:c>
      <x:c r="Z67" s="44" t="n">
        <x:f>IF(I67&gt;0,R67*(J67/I67),0)</x:f>
        <x:v>9000</x:v>
      </x:c>
      <x:c r="AA67" s="44" t="n">
        <x:f>Z67-(R67*E67)</x:f>
        <x:v>3700</x:v>
      </x:c>
      <x:c r="AB67" s="47" t="n">
        <x:f>IFERROR(AA67/Z67,0)</x:f>
        <x:v>0.4111111111111111</x:v>
      </x:c>
      <x:c r="AC67" s="32" t="str">
        <x:f>IF(S67=0,"0%",IF(S67&lt;0.5,"1-49%",IF(S67&lt;0.8,"50-79%",IF(S67&lt;1,"80-99%","100%"))))</x:f>
        <x:v>1-49%</x:v>
      </x:c>
      <x:c r="AD67" s="33" t="str">
        <x:f>IF(G67&lt;0,"Stock negativo",IF(G67&lt;=0,"Sin stock actual",IF(I67&lt;=0,"Sin ventas desde compra",IF(Q67&lt;=0,"Con stock, sin ventas 365d",IF(S67&lt;0.5,"Rotación baja",IF(S67&lt;1,"Rotación media","Compra absorbida; stock repuesto"))))))</x:f>
        <x:v>Rotación baja</x:v>
      </x:c>
    </x:row>
    <x:row r="68">
      <x:c r="A68" s="31" t="str">
        <x:v>DAD - 001</x:v>
      </x:c>
      <x:c r="B68" s="53" t="str">
        <x:v>DADOS BWS YAMAHA</x:v>
      </x:c>
      <x:c r="C68" s="32" t="n">
        <x:v>1</x:v>
      </x:c>
      <x:c r="D68" s="38" t="n">
        <x:v>2</x:v>
      </x:c>
      <x:c r="E68" s="44" t="n">
        <x:v>18500</x:v>
      </x:c>
      <x:c r="F68" s="44" t="n">
        <x:v>37000</x:v>
      </x:c>
      <x:c r="G68" s="41" t="n">
        <x:v>1</x:v>
      </x:c>
      <x:c r="H68" s="44" t="n">
        <x:f>MAX(G68,0)*E68</x:f>
        <x:v>18500</x:v>
      </x:c>
      <x:c r="I68" s="38" t="n">
        <x:v>2</x:v>
      </x:c>
      <x:c r="J68" s="44" t="n">
        <x:v>56000</x:v>
      </x:c>
      <x:c r="K68" s="32" t="n">
        <x:v>2</x:v>
      </x:c>
      <x:c r="L68" s="50" t="n">
        <x:v>45540.76905092593</x:v>
      </x:c>
      <x:c r="M68" s="50" t="n">
        <x:v>45773.727013888885</x:v>
      </x:c>
      <x:c r="N68" s="32" t="n">
        <x:f>IF(M68="","",MAX(0,'Resumen'!$B$3-M68))</x:f>
        <x:v>493.27298611111473</x:v>
      </x:c>
      <x:c r="O68" s="38" t="n">
        <x:v>0</x:v>
      </x:c>
      <x:c r="P68" s="38" t="n">
        <x:v>0</x:v>
      </x:c>
      <x:c r="Q68" s="38" t="n">
        <x:v>0</x:v>
      </x:c>
      <x:c r="R68" s="38" t="n">
        <x:f>MIN(D68,I68)</x:f>
        <x:v>2</x:v>
      </x:c>
      <x:c r="S68" s="47" t="n">
        <x:f>IFERROR(R68/D68,0)</x:f>
        <x:v>1</x:v>
      </x:c>
      <x:c r="T68" s="38" t="n">
        <x:f>MIN(MAX(G68,0),MAX(D68-I68,0))</x:f>
        <x:v>0</x:v>
      </x:c>
      <x:c r="U68" s="44" t="n">
        <x:f>T68*E68</x:f>
        <x:v>0</x:v>
      </x:c>
      <x:c r="V68" s="38" t="n">
        <x:v>1</x:v>
      </x:c>
      <x:c r="W68" s="32" t="n">
        <x:v>1</x:v>
      </x:c>
      <x:c r="X68" s="50" t="n">
        <x:v>45671</x:v>
      </x:c>
      <x:c r="Y68" s="44" t="n">
        <x:v>31000</x:v>
      </x:c>
      <x:c r="Z68" s="44" t="n">
        <x:f>IF(I68&gt;0,R68*(J68/I68),0)</x:f>
        <x:v>56000</x:v>
      </x:c>
      <x:c r="AA68" s="44" t="n">
        <x:f>Z68-(R68*E68)</x:f>
        <x:v>19000</x:v>
      </x:c>
      <x:c r="AB68" s="47" t="n">
        <x:f>IFERROR(AA68/Z68,0)</x:f>
        <x:v>0.3392857142857143</x:v>
      </x:c>
      <x:c r="AC68" s="32" t="str">
        <x:f>IF(S68=0,"0%",IF(S68&lt;0.5,"1-49%",IF(S68&lt;0.8,"50-79%",IF(S68&lt;1,"80-99%","100%"))))</x:f>
        <x:v>100%</x:v>
      </x:c>
      <x:c r="AD68" s="33" t="str">
        <x:f>IF(G68&lt;0,"Stock negativo",IF(G68&lt;=0,"Sin stock actual",IF(I68&lt;=0,"Sin ventas desde compra",IF(Q68&lt;=0,"Con stock, sin ventas 365d",IF(S68&lt;0.5,"Rotación baja",IF(S68&lt;1,"Rotación media","Compra absorbida; stock repuesto"))))))</x:f>
        <x:v>Con stock, sin ventas 365d</x:v>
      </x:c>
    </x:row>
    <x:row r="69">
      <x:c r="A69" s="31" t="str">
        <x:v>MOTS1249</x:v>
      </x:c>
      <x:c r="B69" s="53" t="str">
        <x:v>PASTILLAS FRENO PULSAR 135 DEI NIKKO</x:v>
      </x:c>
      <x:c r="C69" s="32" t="n">
        <x:v>1</x:v>
      </x:c>
      <x:c r="D69" s="38" t="n">
        <x:v>5</x:v>
      </x:c>
      <x:c r="E69" s="44" t="n">
        <x:v>7300</x:v>
      </x:c>
      <x:c r="F69" s="44" t="n">
        <x:v>36500</x:v>
      </x:c>
      <x:c r="G69" s="41" t="n">
        <x:v>0</x:v>
      </x:c>
      <x:c r="H69" s="44" t="n">
        <x:f>MAX(G69,0)*E69</x:f>
        <x:v>0</x:v>
      </x:c>
      <x:c r="I69" s="38" t="n">
        <x:v>5</x:v>
      </x:c>
      <x:c r="J69" s="44" t="n">
        <x:v>65000</x:v>
      </x:c>
      <x:c r="K69" s="32" t="n">
        <x:v>5</x:v>
      </x:c>
      <x:c r="L69" s="50" t="n">
        <x:v>45528.98715277778</x:v>
      </x:c>
      <x:c r="M69" s="50" t="n">
        <x:v>45569.98197916667</x:v>
      </x:c>
      <x:c r="N69" s="32" t="n">
        <x:f>IF(M69="","",MAX(0,'Resumen'!$B$3-M69))</x:f>
        <x:v>697.0180208333331</x:v>
      </x:c>
      <x:c r="O69" s="38" t="n">
        <x:v>0</x:v>
      </x:c>
      <x:c r="P69" s="38" t="n">
        <x:v>0</x:v>
      </x:c>
      <x:c r="Q69" s="38" t="n">
        <x:v>0</x:v>
      </x:c>
      <x:c r="R69" s="38" t="n">
        <x:f>MIN(D69,I69)</x:f>
        <x:v>5</x:v>
      </x:c>
      <x:c r="S69" s="47" t="n">
        <x:f>IFERROR(R69/D69,0)</x:f>
        <x:v>1</x:v>
      </x:c>
      <x:c r="T69" s="38" t="n">
        <x:f>MIN(MAX(G69,0),MAX(D69-I69,0))</x:f>
        <x:v>0</x:v>
      </x:c>
      <x:c r="U69" s="44" t="n">
        <x:f>T69*E69</x:f>
        <x:v>0</x:v>
      </x:c>
      <x:c r="V69" s="38" t="n">
        <x:v>0</x:v>
      </x:c>
      <x:c r="W69" s="32" t="n">
        <x:v>0</x:v>
      </x:c>
      <x:c r="X69" s="50"/>
      <x:c r="Y69" s="44" t="n">
        <x:v>12500</x:v>
      </x:c>
      <x:c r="Z69" s="44" t="n">
        <x:f>IF(I69&gt;0,R69*(J69/I69),0)</x:f>
        <x:v>65000</x:v>
      </x:c>
      <x:c r="AA69" s="44" t="n">
        <x:f>Z69-(R69*E69)</x:f>
        <x:v>28500</x:v>
      </x:c>
      <x:c r="AB69" s="47" t="n">
        <x:f>IFERROR(AA69/Z69,0)</x:f>
        <x:v>0.43846153846153846</x:v>
      </x:c>
      <x:c r="AC69" s="32" t="str">
        <x:f>IF(S69=0,"0%",IF(S69&lt;0.5,"1-49%",IF(S69&lt;0.8,"50-79%",IF(S69&lt;1,"80-99%","100%"))))</x:f>
        <x:v>100%</x:v>
      </x:c>
      <x:c r="AD69" s="33" t="str">
        <x:f>IF(G69&lt;0,"Stock negativo",IF(G69&lt;=0,"Sin stock actual",IF(I69&lt;=0,"Sin ventas desde compra",IF(Q69&lt;=0,"Con stock, sin ventas 365d",IF(S69&lt;0.5,"Rotación baja",IF(S69&lt;1,"Rotación media","Compra absorbida; stock repuesto"))))))</x:f>
        <x:v>Sin stock actual</x:v>
      </x:c>
    </x:row>
    <x:row r="70">
      <x:c r="A70" s="31" t="str">
        <x:v>MOTS1048</x:v>
      </x:c>
      <x:c r="B70" s="53" t="str">
        <x:v>RETEN 32-44-8</x:v>
      </x:c>
      <x:c r="C70" s="32" t="n">
        <x:v>1</x:v>
      </x:c>
      <x:c r="D70" s="38" t="n">
        <x:v>12</x:v>
      </x:c>
      <x:c r="E70" s="44" t="n">
        <x:v>3000</x:v>
      </x:c>
      <x:c r="F70" s="44" t="n">
        <x:v>36000</x:v>
      </x:c>
      <x:c r="G70" s="41" t="n">
        <x:v>12</x:v>
      </x:c>
      <x:c r="H70" s="44" t="n">
        <x:f>MAX(G70,0)*E70</x:f>
        <x:v>36000</x:v>
      </x:c>
      <x:c r="I70" s="38" t="n">
        <x:v>0</x:v>
      </x:c>
      <x:c r="J70" s="44" t="n">
        <x:v>0</x:v>
      </x:c>
      <x:c r="K70" s="32" t="n">
        <x:v>0</x:v>
      </x:c>
      <x:c r="L70" s="50"/>
      <x:c r="M70" s="50"/>
      <x:c r="N70" s="32" t="str">
        <x:f>IF(M70="","",MAX(0,'Resumen'!$B$3-M70))</x:f>
      </x:c>
      <x:c r="O70" s="38" t="n">
        <x:v>0</x:v>
      </x:c>
      <x:c r="P70" s="38" t="n">
        <x:v>0</x:v>
      </x:c>
      <x:c r="Q70" s="38" t="n">
        <x:v>0</x:v>
      </x:c>
      <x:c r="R70" s="38" t="n">
        <x:f>MIN(D70,I70)</x:f>
        <x:v>0</x:v>
      </x:c>
      <x:c r="S70" s="47" t="n">
        <x:f>IFERROR(R70/D70,0)</x:f>
        <x:v>0</x:v>
      </x:c>
      <x:c r="T70" s="38" t="n">
        <x:f>MIN(MAX(G70,0),MAX(D70-I70,0))</x:f>
        <x:v>12</x:v>
      </x:c>
      <x:c r="U70" s="44" t="n">
        <x:f>T70*E70</x:f>
        <x:v>36000</x:v>
      </x:c>
      <x:c r="V70" s="38" t="n">
        <x:v>0</x:v>
      </x:c>
      <x:c r="W70" s="32" t="n">
        <x:v>0</x:v>
      </x:c>
      <x:c r="X70" s="50"/>
      <x:c r="Y70" s="44" t="n">
        <x:v>5000</x:v>
      </x:c>
      <x:c r="Z70" s="44" t="n">
        <x:f>IF(I70&gt;0,R70*(J70/I70),0)</x:f>
        <x:v>0</x:v>
      </x:c>
      <x:c r="AA70" s="44" t="n">
        <x:f>Z70-(R70*E70)</x:f>
        <x:v>0</x:v>
      </x:c>
      <x:c r="AB70" s="47" t="n">
        <x:f>IFERROR(AA70/Z70,0)</x:f>
        <x:v>0</x:v>
      </x:c>
      <x:c r="AC70" s="32" t="str">
        <x:f>IF(S70=0,"0%",IF(S70&lt;0.5,"1-49%",IF(S70&lt;0.8,"50-79%",IF(S70&lt;1,"80-99%","100%"))))</x:f>
        <x:v>0%</x:v>
      </x:c>
      <x:c r="AD70" s="33" t="str">
        <x:f>IF(G70&lt;0,"Stock negativo",IF(G70&lt;=0,"Sin stock actual",IF(I70&lt;=0,"Sin ventas desde compra",IF(Q70&lt;=0,"Con stock, sin ventas 365d",IF(S70&lt;0.5,"Rotación baja",IF(S70&lt;1,"Rotación media","Compra absorbida; stock repuesto"))))))</x:f>
        <x:v>Sin ventas desde compra</x:v>
      </x:c>
    </x:row>
    <x:row r="71">
      <x:c r="A71" s="31" t="str">
        <x:v>MOTS1068</x:v>
      </x:c>
      <x:c r="B71" s="53" t="str">
        <x:v>RETEN 36-49-11</x:v>
      </x:c>
      <x:c r="C71" s="32" t="n">
        <x:v>1</x:v>
      </x:c>
      <x:c r="D71" s="38" t="n">
        <x:v>12</x:v>
      </x:c>
      <x:c r="E71" s="44" t="n">
        <x:v>3000</x:v>
      </x:c>
      <x:c r="F71" s="44" t="n">
        <x:v>36000</x:v>
      </x:c>
      <x:c r="G71" s="41" t="n">
        <x:v>12</x:v>
      </x:c>
      <x:c r="H71" s="44" t="n">
        <x:f>MAX(G71,0)*E71</x:f>
        <x:v>36000</x:v>
      </x:c>
      <x:c r="I71" s="38" t="n">
        <x:v>0</x:v>
      </x:c>
      <x:c r="J71" s="44" t="n">
        <x:v>0</x:v>
      </x:c>
      <x:c r="K71" s="32" t="n">
        <x:v>0</x:v>
      </x:c>
      <x:c r="L71" s="50"/>
      <x:c r="M71" s="50"/>
      <x:c r="N71" s="32" t="str">
        <x:f>IF(M71="","",MAX(0,'Resumen'!$B$3-M71))</x:f>
      </x:c>
      <x:c r="O71" s="38" t="n">
        <x:v>0</x:v>
      </x:c>
      <x:c r="P71" s="38" t="n">
        <x:v>0</x:v>
      </x:c>
      <x:c r="Q71" s="38" t="n">
        <x:v>0</x:v>
      </x:c>
      <x:c r="R71" s="38" t="n">
        <x:f>MIN(D71,I71)</x:f>
        <x:v>0</x:v>
      </x:c>
      <x:c r="S71" s="47" t="n">
        <x:f>IFERROR(R71/D71,0)</x:f>
        <x:v>0</x:v>
      </x:c>
      <x:c r="T71" s="38" t="n">
        <x:f>MIN(MAX(G71,0),MAX(D71-I71,0))</x:f>
        <x:v>12</x:v>
      </x:c>
      <x:c r="U71" s="44" t="n">
        <x:f>T71*E71</x:f>
        <x:v>36000</x:v>
      </x:c>
      <x:c r="V71" s="38" t="n">
        <x:v>0</x:v>
      </x:c>
      <x:c r="W71" s="32" t="n">
        <x:v>0</x:v>
      </x:c>
      <x:c r="X71" s="50"/>
      <x:c r="Y71" s="44" t="n">
        <x:v>5000</x:v>
      </x:c>
      <x:c r="Z71" s="44" t="n">
        <x:f>IF(I71&gt;0,R71*(J71/I71),0)</x:f>
        <x:v>0</x:v>
      </x:c>
      <x:c r="AA71" s="44" t="n">
        <x:f>Z71-(R71*E71)</x:f>
        <x:v>0</x:v>
      </x:c>
      <x:c r="AB71" s="47" t="n">
        <x:f>IFERROR(AA71/Z71,0)</x:f>
        <x:v>0</x:v>
      </x:c>
      <x:c r="AC71" s="32" t="str">
        <x:f>IF(S71=0,"0%",IF(S71&lt;0.5,"1-49%",IF(S71&lt;0.8,"50-79%",IF(S71&lt;1,"80-99%","100%"))))</x:f>
        <x:v>0%</x:v>
      </x:c>
      <x:c r="AD71" s="33" t="str">
        <x:f>IF(G71&lt;0,"Stock negativo",IF(G71&lt;=0,"Sin stock actual",IF(I71&lt;=0,"Sin ventas desde compra",IF(Q71&lt;=0,"Con stock, sin ventas 365d",IF(S71&lt;0.5,"Rotación baja",IF(S71&lt;1,"Rotación media","Compra absorbida; stock repuesto"))))))</x:f>
        <x:v>Sin ventas desde compra</x:v>
      </x:c>
    </x:row>
    <x:row r="72">
      <x:c r="A72" s="31" t="str">
        <x:v>MOTS1154</x:v>
      </x:c>
      <x:c r="B72" s="53" t="str">
        <x:v>CAUCHOS PALANCA CAMBIO SURTIDO</x:v>
      </x:c>
      <x:c r="C72" s="32" t="n">
        <x:v>1</x:v>
      </x:c>
      <x:c r="D72" s="38" t="n">
        <x:v>24</x:v>
      </x:c>
      <x:c r="E72" s="44" t="n">
        <x:v>1500</x:v>
      </x:c>
      <x:c r="F72" s="44" t="n">
        <x:v>36000</x:v>
      </x:c>
      <x:c r="G72" s="41" t="n">
        <x:v>22</x:v>
      </x:c>
      <x:c r="H72" s="44" t="n">
        <x:f>MAX(G72,0)*E72</x:f>
        <x:v>33000</x:v>
      </x:c>
      <x:c r="I72" s="38" t="n">
        <x:v>2</x:v>
      </x:c>
      <x:c r="J72" s="44" t="n">
        <x:v>4500</x:v>
      </x:c>
      <x:c r="K72" s="32" t="n">
        <x:v>2</x:v>
      </x:c>
      <x:c r="L72" s="50" t="n">
        <x:v>45682.693333333336</x:v>
      </x:c>
      <x:c r="M72" s="50" t="n">
        <x:v>45809.599224537036</x:v>
      </x:c>
      <x:c r="N72" s="32" t="n">
        <x:f>IF(M72="","",MAX(0,'Resumen'!$B$3-M72))</x:f>
        <x:v>457.4007754629638</x:v>
      </x:c>
      <x:c r="O72" s="38" t="n">
        <x:v>0</x:v>
      </x:c>
      <x:c r="P72" s="38" t="n">
        <x:v>0</x:v>
      </x:c>
      <x:c r="Q72" s="38" t="n">
        <x:v>0</x:v>
      </x:c>
      <x:c r="R72" s="38" t="n">
        <x:f>MIN(D72,I72)</x:f>
        <x:v>2</x:v>
      </x:c>
      <x:c r="S72" s="47" t="n">
        <x:f>IFERROR(R72/D72,0)</x:f>
        <x:v>0.08333333333333333</x:v>
      </x:c>
      <x:c r="T72" s="38" t="n">
        <x:f>MIN(MAX(G72,0),MAX(D72-I72,0))</x:f>
        <x:v>22</x:v>
      </x:c>
      <x:c r="U72" s="44" t="n">
        <x:f>T72*E72</x:f>
        <x:v>33000</x:v>
      </x:c>
      <x:c r="V72" s="38" t="n">
        <x:v>0</x:v>
      </x:c>
      <x:c r="W72" s="32" t="n">
        <x:v>0</x:v>
      </x:c>
      <x:c r="X72" s="50"/>
      <x:c r="Y72" s="44" t="n">
        <x:v>2500</x:v>
      </x:c>
      <x:c r="Z72" s="44" t="n">
        <x:f>IF(I72&gt;0,R72*(J72/I72),0)</x:f>
        <x:v>4500</x:v>
      </x:c>
      <x:c r="AA72" s="44" t="n">
        <x:f>Z72-(R72*E72)</x:f>
        <x:v>1500</x:v>
      </x:c>
      <x:c r="AB72" s="47" t="n">
        <x:f>IFERROR(AA72/Z72,0)</x:f>
        <x:v>0.3333333333333333</x:v>
      </x:c>
      <x:c r="AC72" s="32" t="str">
        <x:f>IF(S72=0,"0%",IF(S72&lt;0.5,"1-49%",IF(S72&lt;0.8,"50-79%",IF(S72&lt;1,"80-99%","100%"))))</x:f>
        <x:v>1-49%</x:v>
      </x:c>
      <x:c r="AD72" s="33" t="str">
        <x:f>IF(G72&lt;0,"Stock negativo",IF(G72&lt;=0,"Sin stock actual",IF(I72&lt;=0,"Sin ventas desde compra",IF(Q72&lt;=0,"Con stock, sin ventas 365d",IF(S72&lt;0.5,"Rotación baja",IF(S72&lt;1,"Rotación media","Compra absorbida; stock repuesto"))))))</x:f>
        <x:v>Con stock, sin ventas 365d</x:v>
      </x:c>
    </x:row>
    <x:row r="73">
      <x:c r="A73" s="31" t="str">
        <x:v>MOTS1223</x:v>
      </x:c>
      <x:c r="B73" s="53" t="str">
        <x:v>BALINERA 6004 2RS E500</x:v>
      </x:c>
      <x:c r="C73" s="32" t="n">
        <x:v>1</x:v>
      </x:c>
      <x:c r="D73" s="38" t="n">
        <x:v>9</x:v>
      </x:c>
      <x:c r="E73" s="44" t="n">
        <x:v>4000</x:v>
      </x:c>
      <x:c r="F73" s="44" t="n">
        <x:v>36000</x:v>
      </x:c>
      <x:c r="G73" s="41" t="n">
        <x:v>6</x:v>
      </x:c>
      <x:c r="H73" s="44" t="n">
        <x:f>MAX(G73,0)*E73</x:f>
        <x:v>24000</x:v>
      </x:c>
      <x:c r="I73" s="38" t="n">
        <x:v>3</x:v>
      </x:c>
      <x:c r="J73" s="44" t="n">
        <x:v>21000</x:v>
      </x:c>
      <x:c r="K73" s="32" t="n">
        <x:v>3</x:v>
      </x:c>
      <x:c r="L73" s="50" t="n">
        <x:v>45875.87532407408</x:v>
      </x:c>
      <x:c r="M73" s="50" t="n">
        <x:v>46059.929606481484</x:v>
      </x:c>
      <x:c r="N73" s="32" t="n">
        <x:f>IF(M73="","",MAX(0,'Resumen'!$B$3-M73))</x:f>
        <x:v>207.07039351851563</x:v>
      </x:c>
      <x:c r="O73" s="38" t="n">
        <x:v>0</x:v>
      </x:c>
      <x:c r="P73" s="38" t="n">
        <x:v>0</x:v>
      </x:c>
      <x:c r="Q73" s="38" t="n">
        <x:v>2</x:v>
      </x:c>
      <x:c r="R73" s="38" t="n">
        <x:f>MIN(D73,I73)</x:f>
        <x:v>3</x:v>
      </x:c>
      <x:c r="S73" s="47" t="n">
        <x:f>IFERROR(R73/D73,0)</x:f>
        <x:v>0.3333333333333333</x:v>
      </x:c>
      <x:c r="T73" s="38" t="n">
        <x:f>MIN(MAX(G73,0),MAX(D73-I73,0))</x:f>
        <x:v>6</x:v>
      </x:c>
      <x:c r="U73" s="44" t="n">
        <x:f>T73*E73</x:f>
        <x:v>24000</x:v>
      </x:c>
      <x:c r="V73" s="38" t="n">
        <x:v>0</x:v>
      </x:c>
      <x:c r="W73" s="32" t="n">
        <x:v>0</x:v>
      </x:c>
      <x:c r="X73" s="50"/>
      <x:c r="Y73" s="44" t="n">
        <x:v>7000</x:v>
      </x:c>
      <x:c r="Z73" s="44" t="n">
        <x:f>IF(I73&gt;0,R73*(J73/I73),0)</x:f>
        <x:v>21000</x:v>
      </x:c>
      <x:c r="AA73" s="44" t="n">
        <x:f>Z73-(R73*E73)</x:f>
        <x:v>9000</x:v>
      </x:c>
      <x:c r="AB73" s="47" t="n">
        <x:f>IFERROR(AA73/Z73,0)</x:f>
        <x:v>0.42857142857142855</x:v>
      </x:c>
      <x:c r="AC73" s="32" t="str">
        <x:f>IF(S73=0,"0%",IF(S73&lt;0.5,"1-49%",IF(S73&lt;0.8,"50-79%",IF(S73&lt;1,"80-99%","100%"))))</x:f>
        <x:v>1-49%</x:v>
      </x:c>
      <x:c r="AD73" s="33" t="str">
        <x:f>IF(G73&lt;0,"Stock negativo",IF(G73&lt;=0,"Sin stock actual",IF(I73&lt;=0,"Sin ventas desde compra",IF(Q73&lt;=0,"Con stock, sin ventas 365d",IF(S73&lt;0.5,"Rotación baja",IF(S73&lt;1,"Rotación media","Compra absorbida; stock repuesto"))))))</x:f>
        <x:v>Rotación baja</x:v>
      </x:c>
    </x:row>
    <x:row r="74">
      <x:c r="A74" s="31" t="str">
        <x:v>MOTS1285</x:v>
      </x:c>
      <x:c r="B74" s="53" t="str">
        <x:v>DISCOS CLUCTH FZ -16 YAMAHA</x:v>
      </x:c>
      <x:c r="C74" s="32" t="n">
        <x:v>1</x:v>
      </x:c>
      <x:c r="D74" s="38" t="n">
        <x:v>3</x:v>
      </x:c>
      <x:c r="E74" s="44" t="n">
        <x:v>12000</x:v>
      </x:c>
      <x:c r="F74" s="44" t="n">
        <x:v>36000</x:v>
      </x:c>
      <x:c r="G74" s="41" t="n">
        <x:v>1</x:v>
      </x:c>
      <x:c r="H74" s="44" t="n">
        <x:f>MAX(G74,0)*E74</x:f>
        <x:v>12000</x:v>
      </x:c>
      <x:c r="I74" s="38" t="n">
        <x:v>2</x:v>
      </x:c>
      <x:c r="J74" s="44" t="n">
        <x:v>37000</x:v>
      </x:c>
      <x:c r="K74" s="32" t="n">
        <x:v>2</x:v>
      </x:c>
      <x:c r="L74" s="50" t="n">
        <x:v>45551.86378472222</x:v>
      </x:c>
      <x:c r="M74" s="50" t="n">
        <x:v>45569.98197916667</x:v>
      </x:c>
      <x:c r="N74" s="32" t="n">
        <x:f>IF(M74="","",MAX(0,'Resumen'!$B$3-M74))</x:f>
        <x:v>697.0180208333331</x:v>
      </x:c>
      <x:c r="O74" s="38" t="n">
        <x:v>0</x:v>
      </x:c>
      <x:c r="P74" s="38" t="n">
        <x:v>0</x:v>
      </x:c>
      <x:c r="Q74" s="38" t="n">
        <x:v>0</x:v>
      </x:c>
      <x:c r="R74" s="38" t="n">
        <x:f>MIN(D74,I74)</x:f>
        <x:v>2</x:v>
      </x:c>
      <x:c r="S74" s="47" t="n">
        <x:f>IFERROR(R74/D74,0)</x:f>
        <x:v>0.6666666666666666</x:v>
      </x:c>
      <x:c r="T74" s="38" t="n">
        <x:f>MIN(MAX(G74,0),MAX(D74-I74,0))</x:f>
        <x:v>1</x:v>
      </x:c>
      <x:c r="U74" s="44" t="n">
        <x:f>T74*E74</x:f>
        <x:v>12000</x:v>
      </x:c>
      <x:c r="V74" s="38" t="n">
        <x:v>0</x:v>
      </x:c>
      <x:c r="W74" s="32" t="n">
        <x:v>0</x:v>
      </x:c>
      <x:c r="X74" s="50"/>
      <x:c r="Y74" s="44" t="n">
        <x:v>20000</x:v>
      </x:c>
      <x:c r="Z74" s="44" t="n">
        <x:f>IF(I74&gt;0,R74*(J74/I74),0)</x:f>
        <x:v>37000</x:v>
      </x:c>
      <x:c r="AA74" s="44" t="n">
        <x:f>Z74-(R74*E74)</x:f>
        <x:v>13000</x:v>
      </x:c>
      <x:c r="AB74" s="47" t="n">
        <x:f>IFERROR(AA74/Z74,0)</x:f>
        <x:v>0.35135135135135137</x:v>
      </x:c>
      <x:c r="AC74" s="32" t="str">
        <x:f>IF(S74=0,"0%",IF(S74&lt;0.5,"1-49%",IF(S74&lt;0.8,"50-79%",IF(S74&lt;1,"80-99%","100%"))))</x:f>
        <x:v>50-79%</x:v>
      </x:c>
      <x:c r="AD74" s="33" t="str">
        <x:f>IF(G74&lt;0,"Stock negativo",IF(G74&lt;=0,"Sin stock actual",IF(I74&lt;=0,"Sin ventas desde compra",IF(Q74&lt;=0,"Con stock, sin ventas 365d",IF(S74&lt;0.5,"Rotación baja",IF(S74&lt;1,"Rotación media","Compra absorbida; stock repuesto"))))))</x:f>
        <x:v>Con stock, sin ventas 365d</x:v>
      </x:c>
    </x:row>
    <x:row r="75">
      <x:c r="A75" s="31" t="str">
        <x:v>MOTS1287</x:v>
      </x:c>
      <x:c r="B75" s="53" t="str">
        <x:v>REPOSA PIE TRAS AX 100 / RX 115 PAR X MOTOS</x:v>
      </x:c>
      <x:c r="C75" s="32" t="n">
        <x:v>1</x:v>
      </x:c>
      <x:c r="D75" s="38" t="n">
        <x:v>3</x:v>
      </x:c>
      <x:c r="E75" s="44" t="n">
        <x:v>12000</x:v>
      </x:c>
      <x:c r="F75" s="44" t="n">
        <x:v>36000</x:v>
      </x:c>
      <x:c r="G75" s="41" t="n">
        <x:v>0</x:v>
      </x:c>
      <x:c r="H75" s="44" t="n">
        <x:f>MAX(G75,0)*E75</x:f>
        <x:v>0</x:v>
      </x:c>
      <x:c r="I75" s="38" t="n">
        <x:v>3</x:v>
      </x:c>
      <x:c r="J75" s="44" t="n">
        <x:v>50000</x:v>
      </x:c>
      <x:c r="K75" s="32" t="n">
        <x:v>3</x:v>
      </x:c>
      <x:c r="L75" s="50" t="n">
        <x:v>45508.76162037037</x:v>
      </x:c>
      <x:c r="M75" s="50" t="n">
        <x:v>45593.63251157408</x:v>
      </x:c>
      <x:c r="N75" s="32" t="n">
        <x:f>IF(M75="","",MAX(0,'Resumen'!$B$3-M75))</x:f>
        <x:v>673.3674884259235</x:v>
      </x:c>
      <x:c r="O75" s="38" t="n">
        <x:v>0</x:v>
      </x:c>
      <x:c r="P75" s="38" t="n">
        <x:v>0</x:v>
      </x:c>
      <x:c r="Q75" s="38" t="n">
        <x:v>0</x:v>
      </x:c>
      <x:c r="R75" s="38" t="n">
        <x:f>MIN(D75,I75)</x:f>
        <x:v>3</x:v>
      </x:c>
      <x:c r="S75" s="47" t="n">
        <x:f>IFERROR(R75/D75,0)</x:f>
        <x:v>1</x:v>
      </x:c>
      <x:c r="T75" s="38" t="n">
        <x:f>MIN(MAX(G75,0),MAX(D75-I75,0))</x:f>
        <x:v>0</x:v>
      </x:c>
      <x:c r="U75" s="44" t="n">
        <x:f>T75*E75</x:f>
        <x:v>0</x:v>
      </x:c>
      <x:c r="V75" s="38" t="n">
        <x:v>0</x:v>
      </x:c>
      <x:c r="W75" s="32" t="n">
        <x:v>0</x:v>
      </x:c>
      <x:c r="X75" s="50"/>
      <x:c r="Y75" s="44" t="n">
        <x:v>20000</x:v>
      </x:c>
      <x:c r="Z75" s="44" t="n">
        <x:f>IF(I75&gt;0,R75*(J75/I75),0)</x:f>
        <x:v>50000</x:v>
      </x:c>
      <x:c r="AA75" s="44" t="n">
        <x:f>Z75-(R75*E75)</x:f>
        <x:v>14000</x:v>
      </x:c>
      <x:c r="AB75" s="47" t="n">
        <x:f>IFERROR(AA75/Z75,0)</x:f>
        <x:v>0.28</x:v>
      </x:c>
      <x:c r="AC75" s="32" t="str">
        <x:f>IF(S75=0,"0%",IF(S75&lt;0.5,"1-49%",IF(S75&lt;0.8,"50-79%",IF(S75&lt;1,"80-99%","100%"))))</x:f>
        <x:v>100%</x:v>
      </x:c>
      <x:c r="AD75" s="33" t="str">
        <x:f>IF(G75&lt;0,"Stock negativo",IF(G75&lt;=0,"Sin stock actual",IF(I75&lt;=0,"Sin ventas desde compra",IF(Q75&lt;=0,"Con stock, sin ventas 365d",IF(S75&lt;0.5,"Rotación baja",IF(S75&lt;1,"Rotación media","Compra absorbida; stock repuesto"))))))</x:f>
        <x:v>Sin stock actual</x:v>
      </x:c>
    </x:row>
    <x:row r="76">
      <x:c r="A76" s="31" t="str">
        <x:v>AL-002</x:v>
      </x:c>
      <x:c r="B76" s="53" t="str">
        <x:v>FILTRO ACEITE PULSAR  135-FZ 16 BARAI</x:v>
      </x:c>
      <x:c r="C76" s="32" t="n">
        <x:v>1</x:v>
      </x:c>
      <x:c r="D76" s="38" t="n">
        <x:v>9</x:v>
      </x:c>
      <x:c r="E76" s="44" t="n">
        <x:v>3900</x:v>
      </x:c>
      <x:c r="F76" s="44" t="n">
        <x:v>35100</x:v>
      </x:c>
      <x:c r="G76" s="41" t="n">
        <x:v>0</x:v>
      </x:c>
      <x:c r="H76" s="44" t="n">
        <x:f>MAX(G76,0)*E76</x:f>
        <x:v>0</x:v>
      </x:c>
      <x:c r="I76" s="38" t="n">
        <x:v>9</x:v>
      </x:c>
      <x:c r="J76" s="44" t="n">
        <x:v>57000</x:v>
      </x:c>
      <x:c r="K76" s="32" t="n">
        <x:v>9</x:v>
      </x:c>
      <x:c r="L76" s="50" t="n">
        <x:v>45521.638715277775</x:v>
      </x:c>
      <x:c r="M76" s="50" t="n">
        <x:v>45646.565254629626</x:v>
      </x:c>
      <x:c r="N76" s="32" t="n">
        <x:f>IF(M76="","",MAX(0,'Resumen'!$B$3-M76))</x:f>
        <x:v>620.434745370374</x:v>
      </x:c>
      <x:c r="O76" s="38" t="n">
        <x:v>0</x:v>
      </x:c>
      <x:c r="P76" s="38" t="n">
        <x:v>0</x:v>
      </x:c>
      <x:c r="Q76" s="38" t="n">
        <x:v>0</x:v>
      </x:c>
      <x:c r="R76" s="38" t="n">
        <x:f>MIN(D76,I76)</x:f>
        <x:v>9</x:v>
      </x:c>
      <x:c r="S76" s="47" t="n">
        <x:f>IFERROR(R76/D76,0)</x:f>
        <x:v>1</x:v>
      </x:c>
      <x:c r="T76" s="38" t="n">
        <x:f>MIN(MAX(G76,0),MAX(D76-I76,0))</x:f>
        <x:v>0</x:v>
      </x:c>
      <x:c r="U76" s="44" t="n">
        <x:f>T76*E76</x:f>
        <x:v>0</x:v>
      </x:c>
      <x:c r="V76" s="38" t="n">
        <x:v>0</x:v>
      </x:c>
      <x:c r="W76" s="32" t="n">
        <x:v>0</x:v>
      </x:c>
      <x:c r="X76" s="50"/>
      <x:c r="Y76" s="44" t="n">
        <x:v>6500</x:v>
      </x:c>
      <x:c r="Z76" s="44" t="n">
        <x:f>IF(I76&gt;0,R76*(J76/I76),0)</x:f>
        <x:v>57000</x:v>
      </x:c>
      <x:c r="AA76" s="44" t="n">
        <x:f>Z76-(R76*E76)</x:f>
        <x:v>21900</x:v>
      </x:c>
      <x:c r="AB76" s="47" t="n">
        <x:f>IFERROR(AA76/Z76,0)</x:f>
        <x:v>0.38421052631578945</x:v>
      </x:c>
      <x:c r="AC76" s="32" t="str">
        <x:f>IF(S76=0,"0%",IF(S76&lt;0.5,"1-49%",IF(S76&lt;0.8,"50-79%",IF(S76&lt;1,"80-99%","100%"))))</x:f>
        <x:v>100%</x:v>
      </x:c>
      <x:c r="AD76" s="33" t="str">
        <x:f>IF(G76&lt;0,"Stock negativo",IF(G76&lt;=0,"Sin stock actual",IF(I76&lt;=0,"Sin ventas desde compra",IF(Q76&lt;=0,"Con stock, sin ventas 365d",IF(S76&lt;0.5,"Rotación baja",IF(S76&lt;1,"Rotación media","Compra absorbida; stock repuesto"))))))</x:f>
        <x:v>Sin stock actual</x:v>
      </x:c>
    </x:row>
    <x:row r="77">
      <x:c r="A77" s="31" t="str">
        <x:v>19463</x:v>
      </x:c>
      <x:c r="B77" s="53" t="str">
        <x:v>ESPEJOS DISCOVER 150 PAR</x:v>
      </x:c>
      <x:c r="C77" s="32" t="n">
        <x:v>1</x:v>
      </x:c>
      <x:c r="D77" s="38" t="n">
        <x:v>2</x:v>
      </x:c>
      <x:c r="E77" s="44" t="n">
        <x:v>17500</x:v>
      </x:c>
      <x:c r="F77" s="44" t="n">
        <x:v>35000</x:v>
      </x:c>
      <x:c r="G77" s="41" t="n">
        <x:v>0</x:v>
      </x:c>
      <x:c r="H77" s="44" t="n">
        <x:f>MAX(G77,0)*E77</x:f>
        <x:v>0</x:v>
      </x:c>
      <x:c r="I77" s="38" t="n">
        <x:v>2</x:v>
      </x:c>
      <x:c r="J77" s="44" t="n">
        <x:v>49000</x:v>
      </x:c>
      <x:c r="K77" s="32" t="n">
        <x:v>2</x:v>
      </x:c>
      <x:c r="L77" s="50" t="n">
        <x:v>45761.86950231482</x:v>
      </x:c>
      <x:c r="M77" s="50" t="n">
        <x:v>45802.61200231482</x:v>
      </x:c>
      <x:c r="N77" s="32" t="n">
        <x:f>IF(M77="","",MAX(0,'Resumen'!$B$3-M77))</x:f>
        <x:v>464.3879976851822</x:v>
      </x:c>
      <x:c r="O77" s="38" t="n">
        <x:v>0</x:v>
      </x:c>
      <x:c r="P77" s="38" t="n">
        <x:v>0</x:v>
      </x:c>
      <x:c r="Q77" s="38" t="n">
        <x:v>0</x:v>
      </x:c>
      <x:c r="R77" s="38" t="n">
        <x:f>MIN(D77,I77)</x:f>
        <x:v>2</x:v>
      </x:c>
      <x:c r="S77" s="47" t="n">
        <x:f>IFERROR(R77/D77,0)</x:f>
        <x:v>1</x:v>
      </x:c>
      <x:c r="T77" s="38" t="n">
        <x:f>MIN(MAX(G77,0),MAX(D77-I77,0))</x:f>
        <x:v>0</x:v>
      </x:c>
      <x:c r="U77" s="44" t="n">
        <x:f>T77*E77</x:f>
        <x:v>0</x:v>
      </x:c>
      <x:c r="V77" s="38" t="n">
        <x:v>0</x:v>
      </x:c>
      <x:c r="W77" s="32" t="n">
        <x:v>0</x:v>
      </x:c>
      <x:c r="X77" s="50"/>
      <x:c r="Y77" s="44" t="n">
        <x:v>30000</x:v>
      </x:c>
      <x:c r="Z77" s="44" t="n">
        <x:f>IF(I77&gt;0,R77*(J77/I77),0)</x:f>
        <x:v>49000</x:v>
      </x:c>
      <x:c r="AA77" s="44" t="n">
        <x:f>Z77-(R77*E77)</x:f>
        <x:v>14000</x:v>
      </x:c>
      <x:c r="AB77" s="47" t="n">
        <x:f>IFERROR(AA77/Z77,0)</x:f>
        <x:v>0.2857142857142857</x:v>
      </x:c>
      <x:c r="AC77" s="32" t="str">
        <x:f>IF(S77=0,"0%",IF(S77&lt;0.5,"1-49%",IF(S77&lt;0.8,"50-79%",IF(S77&lt;1,"80-99%","100%"))))</x:f>
        <x:v>100%</x:v>
      </x:c>
      <x:c r="AD77" s="33" t="str">
        <x:f>IF(G77&lt;0,"Stock negativo",IF(G77&lt;=0,"Sin stock actual",IF(I77&lt;=0,"Sin ventas desde compra",IF(Q77&lt;=0,"Con stock, sin ventas 365d",IF(S77&lt;0.5,"Rotación baja",IF(S77&lt;1,"Rotación media","Compra absorbida; stock repuesto"))))))</x:f>
        <x:v>Sin stock actual</x:v>
      </x:c>
    </x:row>
    <x:row r="78">
      <x:c r="A78" s="31" t="str">
        <x:v>ESC - 007</x:v>
      </x:c>
      <x:c r="B78" s="53" t="str">
        <x:v>ESCOBILLAS ARRANQUE PULSAR 200 NS</x:v>
      </x:c>
      <x:c r="C78" s="32" t="n">
        <x:v>1</x:v>
      </x:c>
      <x:c r="D78" s="38" t="n">
        <x:v>5</x:v>
      </x:c>
      <x:c r="E78" s="44" t="n">
        <x:v>7000</x:v>
      </x:c>
      <x:c r="F78" s="44" t="n">
        <x:v>35000</x:v>
      </x:c>
      <x:c r="G78" s="41" t="n">
        <x:v>4</x:v>
      </x:c>
      <x:c r="H78" s="44" t="n">
        <x:f>MAX(G78,0)*E78</x:f>
        <x:v>28000</x:v>
      </x:c>
      <x:c r="I78" s="38" t="n">
        <x:v>1</x:v>
      </x:c>
      <x:c r="J78" s="44" t="n">
        <x:v>10000</x:v>
      </x:c>
      <x:c r="K78" s="32" t="n">
        <x:v>1</x:v>
      </x:c>
      <x:c r="L78" s="50" t="n">
        <x:v>45679.81688657407</x:v>
      </x:c>
      <x:c r="M78" s="50" t="n">
        <x:v>45679.81688657407</x:v>
      </x:c>
      <x:c r="N78" s="32" t="n">
        <x:f>IF(M78="","",MAX(0,'Resumen'!$B$3-M78))</x:f>
        <x:v>587.1831134259264</x:v>
      </x:c>
      <x:c r="O78" s="38" t="n">
        <x:v>0</x:v>
      </x:c>
      <x:c r="P78" s="38" t="n">
        <x:v>0</x:v>
      </x:c>
      <x:c r="Q78" s="38" t="n">
        <x:v>0</x:v>
      </x:c>
      <x:c r="R78" s="38" t="n">
        <x:f>MIN(D78,I78)</x:f>
        <x:v>1</x:v>
      </x:c>
      <x:c r="S78" s="47" t="n">
        <x:f>IFERROR(R78/D78,0)</x:f>
        <x:v>0.2</x:v>
      </x:c>
      <x:c r="T78" s="38" t="n">
        <x:f>MIN(MAX(G78,0),MAX(D78-I78,0))</x:f>
        <x:v>4</x:v>
      </x:c>
      <x:c r="U78" s="44" t="n">
        <x:f>T78*E78</x:f>
        <x:v>28000</x:v>
      </x:c>
      <x:c r="V78" s="38" t="n">
        <x:v>0</x:v>
      </x:c>
      <x:c r="W78" s="32" t="n">
        <x:v>0</x:v>
      </x:c>
      <x:c r="X78" s="50"/>
      <x:c r="Y78" s="44" t="n">
        <x:v>12000</x:v>
      </x:c>
      <x:c r="Z78" s="44" t="n">
        <x:f>IF(I78&gt;0,R78*(J78/I78),0)</x:f>
        <x:v>10000</x:v>
      </x:c>
      <x:c r="AA78" s="44" t="n">
        <x:f>Z78-(R78*E78)</x:f>
        <x:v>3000</x:v>
      </x:c>
      <x:c r="AB78" s="47" t="n">
        <x:f>IFERROR(AA78/Z78,0)</x:f>
        <x:v>0.3</x:v>
      </x:c>
      <x:c r="AC78" s="32" t="str">
        <x:f>IF(S78=0,"0%",IF(S78&lt;0.5,"1-49%",IF(S78&lt;0.8,"50-79%",IF(S78&lt;1,"80-99%","100%"))))</x:f>
        <x:v>1-49%</x:v>
      </x:c>
      <x:c r="AD78" s="33" t="str">
        <x:f>IF(G78&lt;0,"Stock negativo",IF(G78&lt;=0,"Sin stock actual",IF(I78&lt;=0,"Sin ventas desde compra",IF(Q78&lt;=0,"Con stock, sin ventas 365d",IF(S78&lt;0.5,"Rotación baja",IF(S78&lt;1,"Rotación media","Compra absorbida; stock repuesto"))))))</x:f>
        <x:v>Con stock, sin ventas 365d</x:v>
      </x:c>
    </x:row>
    <x:row r="79">
      <x:c r="A79" s="31" t="str">
        <x:v>MOTS1171</x:v>
      </x:c>
      <x:c r="B79" s="53" t="str">
        <x:v>CAUCHO MANZANA ECO / 090 / AKT 110 FACTORY</x:v>
      </x:c>
      <x:c r="C79" s="32" t="n">
        <x:v>1</x:v>
      </x:c>
      <x:c r="D79" s="38" t="n">
        <x:v>5</x:v>
      </x:c>
      <x:c r="E79" s="44" t="n">
        <x:v>7000</x:v>
      </x:c>
      <x:c r="F79" s="44" t="n">
        <x:v>35000</x:v>
      </x:c>
      <x:c r="G79" s="41" t="n">
        <x:v>1</x:v>
      </x:c>
      <x:c r="H79" s="44" t="n">
        <x:f>MAX(G79,0)*E79</x:f>
        <x:v>7000</x:v>
      </x:c>
      <x:c r="I79" s="38" t="n">
        <x:v>5</x:v>
      </x:c>
      <x:c r="J79" s="44" t="n">
        <x:v>57000</x:v>
      </x:c>
      <x:c r="K79" s="32" t="n">
        <x:v>5</x:v>
      </x:c>
      <x:c r="L79" s="50" t="n">
        <x:v>45510.99109953704</x:v>
      </x:c>
      <x:c r="M79" s="50" t="n">
        <x:v>45736.80306712963</x:v>
      </x:c>
      <x:c r="N79" s="32" t="n">
        <x:f>IF(M79="","",MAX(0,'Resumen'!$B$3-M79))</x:f>
        <x:v>530.1969328703708</x:v>
      </x:c>
      <x:c r="O79" s="38" t="n">
        <x:v>0</x:v>
      </x:c>
      <x:c r="P79" s="38" t="n">
        <x:v>0</x:v>
      </x:c>
      <x:c r="Q79" s="38" t="n">
        <x:v>0</x:v>
      </x:c>
      <x:c r="R79" s="38" t="n">
        <x:f>MIN(D79,I79)</x:f>
        <x:v>5</x:v>
      </x:c>
      <x:c r="S79" s="47" t="n">
        <x:f>IFERROR(R79/D79,0)</x:f>
        <x:v>1</x:v>
      </x:c>
      <x:c r="T79" s="38" t="n">
        <x:f>MIN(MAX(G79,0),MAX(D79-I79,0))</x:f>
        <x:v>0</x:v>
      </x:c>
      <x:c r="U79" s="44" t="n">
        <x:f>T79*E79</x:f>
        <x:v>0</x:v>
      </x:c>
      <x:c r="V79" s="38" t="n">
        <x:v>1</x:v>
      </x:c>
      <x:c r="W79" s="32" t="n">
        <x:v>1</x:v>
      </x:c>
      <x:c r="X79" s="50" t="n">
        <x:v>45734</x:v>
      </x:c>
      <x:c r="Y79" s="44" t="n">
        <x:v>12000</x:v>
      </x:c>
      <x:c r="Z79" s="44" t="n">
        <x:f>IF(I79&gt;0,R79*(J79/I79),0)</x:f>
        <x:v>57000</x:v>
      </x:c>
      <x:c r="AA79" s="44" t="n">
        <x:f>Z79-(R79*E79)</x:f>
        <x:v>22000</x:v>
      </x:c>
      <x:c r="AB79" s="47" t="n">
        <x:f>IFERROR(AA79/Z79,0)</x:f>
        <x:v>0.38596491228070173</x:v>
      </x:c>
      <x:c r="AC79" s="32" t="str">
        <x:f>IF(S79=0,"0%",IF(S79&lt;0.5,"1-49%",IF(S79&lt;0.8,"50-79%",IF(S79&lt;1,"80-99%","100%"))))</x:f>
        <x:v>100%</x:v>
      </x:c>
      <x:c r="AD79" s="33" t="str">
        <x:f>IF(G79&lt;0,"Stock negativo",IF(G79&lt;=0,"Sin stock actual",IF(I79&lt;=0,"Sin ventas desde compra",IF(Q79&lt;=0,"Con stock, sin ventas 365d",IF(S79&lt;0.5,"Rotación baja",IF(S79&lt;1,"Rotación media","Compra absorbida; stock repuesto"))))))</x:f>
        <x:v>Con stock, sin ventas 365d</x:v>
      </x:c>
    </x:row>
    <x:row r="80">
      <x:c r="A80" s="31" t="str">
        <x:v>MOTS1181</x:v>
      </x:c>
      <x:c r="B80" s="53" t="str">
        <x:v>MANIGUETA DER BUJS 100 JAPAN</x:v>
      </x:c>
      <x:c r="C80" s="32" t="n">
        <x:v>1</x:v>
      </x:c>
      <x:c r="D80" s="38" t="n">
        <x:v>5</x:v>
      </x:c>
      <x:c r="E80" s="44" t="n">
        <x:v>7000</x:v>
      </x:c>
      <x:c r="F80" s="44" t="n">
        <x:v>35000</x:v>
      </x:c>
      <x:c r="G80" s="41" t="n">
        <x:v>1</x:v>
      </x:c>
      <x:c r="H80" s="44" t="n">
        <x:f>MAX(G80,0)*E80</x:f>
        <x:v>7000</x:v>
      </x:c>
      <x:c r="I80" s="38" t="n">
        <x:v>5</x:v>
      </x:c>
      <x:c r="J80" s="44" t="n">
        <x:v>58000</x:v>
      </x:c>
      <x:c r="K80" s="32" t="n">
        <x:v>5</x:v>
      </x:c>
      <x:c r="L80" s="50" t="n">
        <x:v>45741.91405092592</x:v>
      </x:c>
      <x:c r="M80" s="50" t="n">
        <x:v>45875.97688657408</x:v>
      </x:c>
      <x:c r="N80" s="32" t="n">
        <x:f>IF(M80="","",MAX(0,'Resumen'!$B$3-M80))</x:f>
        <x:v>391.02311342592293</x:v>
      </x:c>
      <x:c r="O80" s="38" t="n">
        <x:v>0</x:v>
      </x:c>
      <x:c r="P80" s="38" t="n">
        <x:v>0</x:v>
      </x:c>
      <x:c r="Q80" s="38" t="n">
        <x:v>0</x:v>
      </x:c>
      <x:c r="R80" s="38" t="n">
        <x:f>MIN(D80,I80)</x:f>
        <x:v>5</x:v>
      </x:c>
      <x:c r="S80" s="47" t="n">
        <x:f>IFERROR(R80/D80,0)</x:f>
        <x:v>1</x:v>
      </x:c>
      <x:c r="T80" s="38" t="n">
        <x:f>MIN(MAX(G80,0),MAX(D80-I80,0))</x:f>
        <x:v>0</x:v>
      </x:c>
      <x:c r="U80" s="44" t="n">
        <x:f>T80*E80</x:f>
        <x:v>0</x:v>
      </x:c>
      <x:c r="V80" s="38" t="n">
        <x:v>1</x:v>
      </x:c>
      <x:c r="W80" s="32" t="n">
        <x:v>1</x:v>
      </x:c>
      <x:c r="X80" s="50" t="n">
        <x:v>45875</x:v>
      </x:c>
      <x:c r="Y80" s="44" t="n">
        <x:v>12000</x:v>
      </x:c>
      <x:c r="Z80" s="44" t="n">
        <x:f>IF(I80&gt;0,R80*(J80/I80),0)</x:f>
        <x:v>58000</x:v>
      </x:c>
      <x:c r="AA80" s="44" t="n">
        <x:f>Z80-(R80*E80)</x:f>
        <x:v>23000</x:v>
      </x:c>
      <x:c r="AB80" s="47" t="n">
        <x:f>IFERROR(AA80/Z80,0)</x:f>
        <x:v>0.39655172413793105</x:v>
      </x:c>
      <x:c r="AC80" s="32" t="str">
        <x:f>IF(S80=0,"0%",IF(S80&lt;0.5,"1-49%",IF(S80&lt;0.8,"50-79%",IF(S80&lt;1,"80-99%","100%"))))</x:f>
        <x:v>100%</x:v>
      </x:c>
      <x:c r="AD80" s="33" t="str">
        <x:f>IF(G80&lt;0,"Stock negativo",IF(G80&lt;=0,"Sin stock actual",IF(I80&lt;=0,"Sin ventas desde compra",IF(Q80&lt;=0,"Con stock, sin ventas 365d",IF(S80&lt;0.5,"Rotación baja",IF(S80&lt;1,"Rotación media","Compra absorbida; stock repuesto"))))))</x:f>
        <x:v>Con stock, sin ventas 365d</x:v>
      </x:c>
    </x:row>
    <x:row r="81">
      <x:c r="A81" s="31" t="str">
        <x:v>5111</x:v>
      </x:c>
      <x:c r="B81" s="53" t="str">
        <x:v>BUJIA BP75S NGK</x:v>
      </x:c>
      <x:c r="C81" s="32" t="n">
        <x:v>1</x:v>
      </x:c>
      <x:c r="D81" s="38" t="n">
        <x:v>6</x:v>
      </x:c>
      <x:c r="E81" s="44" t="n">
        <x:v>5800</x:v>
      </x:c>
      <x:c r="F81" s="44" t="n">
        <x:v>34800</x:v>
      </x:c>
      <x:c r="G81" s="41" t="n">
        <x:v>6</x:v>
      </x:c>
      <x:c r="H81" s="44" t="n">
        <x:f>MAX(G81,0)*E81</x:f>
        <x:v>34800</x:v>
      </x:c>
      <x:c r="I81" s="38" t="n">
        <x:v>0</x:v>
      </x:c>
      <x:c r="J81" s="44" t="n">
        <x:v>0</x:v>
      </x:c>
      <x:c r="K81" s="32" t="n">
        <x:v>0</x:v>
      </x:c>
      <x:c r="L81" s="50"/>
      <x:c r="M81" s="50"/>
      <x:c r="N81" s="32" t="str">
        <x:f>IF(M81="","",MAX(0,'Resumen'!$B$3-M81))</x:f>
      </x:c>
      <x:c r="O81" s="38" t="n">
        <x:v>0</x:v>
      </x:c>
      <x:c r="P81" s="38" t="n">
        <x:v>0</x:v>
      </x:c>
      <x:c r="Q81" s="38" t="n">
        <x:v>0</x:v>
      </x:c>
      <x:c r="R81" s="38" t="n">
        <x:f>MIN(D81,I81)</x:f>
        <x:v>0</x:v>
      </x:c>
      <x:c r="S81" s="47" t="n">
        <x:f>IFERROR(R81/D81,0)</x:f>
        <x:v>0</x:v>
      </x:c>
      <x:c r="T81" s="38" t="n">
        <x:f>MIN(MAX(G81,0),MAX(D81-I81,0))</x:f>
        <x:v>6</x:v>
      </x:c>
      <x:c r="U81" s="44" t="n">
        <x:f>T81*E81</x:f>
        <x:v>34800</x:v>
      </x:c>
      <x:c r="V81" s="38" t="n">
        <x:v>0</x:v>
      </x:c>
      <x:c r="W81" s="32" t="n">
        <x:v>0</x:v>
      </x:c>
      <x:c r="X81" s="50"/>
      <x:c r="Y81" s="44" t="n">
        <x:v>10000</x:v>
      </x:c>
      <x:c r="Z81" s="44" t="n">
        <x:f>IF(I81&gt;0,R81*(J81/I81),0)</x:f>
        <x:v>0</x:v>
      </x:c>
      <x:c r="AA81" s="44" t="n">
        <x:f>Z81-(R81*E81)</x:f>
        <x:v>0</x:v>
      </x:c>
      <x:c r="AB81" s="47" t="n">
        <x:f>IFERROR(AA81/Z81,0)</x:f>
        <x:v>0</x:v>
      </x:c>
      <x:c r="AC81" s="32" t="str">
        <x:f>IF(S81=0,"0%",IF(S81&lt;0.5,"1-49%",IF(S81&lt;0.8,"50-79%",IF(S81&lt;1,"80-99%","100%"))))</x:f>
        <x:v>0%</x:v>
      </x:c>
      <x:c r="AD81" s="33" t="str">
        <x:f>IF(G81&lt;0,"Stock negativo",IF(G81&lt;=0,"Sin stock actual",IF(I81&lt;=0,"Sin ventas desde compra",IF(Q81&lt;=0,"Con stock, sin ventas 365d",IF(S81&lt;0.5,"Rotación baja",IF(S81&lt;1,"Rotación media","Compra absorbida; stock repuesto"))))))</x:f>
        <x:v>Sin ventas desde compra</x:v>
      </x:c>
    </x:row>
    <x:row r="82">
      <x:c r="A82" s="31" t="str">
        <x:v>KIT - 043572</x:v>
      </x:c>
      <x:c r="B82" s="53" t="str">
        <x:v>KIT EMPAQUE COMPLETO CB 110 / DREAM NEO SYK</x:v>
      </x:c>
      <x:c r="C82" s="32" t="n">
        <x:v>1</x:v>
      </x:c>
      <x:c r="D82" s="38" t="n">
        <x:v>3</x:v>
      </x:c>
      <x:c r="E82" s="44" t="n">
        <x:v>11337</x:v>
      </x:c>
      <x:c r="F82" s="44" t="n">
        <x:v>34011</x:v>
      </x:c>
      <x:c r="G82" s="41" t="n">
        <x:v>2</x:v>
      </x:c>
      <x:c r="H82" s="44" t="n">
        <x:f>MAX(G82,0)*E82</x:f>
        <x:v>22674</x:v>
      </x:c>
      <x:c r="I82" s="38" t="n">
        <x:v>2</x:v>
      </x:c>
      <x:c r="J82" s="44" t="n">
        <x:v>36000</x:v>
      </x:c>
      <x:c r="K82" s="32" t="n">
        <x:v>2</x:v>
      </x:c>
      <x:c r="L82" s="50" t="n">
        <x:v>45528.74765046296</x:v>
      </x:c>
      <x:c r="M82" s="50" t="n">
        <x:v>45589.70050925926</x:v>
      </x:c>
      <x:c r="N82" s="32" t="n">
        <x:f>IF(M82="","",MAX(0,'Resumen'!$B$3-M82))</x:f>
        <x:v>677.299490740741</x:v>
      </x:c>
      <x:c r="O82" s="38" t="n">
        <x:v>0</x:v>
      </x:c>
      <x:c r="P82" s="38" t="n">
        <x:v>0</x:v>
      </x:c>
      <x:c r="Q82" s="38" t="n">
        <x:v>0</x:v>
      </x:c>
      <x:c r="R82" s="38" t="n">
        <x:f>MIN(D82,I82)</x:f>
        <x:v>2</x:v>
      </x:c>
      <x:c r="S82" s="47" t="n">
        <x:f>IFERROR(R82/D82,0)</x:f>
        <x:v>0.6666666666666666</x:v>
      </x:c>
      <x:c r="T82" s="38" t="n">
        <x:f>MIN(MAX(G82,0),MAX(D82-I82,0))</x:f>
        <x:v>1</x:v>
      </x:c>
      <x:c r="U82" s="44" t="n">
        <x:f>T82*E82</x:f>
        <x:v>11337</x:v>
      </x:c>
      <x:c r="V82" s="38" t="n">
        <x:v>1</x:v>
      </x:c>
      <x:c r="W82" s="32" t="n">
        <x:v>1</x:v>
      </x:c>
      <x:c r="X82" s="50" t="n">
        <x:v>45671</x:v>
      </x:c>
      <x:c r="Y82" s="44" t="n">
        <x:v>19000</x:v>
      </x:c>
      <x:c r="Z82" s="44" t="n">
        <x:f>IF(I82&gt;0,R82*(J82/I82),0)</x:f>
        <x:v>36000</x:v>
      </x:c>
      <x:c r="AA82" s="44" t="n">
        <x:f>Z82-(R82*E82)</x:f>
        <x:v>13326</x:v>
      </x:c>
      <x:c r="AB82" s="47" t="n">
        <x:f>IFERROR(AA82/Z82,0)</x:f>
        <x:v>0.37016666666666664</x:v>
      </x:c>
      <x:c r="AC82" s="32" t="str">
        <x:f>IF(S82=0,"0%",IF(S82&lt;0.5,"1-49%",IF(S82&lt;0.8,"50-79%",IF(S82&lt;1,"80-99%","100%"))))</x:f>
        <x:v>50-79%</x:v>
      </x:c>
      <x:c r="AD82" s="33" t="str">
        <x:f>IF(G82&lt;0,"Stock negativo",IF(G82&lt;=0,"Sin stock actual",IF(I82&lt;=0,"Sin ventas desde compra",IF(Q82&lt;=0,"Con stock, sin ventas 365d",IF(S82&lt;0.5,"Rotación baja",IF(S82&lt;1,"Rotación media","Compra absorbida; stock repuesto"))))))</x:f>
        <x:v>Con stock, sin ventas 365d</x:v>
      </x:c>
    </x:row>
    <x:row r="83">
      <x:c r="A83" s="31" t="str">
        <x:v>A171A1</x:v>
      </x:c>
      <x:c r="B83" s="53" t="str">
        <x:v>KIT MEDIO YAMAHA BWS 125 4T EMP AMERICA</x:v>
      </x:c>
      <x:c r="C83" s="32" t="n">
        <x:v>1</x:v>
      </x:c>
      <x:c r="D83" s="38" t="n">
        <x:v>4</x:v>
      </x:c>
      <x:c r="E83" s="44" t="n">
        <x:v>8500</x:v>
      </x:c>
      <x:c r="F83" s="44" t="n">
        <x:v>34000</x:v>
      </x:c>
      <x:c r="G83" s="41" t="n">
        <x:v>2</x:v>
      </x:c>
      <x:c r="H83" s="44" t="n">
        <x:f>MAX(G83,0)*E83</x:f>
        <x:v>17000</x:v>
      </x:c>
      <x:c r="I83" s="38" t="n">
        <x:v>3</x:v>
      </x:c>
      <x:c r="J83" s="44" t="n">
        <x:v>34000</x:v>
      </x:c>
      <x:c r="K83" s="32" t="n">
        <x:v>3</x:v>
      </x:c>
      <x:c r="L83" s="50" t="n">
        <x:v>45557.72418981481</x:v>
      </x:c>
      <x:c r="M83" s="50" t="n">
        <x:v>45632.90576388889</x:v>
      </x:c>
      <x:c r="N83" s="32" t="n">
        <x:f>IF(M83="","",MAX(0,'Resumen'!$B$3-M83))</x:f>
        <x:v>634.0942361111083</x:v>
      </x:c>
      <x:c r="O83" s="38" t="n">
        <x:v>0</x:v>
      </x:c>
      <x:c r="P83" s="38" t="n">
        <x:v>0</x:v>
      </x:c>
      <x:c r="Q83" s="38" t="n">
        <x:v>0</x:v>
      </x:c>
      <x:c r="R83" s="38" t="n">
        <x:f>MIN(D83,I83)</x:f>
        <x:v>3</x:v>
      </x:c>
      <x:c r="S83" s="47" t="n">
        <x:f>IFERROR(R83/D83,0)</x:f>
        <x:v>0.75</x:v>
      </x:c>
      <x:c r="T83" s="38" t="n">
        <x:f>MIN(MAX(G83,0),MAX(D83-I83,0))</x:f>
        <x:v>1</x:v>
      </x:c>
      <x:c r="U83" s="44" t="n">
        <x:f>T83*E83</x:f>
        <x:v>8500</x:v>
      </x:c>
      <x:c r="V83" s="38" t="n">
        <x:v>1</x:v>
      </x:c>
      <x:c r="W83" s="32" t="n">
        <x:v>1</x:v>
      </x:c>
      <x:c r="X83" s="50" t="n">
        <x:v>45506</x:v>
      </x:c>
      <x:c r="Y83" s="44" t="n">
        <x:v>12500</x:v>
      </x:c>
      <x:c r="Z83" s="44" t="n">
        <x:f>IF(I83&gt;0,R83*(J83/I83),0)</x:f>
        <x:v>34000</x:v>
      </x:c>
      <x:c r="AA83" s="44" t="n">
        <x:f>Z83-(R83*E83)</x:f>
        <x:v>8500</x:v>
      </x:c>
      <x:c r="AB83" s="47" t="n">
        <x:f>IFERROR(AA83/Z83,0)</x:f>
        <x:v>0.25</x:v>
      </x:c>
      <x:c r="AC83" s="32" t="str">
        <x:f>IF(S83=0,"0%",IF(S83&lt;0.5,"1-49%",IF(S83&lt;0.8,"50-79%",IF(S83&lt;1,"80-99%","100%"))))</x:f>
        <x:v>50-79%</x:v>
      </x:c>
      <x:c r="AD83" s="33" t="str">
        <x:f>IF(G83&lt;0,"Stock negativo",IF(G83&lt;=0,"Sin stock actual",IF(I83&lt;=0,"Sin ventas desde compra",IF(Q83&lt;=0,"Con stock, sin ventas 365d",IF(S83&lt;0.5,"Rotación baja",IF(S83&lt;1,"Rotación media","Compra absorbida; stock repuesto"))))))</x:f>
        <x:v>Con stock, sin ventas 365d</x:v>
      </x:c>
    </x:row>
    <x:row r="84">
      <x:c r="A84" s="31" t="str">
        <x:v>CAD-123</x:v>
      </x:c>
      <x:c r="B84" s="53" t="str">
        <x:v>CADENILLA BWS 125/AGILITY 125/CBF 150 YAMAHA</x:v>
      </x:c>
      <x:c r="C84" s="32" t="n">
        <x:v>1</x:v>
      </x:c>
      <x:c r="D84" s="38" t="n">
        <x:v>2</x:v>
      </x:c>
      <x:c r="E84" s="44" t="n">
        <x:v>17000</x:v>
      </x:c>
      <x:c r="F84" s="44" t="n">
        <x:v>34000</x:v>
      </x:c>
      <x:c r="G84" s="41" t="n">
        <x:v>0</x:v>
      </x:c>
      <x:c r="H84" s="44" t="n">
        <x:f>MAX(G84,0)*E84</x:f>
        <x:v>0</x:v>
      </x:c>
      <x:c r="I84" s="38" t="n">
        <x:v>2</x:v>
      </x:c>
      <x:c r="J84" s="44" t="n">
        <x:v>57000</x:v>
      </x:c>
      <x:c r="K84" s="32" t="n">
        <x:v>2</x:v>
      </x:c>
      <x:c r="L84" s="50" t="n">
        <x:v>45571.64204861111</x:v>
      </x:c>
      <x:c r="M84" s="50" t="n">
        <x:v>45571.697233796294</x:v>
      </x:c>
      <x:c r="N84" s="32" t="n">
        <x:f>IF(M84="","",MAX(0,'Resumen'!$B$3-M84))</x:f>
        <x:v>695.3027662037057</x:v>
      </x:c>
      <x:c r="O84" s="38" t="n">
        <x:v>0</x:v>
      </x:c>
      <x:c r="P84" s="38" t="n">
        <x:v>0</x:v>
      </x:c>
      <x:c r="Q84" s="38" t="n">
        <x:v>0</x:v>
      </x:c>
      <x:c r="R84" s="38" t="n">
        <x:f>MIN(D84,I84)</x:f>
        <x:v>2</x:v>
      </x:c>
      <x:c r="S84" s="47" t="n">
        <x:f>IFERROR(R84/D84,0)</x:f>
        <x:v>1</x:v>
      </x:c>
      <x:c r="T84" s="38" t="n">
        <x:f>MIN(MAX(G84,0),MAX(D84-I84,0))</x:f>
        <x:v>0</x:v>
      </x:c>
      <x:c r="U84" s="44" t="n">
        <x:f>T84*E84</x:f>
        <x:v>0</x:v>
      </x:c>
      <x:c r="V84" s="38" t="n">
        <x:v>0</x:v>
      </x:c>
      <x:c r="W84" s="32" t="n">
        <x:v>0</x:v>
      </x:c>
      <x:c r="X84" s="50"/>
      <x:c r="Y84" s="44" t="n">
        <x:v>28500</x:v>
      </x:c>
      <x:c r="Z84" s="44" t="n">
        <x:f>IF(I84&gt;0,R84*(J84/I84),0)</x:f>
        <x:v>57000</x:v>
      </x:c>
      <x:c r="AA84" s="44" t="n">
        <x:f>Z84-(R84*E84)</x:f>
        <x:v>23000</x:v>
      </x:c>
      <x:c r="AB84" s="47" t="n">
        <x:f>IFERROR(AA84/Z84,0)</x:f>
        <x:v>0.40350877192982454</x:v>
      </x:c>
      <x:c r="AC84" s="32" t="str">
        <x:f>IF(S84=0,"0%",IF(S84&lt;0.5,"1-49%",IF(S84&lt;0.8,"50-79%",IF(S84&lt;1,"80-99%","100%"))))</x:f>
        <x:v>100%</x:v>
      </x:c>
      <x:c r="AD84" s="33" t="str">
        <x:f>IF(G84&lt;0,"Stock negativo",IF(G84&lt;=0,"Sin stock actual",IF(I84&lt;=0,"Sin ventas desde compra",IF(Q84&lt;=0,"Con stock, sin ventas 365d",IF(S84&lt;0.5,"Rotación baja",IF(S84&lt;1,"Rotación media","Compra absorbida; stock repuesto"))))))</x:f>
        <x:v>Sin stock actual</x:v>
      </x:c>
    </x:row>
    <x:row r="85">
      <x:c r="A85" s="31" t="str">
        <x:v>BOB - 047791</x:v>
      </x:c>
      <x:c r="B85" s="53" t="str">
        <x:v>BOBINA ENCENDIDO ECO / SPLENDOR SYK</x:v>
      </x:c>
      <x:c r="C85" s="32" t="n">
        <x:v>1</x:v>
      </x:c>
      <x:c r="D85" s="38" t="n">
        <x:v>2</x:v>
      </x:c>
      <x:c r="E85" s="44" t="n">
        <x:v>16500</x:v>
      </x:c>
      <x:c r="F85" s="44" t="n">
        <x:v>33000</x:v>
      </x:c>
      <x:c r="G85" s="41" t="n">
        <x:v>0</x:v>
      </x:c>
      <x:c r="H85" s="44" t="n">
        <x:f>MAX(G85,0)*E85</x:f>
        <x:v>0</x:v>
      </x:c>
      <x:c r="I85" s="38" t="n">
        <x:v>2</x:v>
      </x:c>
      <x:c r="J85" s="44" t="n">
        <x:v>54500</x:v>
      </x:c>
      <x:c r="K85" s="32" t="n">
        <x:v>2</x:v>
      </x:c>
      <x:c r="L85" s="50" t="n">
        <x:v>45550.60165509259</x:v>
      </x:c>
      <x:c r="M85" s="50" t="n">
        <x:v>45565.643958333334</x:v>
      </x:c>
      <x:c r="N85" s="32" t="n">
        <x:f>IF(M85="","",MAX(0,'Resumen'!$B$3-M85))</x:f>
        <x:v>701.356041666666</x:v>
      </x:c>
      <x:c r="O85" s="38" t="n">
        <x:v>0</x:v>
      </x:c>
      <x:c r="P85" s="38" t="n">
        <x:v>0</x:v>
      </x:c>
      <x:c r="Q85" s="38" t="n">
        <x:v>0</x:v>
      </x:c>
      <x:c r="R85" s="38" t="n">
        <x:f>MIN(D85,I85)</x:f>
        <x:v>2</x:v>
      </x:c>
      <x:c r="S85" s="47" t="n">
        <x:f>IFERROR(R85/D85,0)</x:f>
        <x:v>1</x:v>
      </x:c>
      <x:c r="T85" s="38" t="n">
        <x:f>MIN(MAX(G85,0),MAX(D85-I85,0))</x:f>
        <x:v>0</x:v>
      </x:c>
      <x:c r="U85" s="44" t="n">
        <x:f>T85*E85</x:f>
        <x:v>0</x:v>
      </x:c>
      <x:c r="V85" s="38" t="n">
        <x:v>0</x:v>
      </x:c>
      <x:c r="W85" s="32" t="n">
        <x:v>0</x:v>
      </x:c>
      <x:c r="X85" s="50"/>
      <x:c r="Y85" s="44" t="n">
        <x:v>27500</x:v>
      </x:c>
      <x:c r="Z85" s="44" t="n">
        <x:f>IF(I85&gt;0,R85*(J85/I85),0)</x:f>
        <x:v>54500</x:v>
      </x:c>
      <x:c r="AA85" s="44" t="n">
        <x:f>Z85-(R85*E85)</x:f>
        <x:v>21500</x:v>
      </x:c>
      <x:c r="AB85" s="47" t="n">
        <x:f>IFERROR(AA85/Z85,0)</x:f>
        <x:v>0.3944954128440367</x:v>
      </x:c>
      <x:c r="AC85" s="32" t="str">
        <x:f>IF(S85=0,"0%",IF(S85&lt;0.5,"1-49%",IF(S85&lt;0.8,"50-79%",IF(S85&lt;1,"80-99%","100%"))))</x:f>
        <x:v>100%</x:v>
      </x:c>
      <x:c r="AD85" s="33" t="str">
        <x:f>IF(G85&lt;0,"Stock negativo",IF(G85&lt;=0,"Sin stock actual",IF(I85&lt;=0,"Sin ventas desde compra",IF(Q85&lt;=0,"Con stock, sin ventas 365d",IF(S85&lt;0.5,"Rotación baja",IF(S85&lt;1,"Rotación media","Compra absorbida; stock repuesto"))))))</x:f>
        <x:v>Sin stock actual</x:v>
      </x:c>
    </x:row>
    <x:row r="86">
      <x:c r="A86" s="31" t="str">
        <x:v>MOTS1051</x:v>
      </x:c>
      <x:c r="B86" s="53" t="str">
        <x:v>RETEN 27-40-6</x:v>
      </x:c>
      <x:c r="C86" s="32" t="n">
        <x:v>1</x:v>
      </x:c>
      <x:c r="D86" s="38" t="n">
        <x:v>11</x:v>
      </x:c>
      <x:c r="E86" s="44" t="n">
        <x:v>3000</x:v>
      </x:c>
      <x:c r="F86" s="44" t="n">
        <x:v>33000</x:v>
      </x:c>
      <x:c r="G86" s="41" t="n">
        <x:v>9</x:v>
      </x:c>
      <x:c r="H86" s="44" t="n">
        <x:f>MAX(G86,0)*E86</x:f>
        <x:v>27000</x:v>
      </x:c>
      <x:c r="I86" s="38" t="n">
        <x:v>2</x:v>
      </x:c>
      <x:c r="J86" s="44" t="n">
        <x:v>9000</x:v>
      </x:c>
      <x:c r="K86" s="32" t="n">
        <x:v>2</x:v>
      </x:c>
      <x:c r="L86" s="50" t="n">
        <x:v>45608.83256944444</x:v>
      </x:c>
      <x:c r="M86" s="50" t="n">
        <x:v>45924.9528125</x:v>
      </x:c>
      <x:c r="N86" s="32" t="n">
        <x:f>IF(M86="","",MAX(0,'Resumen'!$B$3-M86))</x:f>
        <x:v>342.0471875000003</x:v>
      </x:c>
      <x:c r="O86" s="38" t="n">
        <x:v>0</x:v>
      </x:c>
      <x:c r="P86" s="38" t="n">
        <x:v>0</x:v>
      </x:c>
      <x:c r="Q86" s="38" t="n">
        <x:v>1</x:v>
      </x:c>
      <x:c r="R86" s="38" t="n">
        <x:f>MIN(D86,I86)</x:f>
        <x:v>2</x:v>
      </x:c>
      <x:c r="S86" s="47" t="n">
        <x:f>IFERROR(R86/D86,0)</x:f>
        <x:v>0.18181818181818182</x:v>
      </x:c>
      <x:c r="T86" s="38" t="n">
        <x:f>MIN(MAX(G86,0),MAX(D86-I86,0))</x:f>
        <x:v>9</x:v>
      </x:c>
      <x:c r="U86" s="44" t="n">
        <x:f>T86*E86</x:f>
        <x:v>27000</x:v>
      </x:c>
      <x:c r="V86" s="38" t="n">
        <x:v>0</x:v>
      </x:c>
      <x:c r="W86" s="32" t="n">
        <x:v>0</x:v>
      </x:c>
      <x:c r="X86" s="50"/>
      <x:c r="Y86" s="44" t="n">
        <x:v>5000</x:v>
      </x:c>
      <x:c r="Z86" s="44" t="n">
        <x:f>IF(I86&gt;0,R86*(J86/I86),0)</x:f>
        <x:v>9000</x:v>
      </x:c>
      <x:c r="AA86" s="44" t="n">
        <x:f>Z86-(R86*E86)</x:f>
        <x:v>3000</x:v>
      </x:c>
      <x:c r="AB86" s="47" t="n">
        <x:f>IFERROR(AA86/Z86,0)</x:f>
        <x:v>0.3333333333333333</x:v>
      </x:c>
      <x:c r="AC86" s="32" t="str">
        <x:f>IF(S86=0,"0%",IF(S86&lt;0.5,"1-49%",IF(S86&lt;0.8,"50-79%",IF(S86&lt;1,"80-99%","100%"))))</x:f>
        <x:v>1-49%</x:v>
      </x:c>
      <x:c r="AD86" s="33" t="str">
        <x:f>IF(G86&lt;0,"Stock negativo",IF(G86&lt;=0,"Sin stock actual",IF(I86&lt;=0,"Sin ventas desde compra",IF(Q86&lt;=0,"Con stock, sin ventas 365d",IF(S86&lt;0.5,"Rotación baja",IF(S86&lt;1,"Rotación media","Compra absorbida; stock repuesto"))))))</x:f>
        <x:v>Rotación baja</x:v>
      </x:c>
    </x:row>
    <x:row r="87">
      <x:c r="A87" s="31" t="str">
        <x:v>MOTS1084</x:v>
      </x:c>
      <x:c r="B87" s="53" t="str">
        <x:v>RETEN 17-25-4</x:v>
      </x:c>
      <x:c r="C87" s="32" t="n">
        <x:v>1</x:v>
      </x:c>
      <x:c r="D87" s="38" t="n">
        <x:v>22</x:v>
      </x:c>
      <x:c r="E87" s="44" t="n">
        <x:v>1500</x:v>
      </x:c>
      <x:c r="F87" s="44" t="n">
        <x:v>33000</x:v>
      </x:c>
      <x:c r="G87" s="41" t="n">
        <x:v>22</x:v>
      </x:c>
      <x:c r="H87" s="44" t="n">
        <x:f>MAX(G87,0)*E87</x:f>
        <x:v>33000</x:v>
      </x:c>
      <x:c r="I87" s="38" t="n">
        <x:v>0</x:v>
      </x:c>
      <x:c r="J87" s="44" t="n">
        <x:v>0</x:v>
      </x:c>
      <x:c r="K87" s="32" t="n">
        <x:v>0</x:v>
      </x:c>
      <x:c r="L87" s="50"/>
      <x:c r="M87" s="50"/>
      <x:c r="N87" s="32" t="str">
        <x:f>IF(M87="","",MAX(0,'Resumen'!$B$3-M87))</x:f>
      </x:c>
      <x:c r="O87" s="38" t="n">
        <x:v>0</x:v>
      </x:c>
      <x:c r="P87" s="38" t="n">
        <x:v>0</x:v>
      </x:c>
      <x:c r="Q87" s="38" t="n">
        <x:v>0</x:v>
      </x:c>
      <x:c r="R87" s="38" t="n">
        <x:f>MIN(D87,I87)</x:f>
        <x:v>0</x:v>
      </x:c>
      <x:c r="S87" s="47" t="n">
        <x:f>IFERROR(R87/D87,0)</x:f>
        <x:v>0</x:v>
      </x:c>
      <x:c r="T87" s="38" t="n">
        <x:f>MIN(MAX(G87,0),MAX(D87-I87,0))</x:f>
        <x:v>22</x:v>
      </x:c>
      <x:c r="U87" s="44" t="n">
        <x:f>T87*E87</x:f>
        <x:v>33000</x:v>
      </x:c>
      <x:c r="V87" s="38" t="n">
        <x:v>0</x:v>
      </x:c>
      <x:c r="W87" s="32" t="n">
        <x:v>0</x:v>
      </x:c>
      <x:c r="X87" s="50"/>
      <x:c r="Y87" s="44" t="n">
        <x:v>2500</x:v>
      </x:c>
      <x:c r="Z87" s="44" t="n">
        <x:f>IF(I87&gt;0,R87*(J87/I87),0)</x:f>
        <x:v>0</x:v>
      </x:c>
      <x:c r="AA87" s="44" t="n">
        <x:f>Z87-(R87*E87)</x:f>
        <x:v>0</x:v>
      </x:c>
      <x:c r="AB87" s="47" t="n">
        <x:f>IFERROR(AA87/Z87,0)</x:f>
        <x:v>0</x:v>
      </x:c>
      <x:c r="AC87" s="32" t="str">
        <x:f>IF(S87=0,"0%",IF(S87&lt;0.5,"1-49%",IF(S87&lt;0.8,"50-79%",IF(S87&lt;1,"80-99%","100%"))))</x:f>
        <x:v>0%</x:v>
      </x:c>
      <x:c r="AD87" s="33" t="str">
        <x:f>IF(G87&lt;0,"Stock negativo",IF(G87&lt;=0,"Sin stock actual",IF(I87&lt;=0,"Sin ventas desde compra",IF(Q87&lt;=0,"Con stock, sin ventas 365d",IF(S87&lt;0.5,"Rotación baja",IF(S87&lt;1,"Rotación media","Compra absorbida; stock repuesto"))))))</x:f>
        <x:v>Sin ventas desde compra</x:v>
      </x:c>
    </x:row>
    <x:row r="88">
      <x:c r="A88" s="31" t="str">
        <x:v>MOTS1085</x:v>
      </x:c>
      <x:c r="B88" s="53" t="str">
        <x:v>RETEN 27-37-70-5</x:v>
      </x:c>
      <x:c r="C88" s="32" t="n">
        <x:v>1</x:v>
      </x:c>
      <x:c r="D88" s="38" t="n">
        <x:v>11</x:v>
      </x:c>
      <x:c r="E88" s="44" t="n">
        <x:v>3000</x:v>
      </x:c>
      <x:c r="F88" s="44" t="n">
        <x:v>33000</x:v>
      </x:c>
      <x:c r="G88" s="41" t="n">
        <x:v>2</x:v>
      </x:c>
      <x:c r="H88" s="44" t="n">
        <x:f>MAX(G88,0)*E88</x:f>
        <x:v>6000</x:v>
      </x:c>
      <x:c r="I88" s="38" t="n">
        <x:v>11</x:v>
      </x:c>
      <x:c r="J88" s="44" t="n">
        <x:v>50000</x:v>
      </x:c>
      <x:c r="K88" s="32" t="n">
        <x:v>7</x:v>
      </x:c>
      <x:c r="L88" s="50" t="n">
        <x:v>45562.754525462966</x:v>
      </x:c>
      <x:c r="M88" s="50" t="n">
        <x:v>45697.720358796294</x:v>
      </x:c>
      <x:c r="N88" s="32" t="n">
        <x:f>IF(M88="","",MAX(0,'Resumen'!$B$3-M88))</x:f>
        <x:v>569.279641203706</x:v>
      </x:c>
      <x:c r="O88" s="38" t="n">
        <x:v>0</x:v>
      </x:c>
      <x:c r="P88" s="38" t="n">
        <x:v>0</x:v>
      </x:c>
      <x:c r="Q88" s="38" t="n">
        <x:v>0</x:v>
      </x:c>
      <x:c r="R88" s="38" t="n">
        <x:f>MIN(D88,I88)</x:f>
        <x:v>11</x:v>
      </x:c>
      <x:c r="S88" s="47" t="n">
        <x:f>IFERROR(R88/D88,0)</x:f>
        <x:v>1</x:v>
      </x:c>
      <x:c r="T88" s="38" t="n">
        <x:f>MIN(MAX(G88,0),MAX(D88-I88,0))</x:f>
        <x:v>0</x:v>
      </x:c>
      <x:c r="U88" s="44" t="n">
        <x:f>T88*E88</x:f>
        <x:v>0</x:v>
      </x:c>
      <x:c r="V88" s="38" t="n">
        <x:v>2</x:v>
      </x:c>
      <x:c r="W88" s="32" t="n">
        <x:v>1</x:v>
      </x:c>
      <x:c r="X88" s="50" t="n">
        <x:v>45562</x:v>
      </x:c>
      <x:c r="Y88" s="44" t="n">
        <x:v>5000</x:v>
      </x:c>
      <x:c r="Z88" s="44" t="n">
        <x:f>IF(I88&gt;0,R88*(J88/I88),0)</x:f>
        <x:v>49999.99999999999</x:v>
      </x:c>
      <x:c r="AA88" s="44" t="n">
        <x:f>Z88-(R88*E88)</x:f>
        <x:v>16999.999999999993</x:v>
      </x:c>
      <x:c r="AB88" s="47" t="n">
        <x:f>IFERROR(AA88/Z88,0)</x:f>
        <x:v>0.3399999999999999</x:v>
      </x:c>
      <x:c r="AC88" s="32" t="str">
        <x:f>IF(S88=0,"0%",IF(S88&lt;0.5,"1-49%",IF(S88&lt;0.8,"50-79%",IF(S88&lt;1,"80-99%","100%"))))</x:f>
        <x:v>100%</x:v>
      </x:c>
      <x:c r="AD88" s="33" t="str">
        <x:f>IF(G88&lt;0,"Stock negativo",IF(G88&lt;=0,"Sin stock actual",IF(I88&lt;=0,"Sin ventas desde compra",IF(Q88&lt;=0,"Con stock, sin ventas 365d",IF(S88&lt;0.5,"Rotación baja",IF(S88&lt;1,"Rotación media","Compra absorbida; stock repuesto"))))))</x:f>
        <x:v>Con stock, sin ventas 365d</x:v>
      </x:c>
    </x:row>
    <x:row r="89">
      <x:c r="A89" s="31" t="str">
        <x:v>13266</x:v>
      </x:c>
      <x:c r="B89" s="53" t="str">
        <x:v>FAROLA ECO DELUXE AKITA</x:v>
      </x:c>
      <x:c r="C89" s="32" t="n">
        <x:v>1</x:v>
      </x:c>
      <x:c r="D89" s="38" t="n">
        <x:v>1</x:v>
      </x:c>
      <x:c r="E89" s="44" t="n">
        <x:v>32500</x:v>
      </x:c>
      <x:c r="F89" s="44" t="n">
        <x:v>32500</x:v>
      </x:c>
      <x:c r="G89" s="41" t="n">
        <x:v>1</x:v>
      </x:c>
      <x:c r="H89" s="44" t="n">
        <x:f>MAX(G89,0)*E89</x:f>
        <x:v>32500</x:v>
      </x:c>
      <x:c r="I89" s="38" t="n">
        <x:v>1</x:v>
      </x:c>
      <x:c r="J89" s="44" t="n">
        <x:v>40000</x:v>
      </x:c>
      <x:c r="K89" s="32" t="n">
        <x:v>1</x:v>
      </x:c>
      <x:c r="L89" s="50" t="n">
        <x:v>45594.81116898148</x:v>
      </x:c>
      <x:c r="M89" s="50" t="n">
        <x:v>45594.81116898148</x:v>
      </x:c>
      <x:c r="N89" s="32" t="n">
        <x:f>IF(M89="","",MAX(0,'Resumen'!$B$3-M89))</x:f>
        <x:v>672.1888310185168</x:v>
      </x:c>
      <x:c r="O89" s="38" t="n">
        <x:v>0</x:v>
      </x:c>
      <x:c r="P89" s="38" t="n">
        <x:v>0</x:v>
      </x:c>
      <x:c r="Q89" s="38" t="n">
        <x:v>0</x:v>
      </x:c>
      <x:c r="R89" s="38" t="n">
        <x:f>MIN(D89,I89)</x:f>
        <x:v>1</x:v>
      </x:c>
      <x:c r="S89" s="47" t="n">
        <x:f>IFERROR(R89/D89,0)</x:f>
        <x:v>1</x:v>
      </x:c>
      <x:c r="T89" s="38" t="n">
        <x:f>MIN(MAX(G89,0),MAX(D89-I89,0))</x:f>
        <x:v>0</x:v>
      </x:c>
      <x:c r="U89" s="44" t="n">
        <x:f>T89*E89</x:f>
        <x:v>0</x:v>
      </x:c>
      <x:c r="V89" s="38" t="n">
        <x:v>1</x:v>
      </x:c>
      <x:c r="W89" s="32" t="n">
        <x:v>1</x:v>
      </x:c>
      <x:c r="X89" s="50" t="n">
        <x:v>45722</x:v>
      </x:c>
      <x:c r="Y89" s="44" t="n">
        <x:v>54500</x:v>
      </x:c>
      <x:c r="Z89" s="44" t="n">
        <x:f>IF(I89&gt;0,R89*(J89/I89),0)</x:f>
        <x:v>40000</x:v>
      </x:c>
      <x:c r="AA89" s="44" t="n">
        <x:f>Z89-(R89*E89)</x:f>
        <x:v>7500</x:v>
      </x:c>
      <x:c r="AB89" s="47" t="n">
        <x:f>IFERROR(AA89/Z89,0)</x:f>
        <x:v>0.1875</x:v>
      </x:c>
      <x:c r="AC89" s="32" t="str">
        <x:f>IF(S89=0,"0%",IF(S89&lt;0.5,"1-49%",IF(S89&lt;0.8,"50-79%",IF(S89&lt;1,"80-99%","100%"))))</x:f>
        <x:v>100%</x:v>
      </x:c>
      <x:c r="AD89" s="33" t="str">
        <x:f>IF(G89&lt;0,"Stock negativo",IF(G89&lt;=0,"Sin stock actual",IF(I89&lt;=0,"Sin ventas desde compra",IF(Q89&lt;=0,"Con stock, sin ventas 365d",IF(S89&lt;0.5,"Rotación baja",IF(S89&lt;1,"Rotación media","Compra absorbida; stock repuesto"))))))</x:f>
        <x:v>Con stock, sin ventas 365d</x:v>
      </x:c>
    </x:row>
    <x:row r="90">
      <x:c r="A90" s="31" t="str">
        <x:v>GUA - 049195</x:v>
      </x:c>
      <x:c r="B90" s="53" t="str">
        <x:v>GUAYA RETORNO FZ 16 / FAZER 16 MN SYK</x:v>
      </x:c>
      <x:c r="C90" s="32" t="n">
        <x:v>1</x:v>
      </x:c>
      <x:c r="D90" s="38" t="n">
        <x:v>4</x:v>
      </x:c>
      <x:c r="E90" s="44" t="n">
        <x:v>8000</x:v>
      </x:c>
      <x:c r="F90" s="44" t="n">
        <x:v>32000</x:v>
      </x:c>
      <x:c r="G90" s="41" t="n">
        <x:v>4</x:v>
      </x:c>
      <x:c r="H90" s="44" t="n">
        <x:f>MAX(G90,0)*E90</x:f>
        <x:v>32000</x:v>
      </x:c>
      <x:c r="I90" s="38" t="n">
        <x:v>1</x:v>
      </x:c>
      <x:c r="J90" s="44" t="n">
        <x:v>12000</x:v>
      </x:c>
      <x:c r="K90" s="32" t="n">
        <x:v>1</x:v>
      </x:c>
      <x:c r="L90" s="50" t="n">
        <x:v>46029.87196759259</x:v>
      </x:c>
      <x:c r="M90" s="50" t="n">
        <x:v>46029.87196759259</x:v>
      </x:c>
      <x:c r="N90" s="32" t="n">
        <x:f>IF(M90="","",MAX(0,'Resumen'!$B$3-M90))</x:f>
        <x:v>237.1280324074105</x:v>
      </x:c>
      <x:c r="O90" s="38" t="n">
        <x:v>0</x:v>
      </x:c>
      <x:c r="P90" s="38" t="n">
        <x:v>0</x:v>
      </x:c>
      <x:c r="Q90" s="38" t="n">
        <x:v>1</x:v>
      </x:c>
      <x:c r="R90" s="38" t="n">
        <x:f>MIN(D90,I90)</x:f>
        <x:v>1</x:v>
      </x:c>
      <x:c r="S90" s="47" t="n">
        <x:f>IFERROR(R90/D90,0)</x:f>
        <x:v>0.25</x:v>
      </x:c>
      <x:c r="T90" s="38" t="n">
        <x:f>MIN(MAX(G90,0),MAX(D90-I90,0))</x:f>
        <x:v>3</x:v>
      </x:c>
      <x:c r="U90" s="44" t="n">
        <x:f>T90*E90</x:f>
        <x:v>24000</x:v>
      </x:c>
      <x:c r="V90" s="38" t="n">
        <x:v>1</x:v>
      </x:c>
      <x:c r="W90" s="32" t="n">
        <x:v>1</x:v>
      </x:c>
      <x:c r="X90" s="50" t="n">
        <x:v>45952</x:v>
      </x:c>
      <x:c r="Y90" s="44" t="n">
        <x:v>13500</x:v>
      </x:c>
      <x:c r="Z90" s="44" t="n">
        <x:f>IF(I90&gt;0,R90*(J90/I90),0)</x:f>
        <x:v>12000</x:v>
      </x:c>
      <x:c r="AA90" s="44" t="n">
        <x:f>Z90-(R90*E90)</x:f>
        <x:v>4000</x:v>
      </x:c>
      <x:c r="AB90" s="47" t="n">
        <x:f>IFERROR(AA90/Z90,0)</x:f>
        <x:v>0.3333333333333333</x:v>
      </x:c>
      <x:c r="AC90" s="32" t="str">
        <x:f>IF(S90=0,"0%",IF(S90&lt;0.5,"1-49%",IF(S90&lt;0.8,"50-79%",IF(S90&lt;1,"80-99%","100%"))))</x:f>
        <x:v>1-49%</x:v>
      </x:c>
      <x:c r="AD90" s="33" t="str">
        <x:f>IF(G90&lt;0,"Stock negativo",IF(G90&lt;=0,"Sin stock actual",IF(I90&lt;=0,"Sin ventas desde compra",IF(Q90&lt;=0,"Con stock, sin ventas 365d",IF(S90&lt;0.5,"Rotación baja",IF(S90&lt;1,"Rotación media","Compra absorbida; stock repuesto"))))))</x:f>
        <x:v>Rotación baja</x:v>
      </x:c>
    </x:row>
    <x:row r="91">
      <x:c r="A91" s="31" t="str">
        <x:v>MOTS1040</x:v>
      </x:c>
      <x:c r="B91" s="53" t="str">
        <x:v>RETEN 22-35-7</x:v>
      </x:c>
      <x:c r="C91" s="32" t="n">
        <x:v>1</x:v>
      </x:c>
      <x:c r="D91" s="38" t="n">
        <x:v>16</x:v>
      </x:c>
      <x:c r="E91" s="44" t="n">
        <x:v>2000</x:v>
      </x:c>
      <x:c r="F91" s="44" t="n">
        <x:v>32000</x:v>
      </x:c>
      <x:c r="G91" s="41" t="n">
        <x:v>16</x:v>
      </x:c>
      <x:c r="H91" s="44" t="n">
        <x:f>MAX(G91,0)*E91</x:f>
        <x:v>32000</x:v>
      </x:c>
      <x:c r="I91" s="38" t="n">
        <x:v>0</x:v>
      </x:c>
      <x:c r="J91" s="44" t="n">
        <x:v>0</x:v>
      </x:c>
      <x:c r="K91" s="32" t="n">
        <x:v>0</x:v>
      </x:c>
      <x:c r="L91" s="50"/>
      <x:c r="M91" s="50"/>
      <x:c r="N91" s="32" t="str">
        <x:f>IF(M91="","",MAX(0,'Resumen'!$B$3-M91))</x:f>
      </x:c>
      <x:c r="O91" s="38" t="n">
        <x:v>0</x:v>
      </x:c>
      <x:c r="P91" s="38" t="n">
        <x:v>0</x:v>
      </x:c>
      <x:c r="Q91" s="38" t="n">
        <x:v>0</x:v>
      </x:c>
      <x:c r="R91" s="38" t="n">
        <x:f>MIN(D91,I91)</x:f>
        <x:v>0</x:v>
      </x:c>
      <x:c r="S91" s="47" t="n">
        <x:f>IFERROR(R91/D91,0)</x:f>
        <x:v>0</x:v>
      </x:c>
      <x:c r="T91" s="38" t="n">
        <x:f>MIN(MAX(G91,0),MAX(D91-I91,0))</x:f>
        <x:v>16</x:v>
      </x:c>
      <x:c r="U91" s="44" t="n">
        <x:f>T91*E91</x:f>
        <x:v>32000</x:v>
      </x:c>
      <x:c r="V91" s="38" t="n">
        <x:v>0</x:v>
      </x:c>
      <x:c r="W91" s="32" t="n">
        <x:v>0</x:v>
      </x:c>
      <x:c r="X91" s="50"/>
      <x:c r="Y91" s="44" t="n">
        <x:v>3500</x:v>
      </x:c>
      <x:c r="Z91" s="44" t="n">
        <x:f>IF(I91&gt;0,R91*(J91/I91),0)</x:f>
        <x:v>0</x:v>
      </x:c>
      <x:c r="AA91" s="44" t="n">
        <x:f>Z91-(R91*E91)</x:f>
        <x:v>0</x:v>
      </x:c>
      <x:c r="AB91" s="47" t="n">
        <x:f>IFERROR(AA91/Z91,0)</x:f>
        <x:v>0</x:v>
      </x:c>
      <x:c r="AC91" s="32" t="str">
        <x:f>IF(S91=0,"0%",IF(S91&lt;0.5,"1-49%",IF(S91&lt;0.8,"50-79%",IF(S91&lt;1,"80-99%","100%"))))</x:f>
        <x:v>0%</x:v>
      </x:c>
      <x:c r="AD91" s="33" t="str">
        <x:f>IF(G91&lt;0,"Stock negativo",IF(G91&lt;=0,"Sin stock actual",IF(I91&lt;=0,"Sin ventas desde compra",IF(Q91&lt;=0,"Con stock, sin ventas 365d",IF(S91&lt;0.5,"Rotación baja",IF(S91&lt;1,"Rotación media","Compra absorbida; stock repuesto"))))))</x:f>
        <x:v>Sin ventas desde compra</x:v>
      </x:c>
    </x:row>
    <x:row r="92">
      <x:c r="A92" s="31" t="str">
        <x:v>MOTS1112</x:v>
      </x:c>
      <x:c r="B92" s="53" t="str">
        <x:v>PATA LATERAL CB110</x:v>
      </x:c>
      <x:c r="C92" s="32" t="n">
        <x:v>1</x:v>
      </x:c>
      <x:c r="D92" s="38" t="n">
        <x:v>4</x:v>
      </x:c>
      <x:c r="E92" s="44" t="n">
        <x:v>8000</x:v>
      </x:c>
      <x:c r="F92" s="44" t="n">
        <x:v>32000</x:v>
      </x:c>
      <x:c r="G92" s="41" t="n">
        <x:v>2</x:v>
      </x:c>
      <x:c r="H92" s="44" t="n">
        <x:f>MAX(G92,0)*E92</x:f>
        <x:v>16000</x:v>
      </x:c>
      <x:c r="I92" s="38" t="n">
        <x:v>2</x:v>
      </x:c>
      <x:c r="J92" s="44" t="n">
        <x:v>26500</x:v>
      </x:c>
      <x:c r="K92" s="32" t="n">
        <x:v>2</x:v>
      </x:c>
      <x:c r="L92" s="50" t="n">
        <x:v>45537.93090277778</x:v>
      </x:c>
      <x:c r="M92" s="50" t="n">
        <x:v>45770.80265046296</x:v>
      </x:c>
      <x:c r="N92" s="32" t="n">
        <x:f>IF(M92="","",MAX(0,'Resumen'!$B$3-M92))</x:f>
        <x:v>496.1973495370403</x:v>
      </x:c>
      <x:c r="O92" s="38" t="n">
        <x:v>0</x:v>
      </x:c>
      <x:c r="P92" s="38" t="n">
        <x:v>0</x:v>
      </x:c>
      <x:c r="Q92" s="38" t="n">
        <x:v>0</x:v>
      </x:c>
      <x:c r="R92" s="38" t="n">
        <x:f>MIN(D92,I92)</x:f>
        <x:v>2</x:v>
      </x:c>
      <x:c r="S92" s="47" t="n">
        <x:f>IFERROR(R92/D92,0)</x:f>
        <x:v>0.5</x:v>
      </x:c>
      <x:c r="T92" s="38" t="n">
        <x:f>MIN(MAX(G92,0),MAX(D92-I92,0))</x:f>
        <x:v>2</x:v>
      </x:c>
      <x:c r="U92" s="44" t="n">
        <x:f>T92*E92</x:f>
        <x:v>16000</x:v>
      </x:c>
      <x:c r="V92" s="38" t="n">
        <x:v>0</x:v>
      </x:c>
      <x:c r="W92" s="32" t="n">
        <x:v>0</x:v>
      </x:c>
      <x:c r="X92" s="50"/>
      <x:c r="Y92" s="44" t="n">
        <x:v>13500</x:v>
      </x:c>
      <x:c r="Z92" s="44" t="n">
        <x:f>IF(I92&gt;0,R92*(J92/I92),0)</x:f>
        <x:v>26500</x:v>
      </x:c>
      <x:c r="AA92" s="44" t="n">
        <x:f>Z92-(R92*E92)</x:f>
        <x:v>10500</x:v>
      </x:c>
      <x:c r="AB92" s="47" t="n">
        <x:f>IFERROR(AA92/Z92,0)</x:f>
        <x:v>0.39622641509433965</x:v>
      </x:c>
      <x:c r="AC92" s="32" t="str">
        <x:f>IF(S92=0,"0%",IF(S92&lt;0.5,"1-49%",IF(S92&lt;0.8,"50-79%",IF(S92&lt;1,"80-99%","100%"))))</x:f>
        <x:v>50-79%</x:v>
      </x:c>
      <x:c r="AD92" s="33" t="str">
        <x:f>IF(G92&lt;0,"Stock negativo",IF(G92&lt;=0,"Sin stock actual",IF(I92&lt;=0,"Sin ventas desde compra",IF(Q92&lt;=0,"Con stock, sin ventas 365d",IF(S92&lt;0.5,"Rotación baja",IF(S92&lt;1,"Rotación media","Compra absorbida; stock repuesto"))))))</x:f>
        <x:v>Con stock, sin ventas 365d</x:v>
      </x:c>
    </x:row>
    <x:row r="93">
      <x:c r="A93" s="31" t="str">
        <x:v>MOTS1113</x:v>
      </x:c>
      <x:c r="B93" s="53" t="str">
        <x:v>PATA LATERAL VARIAS</x:v>
      </x:c>
      <x:c r="C93" s="32" t="n">
        <x:v>1</x:v>
      </x:c>
      <x:c r="D93" s="38" t="n">
        <x:v>4</x:v>
      </x:c>
      <x:c r="E93" s="44" t="n">
        <x:v>8000</x:v>
      </x:c>
      <x:c r="F93" s="44" t="n">
        <x:v>32000</x:v>
      </x:c>
      <x:c r="G93" s="41" t="n">
        <x:v>3</x:v>
      </x:c>
      <x:c r="H93" s="44" t="n">
        <x:f>MAX(G93,0)*E93</x:f>
        <x:v>24000</x:v>
      </x:c>
      <x:c r="I93" s="38" t="n">
        <x:v>2</x:v>
      </x:c>
      <x:c r="J93" s="44" t="n">
        <x:v>25500</x:v>
      </x:c>
      <x:c r="K93" s="32" t="n">
        <x:v>2</x:v>
      </x:c>
      <x:c r="L93" s="50" t="n">
        <x:v>45848.93324074074</x:v>
      </x:c>
      <x:c r="M93" s="50" t="n">
        <x:v>45875.98806712963</x:v>
      </x:c>
      <x:c r="N93" s="32" t="n">
        <x:f>IF(M93="","",MAX(0,'Resumen'!$B$3-M93))</x:f>
        <x:v>391.01193287037313</x:v>
      </x:c>
      <x:c r="O93" s="38" t="n">
        <x:v>0</x:v>
      </x:c>
      <x:c r="P93" s="38" t="n">
        <x:v>0</x:v>
      </x:c>
      <x:c r="Q93" s="38" t="n">
        <x:v>0</x:v>
      </x:c>
      <x:c r="R93" s="38" t="n">
        <x:f>MIN(D93,I93)</x:f>
        <x:v>2</x:v>
      </x:c>
      <x:c r="S93" s="47" t="n">
        <x:f>IFERROR(R93/D93,0)</x:f>
        <x:v>0.5</x:v>
      </x:c>
      <x:c r="T93" s="38" t="n">
        <x:f>MIN(MAX(G93,0),MAX(D93-I93,0))</x:f>
        <x:v>2</x:v>
      </x:c>
      <x:c r="U93" s="44" t="n">
        <x:f>T93*E93</x:f>
        <x:v>16000</x:v>
      </x:c>
      <x:c r="V93" s="38" t="n">
        <x:v>1</x:v>
      </x:c>
      <x:c r="W93" s="32" t="n">
        <x:v>1</x:v>
      </x:c>
      <x:c r="X93" s="50" t="n">
        <x:v>45844</x:v>
      </x:c>
      <x:c r="Y93" s="44" t="n">
        <x:v>13500</x:v>
      </x:c>
      <x:c r="Z93" s="44" t="n">
        <x:f>IF(I93&gt;0,R93*(J93/I93),0)</x:f>
        <x:v>25500</x:v>
      </x:c>
      <x:c r="AA93" s="44" t="n">
        <x:f>Z93-(R93*E93)</x:f>
        <x:v>9500</x:v>
      </x:c>
      <x:c r="AB93" s="47" t="n">
        <x:f>IFERROR(AA93/Z93,0)</x:f>
        <x:v>0.37254901960784315</x:v>
      </x:c>
      <x:c r="AC93" s="32" t="str">
        <x:f>IF(S93=0,"0%",IF(S93&lt;0.5,"1-49%",IF(S93&lt;0.8,"50-79%",IF(S93&lt;1,"80-99%","100%"))))</x:f>
        <x:v>50-79%</x:v>
      </x:c>
      <x:c r="AD93" s="33" t="str">
        <x:f>IF(G93&lt;0,"Stock negativo",IF(G93&lt;=0,"Sin stock actual",IF(I93&lt;=0,"Sin ventas desde compra",IF(Q93&lt;=0,"Con stock, sin ventas 365d",IF(S93&lt;0.5,"Rotación baja",IF(S93&lt;1,"Rotación media","Compra absorbida; stock repuesto"))))))</x:f>
        <x:v>Con stock, sin ventas 365d</x:v>
      </x:c>
    </x:row>
    <x:row r="94">
      <x:c r="A94" s="31" t="str">
        <x:v>MOTS1225</x:v>
      </x:c>
      <x:c r="B94" s="53" t="str">
        <x:v>BALINERA 6205 C3 KOYO</x:v>
      </x:c>
      <x:c r="C94" s="32" t="n">
        <x:v>1</x:v>
      </x:c>
      <x:c r="D94" s="38" t="n">
        <x:v>8</x:v>
      </x:c>
      <x:c r="E94" s="44" t="n">
        <x:v>4000</x:v>
      </x:c>
      <x:c r="F94" s="44" t="n">
        <x:v>32000</x:v>
      </x:c>
      <x:c r="G94" s="41" t="n">
        <x:v>4</x:v>
      </x:c>
      <x:c r="H94" s="44" t="n">
        <x:f>MAX(G94,0)*E94</x:f>
        <x:v>16000</x:v>
      </x:c>
      <x:c r="I94" s="38" t="n">
        <x:v>8</x:v>
      </x:c>
      <x:c r="J94" s="44" t="n">
        <x:v>134000</x:v>
      </x:c>
      <x:c r="K94" s="32" t="n">
        <x:v>5</x:v>
      </x:c>
      <x:c r="L94" s="50" t="n">
        <x:v>45585.72153935185</x:v>
      </x:c>
      <x:c r="M94" s="50" t="n">
        <x:v>45824.70982638889</x:v>
      </x:c>
      <x:c r="N94" s="32" t="n">
        <x:f>IF(M94="","",MAX(0,'Resumen'!$B$3-M94))</x:f>
        <x:v>442.2901736111089</x:v>
      </x:c>
      <x:c r="O94" s="38" t="n">
        <x:v>0</x:v>
      </x:c>
      <x:c r="P94" s="38" t="n">
        <x:v>0</x:v>
      </x:c>
      <x:c r="Q94" s="38" t="n">
        <x:v>0</x:v>
      </x:c>
      <x:c r="R94" s="38" t="n">
        <x:f>MIN(D94,I94)</x:f>
        <x:v>8</x:v>
      </x:c>
      <x:c r="S94" s="47" t="n">
        <x:f>IFERROR(R94/D94,0)</x:f>
        <x:v>1</x:v>
      </x:c>
      <x:c r="T94" s="38" t="n">
        <x:f>MIN(MAX(G94,0),MAX(D94-I94,0))</x:f>
        <x:v>0</x:v>
      </x:c>
      <x:c r="U94" s="44" t="n">
        <x:f>T94*E94</x:f>
        <x:v>0</x:v>
      </x:c>
      <x:c r="V94" s="38" t="n">
        <x:v>4</x:v>
      </x:c>
      <x:c r="W94" s="32" t="n">
        <x:v>2</x:v>
      </x:c>
      <x:c r="X94" s="50" t="n">
        <x:v>45621</x:v>
      </x:c>
      <x:c r="Y94" s="44" t="n">
        <x:v>17000</x:v>
      </x:c>
      <x:c r="Z94" s="44" t="n">
        <x:f>IF(I94&gt;0,R94*(J94/I94),0)</x:f>
        <x:v>134000</x:v>
      </x:c>
      <x:c r="AA94" s="44" t="n">
        <x:f>Z94-(R94*E94)</x:f>
        <x:v>102000</x:v>
      </x:c>
      <x:c r="AB94" s="47" t="n">
        <x:f>IFERROR(AA94/Z94,0)</x:f>
        <x:v>0.7611940298507462</x:v>
      </x:c>
      <x:c r="AC94" s="32" t="str">
        <x:f>IF(S94=0,"0%",IF(S94&lt;0.5,"1-49%",IF(S94&lt;0.8,"50-79%",IF(S94&lt;1,"80-99%","100%"))))</x:f>
        <x:v>100%</x:v>
      </x:c>
      <x:c r="AD94" s="33" t="str">
        <x:f>IF(G94&lt;0,"Stock negativo",IF(G94&lt;=0,"Sin stock actual",IF(I94&lt;=0,"Sin ventas desde compra",IF(Q94&lt;=0,"Con stock, sin ventas 365d",IF(S94&lt;0.5,"Rotación baja",IF(S94&lt;1,"Rotación media","Compra absorbida; stock repuesto"))))))</x:f>
        <x:v>Con stock, sin ventas 365d</x:v>
      </x:c>
    </x:row>
    <x:row r="95">
      <x:c r="A95" s="31" t="str">
        <x:v>CAU - 132</x:v>
      </x:c>
      <x:c r="B95" s="53" t="str">
        <x:v>CAUCHOS TORQUE DT 125</x:v>
      </x:c>
      <x:c r="C95" s="32" t="n">
        <x:v>1</x:v>
      </x:c>
      <x:c r="D95" s="38" t="n">
        <x:v>3</x:v>
      </x:c>
      <x:c r="E95" s="44" t="n">
        <x:v>10600</x:v>
      </x:c>
      <x:c r="F95" s="44" t="n">
        <x:v>31800</x:v>
      </x:c>
      <x:c r="G95" s="41" t="n">
        <x:v>2</x:v>
      </x:c>
      <x:c r="H95" s="44" t="n">
        <x:f>MAX(G95,0)*E95</x:f>
        <x:v>21200</x:v>
      </x:c>
      <x:c r="I95" s="38" t="n">
        <x:v>1</x:v>
      </x:c>
      <x:c r="J95" s="44" t="n">
        <x:v>18000</x:v>
      </x:c>
      <x:c r="K95" s="32" t="n">
        <x:v>1</x:v>
      </x:c>
      <x:c r="L95" s="50" t="n">
        <x:v>46033.66840277778</x:v>
      </x:c>
      <x:c r="M95" s="50" t="n">
        <x:v>46033.66840277778</x:v>
      </x:c>
      <x:c r="N95" s="32" t="n">
        <x:f>IF(M95="","",MAX(0,'Resumen'!$B$3-M95))</x:f>
        <x:v>233.331597222219</x:v>
      </x:c>
      <x:c r="O95" s="38" t="n">
        <x:v>0</x:v>
      </x:c>
      <x:c r="P95" s="38" t="n">
        <x:v>0</x:v>
      </x:c>
      <x:c r="Q95" s="38" t="n">
        <x:v>1</x:v>
      </x:c>
      <x:c r="R95" s="38" t="n">
        <x:f>MIN(D95,I95)</x:f>
        <x:v>1</x:v>
      </x:c>
      <x:c r="S95" s="47" t="n">
        <x:f>IFERROR(R95/D95,0)</x:f>
        <x:v>0.3333333333333333</x:v>
      </x:c>
      <x:c r="T95" s="38" t="n">
        <x:f>MIN(MAX(G95,0),MAX(D95-I95,0))</x:f>
        <x:v>2</x:v>
      </x:c>
      <x:c r="U95" s="44" t="n">
        <x:f>T95*E95</x:f>
        <x:v>21200</x:v>
      </x:c>
      <x:c r="V95" s="38" t="n">
        <x:v>0</x:v>
      </x:c>
      <x:c r="W95" s="32" t="n">
        <x:v>0</x:v>
      </x:c>
      <x:c r="X95" s="50"/>
      <x:c r="Y95" s="44" t="n">
        <x:v>18000</x:v>
      </x:c>
      <x:c r="Z95" s="44" t="n">
        <x:f>IF(I95&gt;0,R95*(J95/I95),0)</x:f>
        <x:v>18000</x:v>
      </x:c>
      <x:c r="AA95" s="44" t="n">
        <x:f>Z95-(R95*E95)</x:f>
        <x:v>7400</x:v>
      </x:c>
      <x:c r="AB95" s="47" t="n">
        <x:f>IFERROR(AA95/Z95,0)</x:f>
        <x:v>0.4111111111111111</x:v>
      </x:c>
      <x:c r="AC95" s="32" t="str">
        <x:f>IF(S95=0,"0%",IF(S95&lt;0.5,"1-49%",IF(S95&lt;0.8,"50-79%",IF(S95&lt;1,"80-99%","100%"))))</x:f>
        <x:v>1-49%</x:v>
      </x:c>
      <x:c r="AD95" s="33" t="str">
        <x:f>IF(G95&lt;0,"Stock negativo",IF(G95&lt;=0,"Sin stock actual",IF(I95&lt;=0,"Sin ventas desde compra",IF(Q95&lt;=0,"Con stock, sin ventas 365d",IF(S95&lt;0.5,"Rotación baja",IF(S95&lt;1,"Rotación media","Compra absorbida; stock repuesto"))))))</x:f>
        <x:v>Rotación baja</x:v>
      </x:c>
    </x:row>
    <x:row r="96">
      <x:c r="A96" s="31" t="str">
        <x:v>BAN - 010115</x:v>
      </x:c>
      <x:c r="B96" s="53" t="str">
        <x:v>BANDA FRENO TRA ECO DELUXE / SPLENDOR JAPAN</x:v>
      </x:c>
      <x:c r="C96" s="32" t="n">
        <x:v>1</x:v>
      </x:c>
      <x:c r="D96" s="38" t="n">
        <x:v>3</x:v>
      </x:c>
      <x:c r="E96" s="44" t="n">
        <x:v>10500</x:v>
      </x:c>
      <x:c r="F96" s="44" t="n">
        <x:v>31500</x:v>
      </x:c>
      <x:c r="G96" s="41" t="n">
        <x:v>0</x:v>
      </x:c>
      <x:c r="H96" s="44" t="n">
        <x:f>MAX(G96,0)*E96</x:f>
        <x:v>0</x:v>
      </x:c>
      <x:c r="I96" s="38" t="n">
        <x:v>3</x:v>
      </x:c>
      <x:c r="J96" s="44" t="n">
        <x:v>50500</x:v>
      </x:c>
      <x:c r="K96" s="32" t="n">
        <x:v>3</x:v>
      </x:c>
      <x:c r="L96" s="50" t="n">
        <x:v>45568.62446759259</x:v>
      </x:c>
      <x:c r="M96" s="50" t="n">
        <x:v>46065.566041666665</x:v>
      </x:c>
      <x:c r="N96" s="32" t="n">
        <x:f>IF(M96="","",MAX(0,'Resumen'!$B$3-M96))</x:f>
        <x:v>201.43395833333489</x:v>
      </x:c>
      <x:c r="O96" s="38" t="n">
        <x:v>0</x:v>
      </x:c>
      <x:c r="P96" s="38" t="n">
        <x:v>0</x:v>
      </x:c>
      <x:c r="Q96" s="38" t="n">
        <x:v>1</x:v>
      </x:c>
      <x:c r="R96" s="38" t="n">
        <x:f>MIN(D96,I96)</x:f>
        <x:v>3</x:v>
      </x:c>
      <x:c r="S96" s="47" t="n">
        <x:f>IFERROR(R96/D96,0)</x:f>
        <x:v>1</x:v>
      </x:c>
      <x:c r="T96" s="38" t="n">
        <x:f>MIN(MAX(G96,0),MAX(D96-I96,0))</x:f>
        <x:v>0</x:v>
      </x:c>
      <x:c r="U96" s="44" t="n">
        <x:f>T96*E96</x:f>
        <x:v>0</x:v>
      </x:c>
      <x:c r="V96" s="38" t="n">
        <x:v>0</x:v>
      </x:c>
      <x:c r="W96" s="32" t="n">
        <x:v>0</x:v>
      </x:c>
      <x:c r="X96" s="50"/>
      <x:c r="Y96" s="44" t="n">
        <x:v>17500</x:v>
      </x:c>
      <x:c r="Z96" s="44" t="n">
        <x:f>IF(I96&gt;0,R96*(J96/I96),0)</x:f>
        <x:v>50500</x:v>
      </x:c>
      <x:c r="AA96" s="44" t="n">
        <x:f>Z96-(R96*E96)</x:f>
        <x:v>19000</x:v>
      </x:c>
      <x:c r="AB96" s="47" t="n">
        <x:f>IFERROR(AA96/Z96,0)</x:f>
        <x:v>0.37623762376237624</x:v>
      </x:c>
      <x:c r="AC96" s="32" t="str">
        <x:f>IF(S96=0,"0%",IF(S96&lt;0.5,"1-49%",IF(S96&lt;0.8,"50-79%",IF(S96&lt;1,"80-99%","100%"))))</x:f>
        <x:v>100%</x:v>
      </x:c>
      <x:c r="AD96" s="33" t="str">
        <x:f>IF(G96&lt;0,"Stock negativo",IF(G96&lt;=0,"Sin stock actual",IF(I96&lt;=0,"Sin ventas desde compra",IF(Q96&lt;=0,"Con stock, sin ventas 365d",IF(S96&lt;0.5,"Rotación baja",IF(S96&lt;1,"Rotación media","Compra absorbida; stock repuesto"))))))</x:f>
        <x:v>Sin stock actual</x:v>
      </x:c>
    </x:row>
    <x:row r="97">
      <x:c r="A97" s="31" t="str">
        <x:v>MOTS1014</x:v>
      </x:c>
      <x:c r="B97" s="53" t="str">
        <x:v>HIDRAULICO 150 68 1/4 GALON LUGRAXOIL</x:v>
      </x:c>
      <x:c r="C97" s="32" t="n">
        <x:v>1</x:v>
      </x:c>
      <x:c r="D97" s="38" t="n">
        <x:v>3</x:v>
      </x:c>
      <x:c r="E97" s="44" t="n">
        <x:v>10500</x:v>
      </x:c>
      <x:c r="F97" s="44" t="n">
        <x:v>31500</x:v>
      </x:c>
      <x:c r="G97" s="41" t="n">
        <x:v>0</x:v>
      </x:c>
      <x:c r="H97" s="44" t="n">
        <x:f>MAX(G97,0)*E97</x:f>
        <x:v>0</x:v>
      </x:c>
      <x:c r="I97" s="38" t="n">
        <x:v>3</x:v>
      </x:c>
      <x:c r="J97" s="44" t="n">
        <x:v>45000</x:v>
      </x:c>
      <x:c r="K97" s="32" t="n">
        <x:v>3</x:v>
      </x:c>
      <x:c r="L97" s="50" t="n">
        <x:v>45586.550092592595</x:v>
      </x:c>
      <x:c r="M97" s="50" t="n">
        <x:v>45695.86131944445</x:v>
      </x:c>
      <x:c r="N97" s="32" t="n">
        <x:f>IF(M97="","",MAX(0,'Resumen'!$B$3-M97))</x:f>
        <x:v>571.1386805555521</x:v>
      </x:c>
      <x:c r="O97" s="38" t="n">
        <x:v>0</x:v>
      </x:c>
      <x:c r="P97" s="38" t="n">
        <x:v>0</x:v>
      </x:c>
      <x:c r="Q97" s="38" t="n">
        <x:v>0</x:v>
      </x:c>
      <x:c r="R97" s="38" t="n">
        <x:f>MIN(D97,I97)</x:f>
        <x:v>3</x:v>
      </x:c>
      <x:c r="S97" s="47" t="n">
        <x:f>IFERROR(R97/D97,0)</x:f>
        <x:v>1</x:v>
      </x:c>
      <x:c r="T97" s="38" t="n">
        <x:f>MIN(MAX(G97,0),MAX(D97-I97,0))</x:f>
        <x:v>0</x:v>
      </x:c>
      <x:c r="U97" s="44" t="n">
        <x:f>T97*E97</x:f>
        <x:v>0</x:v>
      </x:c>
      <x:c r="V97" s="38" t="n">
        <x:v>0</x:v>
      </x:c>
      <x:c r="W97" s="32" t="n">
        <x:v>0</x:v>
      </x:c>
      <x:c r="X97" s="50"/>
      <x:c r="Y97" s="44" t="n">
        <x:v>17500</x:v>
      </x:c>
      <x:c r="Z97" s="44" t="n">
        <x:f>IF(I97&gt;0,R97*(J97/I97),0)</x:f>
        <x:v>45000</x:v>
      </x:c>
      <x:c r="AA97" s="44" t="n">
        <x:f>Z97-(R97*E97)</x:f>
        <x:v>13500</x:v>
      </x:c>
      <x:c r="AB97" s="47" t="n">
        <x:f>IFERROR(AA97/Z97,0)</x:f>
        <x:v>0.3</x:v>
      </x:c>
      <x:c r="AC97" s="32" t="str">
        <x:f>IF(S97=0,"0%",IF(S97&lt;0.5,"1-49%",IF(S97&lt;0.8,"50-79%",IF(S97&lt;1,"80-99%","100%"))))</x:f>
        <x:v>100%</x:v>
      </x:c>
      <x:c r="AD97" s="33" t="str">
        <x:f>IF(G97&lt;0,"Stock negativo",IF(G97&lt;=0,"Sin stock actual",IF(I97&lt;=0,"Sin ventas desde compra",IF(Q97&lt;=0,"Con stock, sin ventas 365d",IF(S97&lt;0.5,"Rotación baja",IF(S97&lt;1,"Rotación media","Compra absorbida; stock repuesto"))))))</x:f>
        <x:v>Sin stock actual</x:v>
      </x:c>
    </x:row>
    <x:row r="98">
      <x:c r="A98" s="31" t="str">
        <x:v>MOTS1192</x:v>
      </x:c>
      <x:c r="B98" s="53" t="str">
        <x:v>VARRILLA FRENO TRASERO VARIAS</x:v>
      </x:c>
      <x:c r="C98" s="32" t="n">
        <x:v>1</x:v>
      </x:c>
      <x:c r="D98" s="38" t="n">
        <x:v>9</x:v>
      </x:c>
      <x:c r="E98" s="44" t="n">
        <x:v>3500</x:v>
      </x:c>
      <x:c r="F98" s="44" t="n">
        <x:v>31500</x:v>
      </x:c>
      <x:c r="G98" s="41" t="n">
        <x:v>8</x:v>
      </x:c>
      <x:c r="H98" s="44" t="n">
        <x:f>MAX(G98,0)*E98</x:f>
        <x:v>28000</x:v>
      </x:c>
      <x:c r="I98" s="38" t="n">
        <x:v>1</x:v>
      </x:c>
      <x:c r="J98" s="44" t="n">
        <x:v>6000</x:v>
      </x:c>
      <x:c r="K98" s="32" t="n">
        <x:v>1</x:v>
      </x:c>
      <x:c r="L98" s="50" t="n">
        <x:v>46065.88103009259</x:v>
      </x:c>
      <x:c r="M98" s="50" t="n">
        <x:v>46065.88103009259</x:v>
      </x:c>
      <x:c r="N98" s="32" t="n">
        <x:f>IF(M98="","",MAX(0,'Resumen'!$B$3-M98))</x:f>
        <x:v>201.11896990740934</x:v>
      </x:c>
      <x:c r="O98" s="38" t="n">
        <x:v>0</x:v>
      </x:c>
      <x:c r="P98" s="38" t="n">
        <x:v>0</x:v>
      </x:c>
      <x:c r="Q98" s="38" t="n">
        <x:v>1</x:v>
      </x:c>
      <x:c r="R98" s="38" t="n">
        <x:f>MIN(D98,I98)</x:f>
        <x:v>1</x:v>
      </x:c>
      <x:c r="S98" s="47" t="n">
        <x:f>IFERROR(R98/D98,0)</x:f>
        <x:v>0.1111111111111111</x:v>
      </x:c>
      <x:c r="T98" s="38" t="n">
        <x:f>MIN(MAX(G98,0),MAX(D98-I98,0))</x:f>
        <x:v>8</x:v>
      </x:c>
      <x:c r="U98" s="44" t="n">
        <x:f>T98*E98</x:f>
        <x:v>28000</x:v>
      </x:c>
      <x:c r="V98" s="38" t="n">
        <x:v>0</x:v>
      </x:c>
      <x:c r="W98" s="32" t="n">
        <x:v>0</x:v>
      </x:c>
      <x:c r="X98" s="50"/>
      <x:c r="Y98" s="44" t="n">
        <x:v>6000</x:v>
      </x:c>
      <x:c r="Z98" s="44" t="n">
        <x:f>IF(I98&gt;0,R98*(J98/I98),0)</x:f>
        <x:v>6000</x:v>
      </x:c>
      <x:c r="AA98" s="44" t="n">
        <x:f>Z98-(R98*E98)</x:f>
        <x:v>2500</x:v>
      </x:c>
      <x:c r="AB98" s="47" t="n">
        <x:f>IFERROR(AA98/Z98,0)</x:f>
        <x:v>0.4166666666666667</x:v>
      </x:c>
      <x:c r="AC98" s="32" t="str">
        <x:f>IF(S98=0,"0%",IF(S98&lt;0.5,"1-49%",IF(S98&lt;0.8,"50-79%",IF(S98&lt;1,"80-99%","100%"))))</x:f>
        <x:v>1-49%</x:v>
      </x:c>
      <x:c r="AD98" s="33" t="str">
        <x:f>IF(G98&lt;0,"Stock negativo",IF(G98&lt;=0,"Sin stock actual",IF(I98&lt;=0,"Sin ventas desde compra",IF(Q98&lt;=0,"Con stock, sin ventas 365d",IF(S98&lt;0.5,"Rotación baja",IF(S98&lt;1,"Rotación media","Compra absorbida; stock repuesto"))))))</x:f>
        <x:v>Rotación baja</x:v>
      </x:c>
    </x:row>
    <x:row r="99">
      <x:c r="A99" s="31" t="str">
        <x:v>MOTS1203</x:v>
      </x:c>
      <x:c r="B99" s="53" t="str">
        <x:v>CADENA 420 X 104L APM</x:v>
      </x:c>
      <x:c r="C99" s="32" t="n">
        <x:v>1</x:v>
      </x:c>
      <x:c r="D99" s="38" t="n">
        <x:v>3</x:v>
      </x:c>
      <x:c r="E99" s="44" t="n">
        <x:v>10500</x:v>
      </x:c>
      <x:c r="F99" s="44" t="n">
        <x:v>31500</x:v>
      </x:c>
      <x:c r="G99" s="41" t="n">
        <x:v>1</x:v>
      </x:c>
      <x:c r="H99" s="44" t="n">
        <x:f>MAX(G99,0)*E99</x:f>
        <x:v>10500</x:v>
      </x:c>
      <x:c r="I99" s="38" t="n">
        <x:v>2</x:v>
      </x:c>
      <x:c r="J99" s="44" t="n">
        <x:v>32500</x:v>
      </x:c>
      <x:c r="K99" s="32" t="n">
        <x:v>2</x:v>
      </x:c>
      <x:c r="L99" s="50" t="n">
        <x:v>46008.68087962963</x:v>
      </x:c>
      <x:c r="M99" s="50" t="n">
        <x:v>46055.775185185186</x:v>
      </x:c>
      <x:c r="N99" s="32" t="n">
        <x:f>IF(M99="","",MAX(0,'Resumen'!$B$3-M99))</x:f>
        <x:v>211.22481481481373</x:v>
      </x:c>
      <x:c r="O99" s="38" t="n">
        <x:v>0</x:v>
      </x:c>
      <x:c r="P99" s="38" t="n">
        <x:v>0</x:v>
      </x:c>
      <x:c r="Q99" s="38" t="n">
        <x:v>2</x:v>
      </x:c>
      <x:c r="R99" s="38" t="n">
        <x:f>MIN(D99,I99)</x:f>
        <x:v>2</x:v>
      </x:c>
      <x:c r="S99" s="47" t="n">
        <x:f>IFERROR(R99/D99,0)</x:f>
        <x:v>0.6666666666666666</x:v>
      </x:c>
      <x:c r="T99" s="38" t="n">
        <x:f>MIN(MAX(G99,0),MAX(D99-I99,0))</x:f>
        <x:v>1</x:v>
      </x:c>
      <x:c r="U99" s="44" t="n">
        <x:f>T99*E99</x:f>
        <x:v>10500</x:v>
      </x:c>
      <x:c r="V99" s="38" t="n">
        <x:v>0</x:v>
      </x:c>
      <x:c r="W99" s="32" t="n">
        <x:v>0</x:v>
      </x:c>
      <x:c r="X99" s="50"/>
      <x:c r="Y99" s="44" t="n">
        <x:v>17500</x:v>
      </x:c>
      <x:c r="Z99" s="44" t="n">
        <x:f>IF(I99&gt;0,R99*(J99/I99),0)</x:f>
        <x:v>32500</x:v>
      </x:c>
      <x:c r="AA99" s="44" t="n">
        <x:f>Z99-(R99*E99)</x:f>
        <x:v>11500</x:v>
      </x:c>
      <x:c r="AB99" s="47" t="n">
        <x:f>IFERROR(AA99/Z99,0)</x:f>
        <x:v>0.35384615384615387</x:v>
      </x:c>
      <x:c r="AC99" s="32" t="str">
        <x:f>IF(S99=0,"0%",IF(S99&lt;0.5,"1-49%",IF(S99&lt;0.8,"50-79%",IF(S99&lt;1,"80-99%","100%"))))</x:f>
        <x:v>50-79%</x:v>
      </x:c>
      <x:c r="AD99" s="33" t="str">
        <x:f>IF(G99&lt;0,"Stock negativo",IF(G99&lt;=0,"Sin stock actual",IF(I99&lt;=0,"Sin ventas desde compra",IF(Q99&lt;=0,"Con stock, sin ventas 365d",IF(S99&lt;0.5,"Rotación baja",IF(S99&lt;1,"Rotación media","Compra absorbida; stock repuesto"))))))</x:f>
        <x:v>Rotación media</x:v>
      </x:c>
    </x:row>
    <x:row r="100">
      <x:c r="A100" s="31" t="str">
        <x:v>DE0000386</x:v>
      </x:c>
      <x:c r="B100" s="53" t="str">
        <x:v>JUEGO TAPAS LATERALES AX AZUL DIFEL</x:v>
      </x:c>
      <x:c r="C100" s="32" t="n">
        <x:v>1</x:v>
      </x:c>
      <x:c r="D100" s="38" t="n">
        <x:v>2</x:v>
      </x:c>
      <x:c r="E100" s="44" t="n">
        <x:v>15000</x:v>
      </x:c>
      <x:c r="F100" s="44" t="n">
        <x:v>30000</x:v>
      </x:c>
      <x:c r="G100" s="41" t="n">
        <x:v>0</x:v>
      </x:c>
      <x:c r="H100" s="44" t="n">
        <x:f>MAX(G100,0)*E100</x:f>
        <x:v>0</x:v>
      </x:c>
      <x:c r="I100" s="38" t="n">
        <x:v>2</x:v>
      </x:c>
      <x:c r="J100" s="44" t="n">
        <x:v>43000</x:v>
      </x:c>
      <x:c r="K100" s="32" t="n">
        <x:v>2</x:v>
      </x:c>
      <x:c r="L100" s="50" t="n">
        <x:v>45734.867372685185</x:v>
      </x:c>
      <x:c r="M100" s="50" t="n">
        <x:v>45848.578738425924</x:v>
      </x:c>
      <x:c r="N100" s="32" t="n">
        <x:f>IF(M100="","",MAX(0,'Resumen'!$B$3-M100))</x:f>
        <x:v>418.4212615740762</x:v>
      </x:c>
      <x:c r="O100" s="38" t="n">
        <x:v>0</x:v>
      </x:c>
      <x:c r="P100" s="38" t="n">
        <x:v>0</x:v>
      </x:c>
      <x:c r="Q100" s="38" t="n">
        <x:v>0</x:v>
      </x:c>
      <x:c r="R100" s="38" t="n">
        <x:f>MIN(D100,I100)</x:f>
        <x:v>2</x:v>
      </x:c>
      <x:c r="S100" s="47" t="n">
        <x:f>IFERROR(R100/D100,0)</x:f>
        <x:v>1</x:v>
      </x:c>
      <x:c r="T100" s="38" t="n">
        <x:f>MIN(MAX(G100,0),MAX(D100-I100,0))</x:f>
        <x:v>0</x:v>
      </x:c>
      <x:c r="U100" s="44" t="n">
        <x:f>T100*E100</x:f>
        <x:v>0</x:v>
      </x:c>
      <x:c r="V100" s="38" t="n">
        <x:v>0</x:v>
      </x:c>
      <x:c r="W100" s="32" t="n">
        <x:v>0</x:v>
      </x:c>
      <x:c r="X100" s="50"/>
      <x:c r="Y100" s="44" t="n">
        <x:v>25000</x:v>
      </x:c>
      <x:c r="Z100" s="44" t="n">
        <x:f>IF(I100&gt;0,R100*(J100/I100),0)</x:f>
        <x:v>43000</x:v>
      </x:c>
      <x:c r="AA100" s="44" t="n">
        <x:f>Z100-(R100*E100)</x:f>
        <x:v>13000</x:v>
      </x:c>
      <x:c r="AB100" s="47" t="n">
        <x:f>IFERROR(AA100/Z100,0)</x:f>
        <x:v>0.3023255813953488</x:v>
      </x:c>
      <x:c r="AC100" s="32" t="str">
        <x:f>IF(S100=0,"0%",IF(S100&lt;0.5,"1-49%",IF(S100&lt;0.8,"50-79%",IF(S100&lt;1,"80-99%","100%"))))</x:f>
        <x:v>100%</x:v>
      </x:c>
      <x:c r="AD100" s="33" t="str">
        <x:f>IF(G100&lt;0,"Stock negativo",IF(G100&lt;=0,"Sin stock actual",IF(I100&lt;=0,"Sin ventas desde compra",IF(Q100&lt;=0,"Con stock, sin ventas 365d",IF(S100&lt;0.5,"Rotación baja",IF(S100&lt;1,"Rotación media","Compra absorbida; stock repuesto"))))))</x:f>
        <x:v>Sin stock actual</x:v>
      </x:c>
    </x:row>
    <x:row r="101">
      <x:c r="A101" s="31" t="str">
        <x:v>ESC - 061</x:v>
      </x:c>
      <x:c r="B101" s="53" t="str">
        <x:v>ESCOBILLAS ARRANQUE XT2 125 YAMAHA</x:v>
      </x:c>
      <x:c r="C101" s="32" t="n">
        <x:v>1</x:v>
      </x:c>
      <x:c r="D101" s="38" t="n">
        <x:v>5</x:v>
      </x:c>
      <x:c r="E101" s="44" t="n">
        <x:v>6000</x:v>
      </x:c>
      <x:c r="F101" s="44" t="n">
        <x:v>30000</x:v>
      </x:c>
      <x:c r="G101" s="41" t="n">
        <x:v>3</x:v>
      </x:c>
      <x:c r="H101" s="44" t="n">
        <x:f>MAX(G101,0)*E101</x:f>
        <x:v>18000</x:v>
      </x:c>
      <x:c r="I101" s="38" t="n">
        <x:v>2</x:v>
      </x:c>
      <x:c r="J101" s="44" t="n">
        <x:v>20000</x:v>
      </x:c>
      <x:c r="K101" s="32" t="n">
        <x:v>2</x:v>
      </x:c>
      <x:c r="L101" s="50" t="n">
        <x:v>45502.82179398148</x:v>
      </x:c>
      <x:c r="M101" s="50" t="n">
        <x:v>45568.62446759259</x:v>
      </x:c>
      <x:c r="N101" s="32" t="n">
        <x:f>IF(M101="","",MAX(0,'Resumen'!$B$3-M101))</x:f>
        <x:v>698.3755324074082</x:v>
      </x:c>
      <x:c r="O101" s="38" t="n">
        <x:v>0</x:v>
      </x:c>
      <x:c r="P101" s="38" t="n">
        <x:v>0</x:v>
      </x:c>
      <x:c r="Q101" s="38" t="n">
        <x:v>0</x:v>
      </x:c>
      <x:c r="R101" s="38" t="n">
        <x:f>MIN(D101,I101)</x:f>
        <x:v>2</x:v>
      </x:c>
      <x:c r="S101" s="47" t="n">
        <x:f>IFERROR(R101/D101,0)</x:f>
        <x:v>0.4</x:v>
      </x:c>
      <x:c r="T101" s="38" t="n">
        <x:f>MIN(MAX(G101,0),MAX(D101-I101,0))</x:f>
        <x:v>3</x:v>
      </x:c>
      <x:c r="U101" s="44" t="n">
        <x:f>T101*E101</x:f>
        <x:v>18000</x:v>
      </x:c>
      <x:c r="V101" s="38" t="n">
        <x:v>0</x:v>
      </x:c>
      <x:c r="W101" s="32" t="n">
        <x:v>0</x:v>
      </x:c>
      <x:c r="X101" s="50"/>
      <x:c r="Y101" s="44" t="n">
        <x:v>10000</x:v>
      </x:c>
      <x:c r="Z101" s="44" t="n">
        <x:f>IF(I101&gt;0,R101*(J101/I101),0)</x:f>
        <x:v>20000</x:v>
      </x:c>
      <x:c r="AA101" s="44" t="n">
        <x:f>Z101-(R101*E101)</x:f>
        <x:v>8000</x:v>
      </x:c>
      <x:c r="AB101" s="47" t="n">
        <x:f>IFERROR(AA101/Z101,0)</x:f>
        <x:v>0.4</x:v>
      </x:c>
      <x:c r="AC101" s="32" t="str">
        <x:f>IF(S101=0,"0%",IF(S101&lt;0.5,"1-49%",IF(S101&lt;0.8,"50-79%",IF(S101&lt;1,"80-99%","100%"))))</x:f>
        <x:v>1-49%</x:v>
      </x:c>
      <x:c r="AD101" s="33" t="str">
        <x:f>IF(G101&lt;0,"Stock negativo",IF(G101&lt;=0,"Sin stock actual",IF(I101&lt;=0,"Sin ventas desde compra",IF(Q101&lt;=0,"Con stock, sin ventas 365d",IF(S101&lt;0.5,"Rotación baja",IF(S101&lt;1,"Rotación media","Compra absorbida; stock repuesto"))))))</x:f>
        <x:v>Con stock, sin ventas 365d</x:v>
      </x:c>
    </x:row>
    <x:row r="102">
      <x:c r="A102" s="31" t="str">
        <x:v>MOTS1039</x:v>
      </x:c>
      <x:c r="B102" s="53" t="str">
        <x:v>RETEN 18-9-30-5</x:v>
      </x:c>
      <x:c r="C102" s="32" t="n">
        <x:v>1</x:v>
      </x:c>
      <x:c r="D102" s="38" t="n">
        <x:v>20</x:v>
      </x:c>
      <x:c r="E102" s="44" t="n">
        <x:v>1500</x:v>
      </x:c>
      <x:c r="F102" s="44" t="n">
        <x:v>30000</x:v>
      </x:c>
      <x:c r="G102" s="41" t="n">
        <x:v>6</x:v>
      </x:c>
      <x:c r="H102" s="44" t="n">
        <x:f>MAX(G102,0)*E102</x:f>
        <x:v>9000</x:v>
      </x:c>
      <x:c r="I102" s="38" t="n">
        <x:v>20</x:v>
      </x:c>
      <x:c r="J102" s="44" t="n">
        <x:v>48500</x:v>
      </x:c>
      <x:c r="K102" s="32" t="n">
        <x:v>20</x:v>
      </x:c>
      <x:c r="L102" s="50" t="n">
        <x:v>45606.613287037035</x:v>
      </x:c>
      <x:c r="M102" s="50" t="n">
        <x:v>46004.71679398148</x:v>
      </x:c>
      <x:c r="N102" s="32" t="n">
        <x:f>IF(M102="","",MAX(0,'Resumen'!$B$3-M102))</x:f>
        <x:v>262.2832060185174</x:v>
      </x:c>
      <x:c r="O102" s="38" t="n">
        <x:v>0</x:v>
      </x:c>
      <x:c r="P102" s="38" t="n">
        <x:v>0</x:v>
      </x:c>
      <x:c r="Q102" s="38" t="n">
        <x:v>1</x:v>
      </x:c>
      <x:c r="R102" s="38" t="n">
        <x:f>MIN(D102,I102)</x:f>
        <x:v>20</x:v>
      </x:c>
      <x:c r="S102" s="47" t="n">
        <x:f>IFERROR(R102/D102,0)</x:f>
        <x:v>1</x:v>
      </x:c>
      <x:c r="T102" s="38" t="n">
        <x:f>MIN(MAX(G102,0),MAX(D102-I102,0))</x:f>
        <x:v>0</x:v>
      </x:c>
      <x:c r="U102" s="44" t="n">
        <x:f>T102*E102</x:f>
        <x:v>0</x:v>
      </x:c>
      <x:c r="V102" s="38" t="n">
        <x:v>6</x:v>
      </x:c>
      <x:c r="W102" s="32" t="n">
        <x:v>6</x:v>
      </x:c>
      <x:c r="X102" s="50" t="n">
        <x:v>45954</x:v>
      </x:c>
      <x:c r="Y102" s="44" t="n">
        <x:v>2500</x:v>
      </x:c>
      <x:c r="Z102" s="44" t="n">
        <x:f>IF(I102&gt;0,R102*(J102/I102),0)</x:f>
        <x:v>48500</x:v>
      </x:c>
      <x:c r="AA102" s="44" t="n">
        <x:f>Z102-(R102*E102)</x:f>
        <x:v>18500</x:v>
      </x:c>
      <x:c r="AB102" s="47" t="n">
        <x:f>IFERROR(AA102/Z102,0)</x:f>
        <x:v>0.38144329896907214</x:v>
      </x:c>
      <x:c r="AC102" s="32" t="str">
        <x:f>IF(S102=0,"0%",IF(S102&lt;0.5,"1-49%",IF(S102&lt;0.8,"50-79%",IF(S102&lt;1,"80-99%","100%"))))</x:f>
        <x:v>100%</x:v>
      </x:c>
      <x:c r="AD102" s="33" t="str">
        <x:f>IF(G102&lt;0,"Stock negativo",IF(G102&lt;=0,"Sin stock actual",IF(I102&lt;=0,"Sin ventas desde compra",IF(Q102&lt;=0,"Con stock, sin ventas 365d",IF(S102&lt;0.5,"Rotación baja",IF(S102&lt;1,"Rotación media","Compra absorbida; stock repuesto"))))))</x:f>
        <x:v>Compra absorbida; stock repuesto</x:v>
      </x:c>
    </x:row>
    <x:row r="103">
      <x:c r="A103" s="31" t="str">
        <x:v>MOTS1053</x:v>
      </x:c>
      <x:c r="B103" s="53" t="str">
        <x:v>RETEN 21-40-7</x:v>
      </x:c>
      <x:c r="C103" s="32" t="n">
        <x:v>1</x:v>
      </x:c>
      <x:c r="D103" s="38" t="n">
        <x:v>10</x:v>
      </x:c>
      <x:c r="E103" s="44" t="n">
        <x:v>3000</x:v>
      </x:c>
      <x:c r="F103" s="44" t="n">
        <x:v>30000</x:v>
      </x:c>
      <x:c r="G103" s="41" t="n">
        <x:v>10</x:v>
      </x:c>
      <x:c r="H103" s="44" t="n">
        <x:f>MAX(G103,0)*E103</x:f>
        <x:v>30000</x:v>
      </x:c>
      <x:c r="I103" s="38" t="n">
        <x:v>0</x:v>
      </x:c>
      <x:c r="J103" s="44" t="n">
        <x:v>0</x:v>
      </x:c>
      <x:c r="K103" s="32" t="n">
        <x:v>0</x:v>
      </x:c>
      <x:c r="L103" s="50"/>
      <x:c r="M103" s="50"/>
      <x:c r="N103" s="32" t="str">
        <x:f>IF(M103="","",MAX(0,'Resumen'!$B$3-M103))</x:f>
      </x:c>
      <x:c r="O103" s="38" t="n">
        <x:v>0</x:v>
      </x:c>
      <x:c r="P103" s="38" t="n">
        <x:v>0</x:v>
      </x:c>
      <x:c r="Q103" s="38" t="n">
        <x:v>0</x:v>
      </x:c>
      <x:c r="R103" s="38" t="n">
        <x:f>MIN(D103,I103)</x:f>
        <x:v>0</x:v>
      </x:c>
      <x:c r="S103" s="47" t="n">
        <x:f>IFERROR(R103/D103,0)</x:f>
        <x:v>0</x:v>
      </x:c>
      <x:c r="T103" s="38" t="n">
        <x:f>MIN(MAX(G103,0),MAX(D103-I103,0))</x:f>
        <x:v>10</x:v>
      </x:c>
      <x:c r="U103" s="44" t="n">
        <x:f>T103*E103</x:f>
        <x:v>30000</x:v>
      </x:c>
      <x:c r="V103" s="38" t="n">
        <x:v>0</x:v>
      </x:c>
      <x:c r="W103" s="32" t="n">
        <x:v>0</x:v>
      </x:c>
      <x:c r="X103" s="50"/>
      <x:c r="Y103" s="44" t="n">
        <x:v>5000</x:v>
      </x:c>
      <x:c r="Z103" s="44" t="n">
        <x:f>IF(I103&gt;0,R103*(J103/I103),0)</x:f>
        <x:v>0</x:v>
      </x:c>
      <x:c r="AA103" s="44" t="n">
        <x:f>Z103-(R103*E103)</x:f>
        <x:v>0</x:v>
      </x:c>
      <x:c r="AB103" s="47" t="n">
        <x:f>IFERROR(AA103/Z103,0)</x:f>
        <x:v>0</x:v>
      </x:c>
      <x:c r="AC103" s="32" t="str">
        <x:f>IF(S103=0,"0%",IF(S103&lt;0.5,"1-49%",IF(S103&lt;0.8,"50-79%",IF(S103&lt;1,"80-99%","100%"))))</x:f>
        <x:v>0%</x:v>
      </x:c>
      <x:c r="AD103" s="33" t="str">
        <x:f>IF(G103&lt;0,"Stock negativo",IF(G103&lt;=0,"Sin stock actual",IF(I103&lt;=0,"Sin ventas desde compra",IF(Q103&lt;=0,"Con stock, sin ventas 365d",IF(S103&lt;0.5,"Rotación baja",IF(S103&lt;1,"Rotación media","Compra absorbida; stock repuesto"))))))</x:f>
        <x:v>Sin ventas desde compra</x:v>
      </x:c>
    </x:row>
    <x:row r="104">
      <x:c r="A104" s="31" t="str">
        <x:v>MOTS1063</x:v>
      </x:c>
      <x:c r="B104" s="53" t="str">
        <x:v>RETEN 26-36-10-5</x:v>
      </x:c>
      <x:c r="C104" s="32" t="n">
        <x:v>1</x:v>
      </x:c>
      <x:c r="D104" s="38" t="n">
        <x:v>10</x:v>
      </x:c>
      <x:c r="E104" s="44" t="n">
        <x:v>3000</x:v>
      </x:c>
      <x:c r="F104" s="44" t="n">
        <x:v>30000</x:v>
      </x:c>
      <x:c r="G104" s="41" t="n">
        <x:v>8</x:v>
      </x:c>
      <x:c r="H104" s="44" t="n">
        <x:f>MAX(G104,0)*E104</x:f>
        <x:v>24000</x:v>
      </x:c>
      <x:c r="I104" s="38" t="n">
        <x:v>2</x:v>
      </x:c>
      <x:c r="J104" s="44" t="n">
        <x:v>10000</x:v>
      </x:c>
      <x:c r="K104" s="32" t="n">
        <x:v>1</x:v>
      </x:c>
      <x:c r="L104" s="50" t="n">
        <x:v>45583.798310185186</x:v>
      </x:c>
      <x:c r="M104" s="50" t="n">
        <x:v>45583.798310185186</x:v>
      </x:c>
      <x:c r="N104" s="32" t="n">
        <x:f>IF(M104="","",MAX(0,'Resumen'!$B$3-M104))</x:f>
        <x:v>683.201689814814</x:v>
      </x:c>
      <x:c r="O104" s="38" t="n">
        <x:v>0</x:v>
      </x:c>
      <x:c r="P104" s="38" t="n">
        <x:v>0</x:v>
      </x:c>
      <x:c r="Q104" s="38" t="n">
        <x:v>0</x:v>
      </x:c>
      <x:c r="R104" s="38" t="n">
        <x:f>MIN(D104,I104)</x:f>
        <x:v>2</x:v>
      </x:c>
      <x:c r="S104" s="47" t="n">
        <x:f>IFERROR(R104/D104,0)</x:f>
        <x:v>0.2</x:v>
      </x:c>
      <x:c r="T104" s="38" t="n">
        <x:f>MIN(MAX(G104,0),MAX(D104-I104,0))</x:f>
        <x:v>8</x:v>
      </x:c>
      <x:c r="U104" s="44" t="n">
        <x:f>T104*E104</x:f>
        <x:v>24000</x:v>
      </x:c>
      <x:c r="V104" s="38" t="n">
        <x:v>0</x:v>
      </x:c>
      <x:c r="W104" s="32" t="n">
        <x:v>0</x:v>
      </x:c>
      <x:c r="X104" s="50"/>
      <x:c r="Y104" s="44" t="n">
        <x:v>5000</x:v>
      </x:c>
      <x:c r="Z104" s="44" t="n">
        <x:f>IF(I104&gt;0,R104*(J104/I104),0)</x:f>
        <x:v>10000</x:v>
      </x:c>
      <x:c r="AA104" s="44" t="n">
        <x:f>Z104-(R104*E104)</x:f>
        <x:v>4000</x:v>
      </x:c>
      <x:c r="AB104" s="47" t="n">
        <x:f>IFERROR(AA104/Z104,0)</x:f>
        <x:v>0.4</x:v>
      </x:c>
      <x:c r="AC104" s="32" t="str">
        <x:f>IF(S104=0,"0%",IF(S104&lt;0.5,"1-49%",IF(S104&lt;0.8,"50-79%",IF(S104&lt;1,"80-99%","100%"))))</x:f>
        <x:v>1-49%</x:v>
      </x:c>
      <x:c r="AD104" s="33" t="str">
        <x:f>IF(G104&lt;0,"Stock negativo",IF(G104&lt;=0,"Sin stock actual",IF(I104&lt;=0,"Sin ventas desde compra",IF(Q104&lt;=0,"Con stock, sin ventas 365d",IF(S104&lt;0.5,"Rotación baja",IF(S104&lt;1,"Rotación media","Compra absorbida; stock repuesto"))))))</x:f>
        <x:v>Con stock, sin ventas 365d</x:v>
      </x:c>
    </x:row>
    <x:row r="105">
      <x:c r="A105" s="31" t="str">
        <x:v>MOTS1067</x:v>
      </x:c>
      <x:c r="B105" s="53" t="str">
        <x:v>RETEN 26-37-10-5</x:v>
      </x:c>
      <x:c r="C105" s="32" t="n">
        <x:v>1</x:v>
      </x:c>
      <x:c r="D105" s="38" t="n">
        <x:v>15</x:v>
      </x:c>
      <x:c r="E105" s="44" t="n">
        <x:v>2000</x:v>
      </x:c>
      <x:c r="F105" s="44" t="n">
        <x:v>30000</x:v>
      </x:c>
      <x:c r="G105" s="41" t="n">
        <x:v>0</x:v>
      </x:c>
      <x:c r="H105" s="44" t="n">
        <x:f>MAX(G105,0)*E105</x:f>
        <x:v>0</x:v>
      </x:c>
      <x:c r="I105" s="38" t="n">
        <x:v>17</x:v>
      </x:c>
      <x:c r="J105" s="44" t="n">
        <x:v>61000</x:v>
      </x:c>
      <x:c r="K105" s="32" t="n">
        <x:v>10</x:v>
      </x:c>
      <x:c r="L105" s="50" t="n">
        <x:v>45575.78984953704</x:v>
      </x:c>
      <x:c r="M105" s="50" t="n">
        <x:v>45890.602951388886</x:v>
      </x:c>
      <x:c r="N105" s="32" t="n">
        <x:f>IF(M105="","",MAX(0,'Resumen'!$B$3-M105))</x:f>
        <x:v>376.39704861111386</x:v>
      </x:c>
      <x:c r="O105" s="38" t="n">
        <x:v>0</x:v>
      </x:c>
      <x:c r="P105" s="38" t="n">
        <x:v>0</x:v>
      </x:c>
      <x:c r="Q105" s="38" t="n">
        <x:v>0</x:v>
      </x:c>
      <x:c r="R105" s="38" t="n">
        <x:f>MIN(D105,I105)</x:f>
        <x:v>15</x:v>
      </x:c>
      <x:c r="S105" s="47" t="n">
        <x:f>IFERROR(R105/D105,0)</x:f>
        <x:v>1</x:v>
      </x:c>
      <x:c r="T105" s="38" t="n">
        <x:f>MIN(MAX(G105,0),MAX(D105-I105,0))</x:f>
        <x:v>0</x:v>
      </x:c>
      <x:c r="U105" s="44" t="n">
        <x:f>T105*E105</x:f>
        <x:v>0</x:v>
      </x:c>
      <x:c r="V105" s="38" t="n">
        <x:v>2</x:v>
      </x:c>
      <x:c r="W105" s="32" t="n">
        <x:v>1</x:v>
      </x:c>
      <x:c r="X105" s="50" t="n">
        <x:v>45748</x:v>
      </x:c>
      <x:c r="Y105" s="44" t="n">
        <x:v>3500</x:v>
      </x:c>
      <x:c r="Z105" s="44" t="n">
        <x:f>IF(I105&gt;0,R105*(J105/I105),0)</x:f>
        <x:v>53823.5294117647</x:v>
      </x:c>
      <x:c r="AA105" s="44" t="n">
        <x:f>Z105-(R105*E105)</x:f>
        <x:v>23823.5294117647</x:v>
      </x:c>
      <x:c r="AB105" s="47" t="n">
        <x:f>IFERROR(AA105/Z105,0)</x:f>
        <x:v>0.44262295081967207</x:v>
      </x:c>
      <x:c r="AC105" s="32" t="str">
        <x:f>IF(S105=0,"0%",IF(S105&lt;0.5,"1-49%",IF(S105&lt;0.8,"50-79%",IF(S105&lt;1,"80-99%","100%"))))</x:f>
        <x:v>100%</x:v>
      </x:c>
      <x:c r="AD105" s="33" t="str">
        <x:f>IF(G105&lt;0,"Stock negativo",IF(G105&lt;=0,"Sin stock actual",IF(I105&lt;=0,"Sin ventas desde compra",IF(Q105&lt;=0,"Con stock, sin ventas 365d",IF(S105&lt;0.5,"Rotación baja",IF(S105&lt;1,"Rotación media","Compra absorbida; stock repuesto"))))))</x:f>
        <x:v>Sin stock actual</x:v>
      </x:c>
    </x:row>
    <x:row r="106">
      <x:c r="A106" s="31" t="str">
        <x:v>MOTS1070</x:v>
      </x:c>
      <x:c r="B106" s="53" t="str">
        <x:v>RETEN 30-45-11</x:v>
      </x:c>
      <x:c r="C106" s="32" t="n">
        <x:v>1</x:v>
      </x:c>
      <x:c r="D106" s="38" t="n">
        <x:v>10</x:v>
      </x:c>
      <x:c r="E106" s="44" t="n">
        <x:v>3000</x:v>
      </x:c>
      <x:c r="F106" s="44" t="n">
        <x:v>30000</x:v>
      </x:c>
      <x:c r="G106" s="41" t="n">
        <x:v>10</x:v>
      </x:c>
      <x:c r="H106" s="44" t="n">
        <x:f>MAX(G106,0)*E106</x:f>
        <x:v>30000</x:v>
      </x:c>
      <x:c r="I106" s="38" t="n">
        <x:v>0</x:v>
      </x:c>
      <x:c r="J106" s="44" t="n">
        <x:v>0</x:v>
      </x:c>
      <x:c r="K106" s="32" t="n">
        <x:v>0</x:v>
      </x:c>
      <x:c r="L106" s="50"/>
      <x:c r="M106" s="50"/>
      <x:c r="N106" s="32" t="str">
        <x:f>IF(M106="","",MAX(0,'Resumen'!$B$3-M106))</x:f>
      </x:c>
      <x:c r="O106" s="38" t="n">
        <x:v>0</x:v>
      </x:c>
      <x:c r="P106" s="38" t="n">
        <x:v>0</x:v>
      </x:c>
      <x:c r="Q106" s="38" t="n">
        <x:v>0</x:v>
      </x:c>
      <x:c r="R106" s="38" t="n">
        <x:f>MIN(D106,I106)</x:f>
        <x:v>0</x:v>
      </x:c>
      <x:c r="S106" s="47" t="n">
        <x:f>IFERROR(R106/D106,0)</x:f>
        <x:v>0</x:v>
      </x:c>
      <x:c r="T106" s="38" t="n">
        <x:f>MIN(MAX(G106,0),MAX(D106-I106,0))</x:f>
        <x:v>10</x:v>
      </x:c>
      <x:c r="U106" s="44" t="n">
        <x:f>T106*E106</x:f>
        <x:v>30000</x:v>
      </x:c>
      <x:c r="V106" s="38" t="n">
        <x:v>0</x:v>
      </x:c>
      <x:c r="W106" s="32" t="n">
        <x:v>0</x:v>
      </x:c>
      <x:c r="X106" s="50"/>
      <x:c r="Y106" s="44" t="n">
        <x:v>5000</x:v>
      </x:c>
      <x:c r="Z106" s="44" t="n">
        <x:f>IF(I106&gt;0,R106*(J106/I106),0)</x:f>
        <x:v>0</x:v>
      </x:c>
      <x:c r="AA106" s="44" t="n">
        <x:f>Z106-(R106*E106)</x:f>
        <x:v>0</x:v>
      </x:c>
      <x:c r="AB106" s="47" t="n">
        <x:f>IFERROR(AA106/Z106,0)</x:f>
        <x:v>0</x:v>
      </x:c>
      <x:c r="AC106" s="32" t="str">
        <x:f>IF(S106=0,"0%",IF(S106&lt;0.5,"1-49%",IF(S106&lt;0.8,"50-79%",IF(S106&lt;1,"80-99%","100%"))))</x:f>
        <x:v>0%</x:v>
      </x:c>
      <x:c r="AD106" s="33" t="str">
        <x:f>IF(G106&lt;0,"Stock negativo",IF(G106&lt;=0,"Sin stock actual",IF(I106&lt;=0,"Sin ventas desde compra",IF(Q106&lt;=0,"Con stock, sin ventas 365d",IF(S106&lt;0.5,"Rotación baja",IF(S106&lt;1,"Rotación media","Compra absorbida; stock repuesto"))))))</x:f>
        <x:v>Sin ventas desde compra</x:v>
      </x:c>
    </x:row>
    <x:row r="107">
      <x:c r="A107" s="31" t="str">
        <x:v>MOTS1170</x:v>
      </x:c>
      <x:c r="B107" s="53" t="str">
        <x:v>CAUCHO MANZANA CBF 125 DREAM NEO FACTORY</x:v>
      </x:c>
      <x:c r="C107" s="32" t="n">
        <x:v>1</x:v>
      </x:c>
      <x:c r="D107" s="38" t="n">
        <x:v>5</x:v>
      </x:c>
      <x:c r="E107" s="44" t="n">
        <x:v>6000</x:v>
      </x:c>
      <x:c r="F107" s="44" t="n">
        <x:v>30000</x:v>
      </x:c>
      <x:c r="G107" s="41" t="n">
        <x:v>1</x:v>
      </x:c>
      <x:c r="H107" s="44" t="n">
        <x:f>MAX(G107,0)*E107</x:f>
        <x:v>6000</x:v>
      </x:c>
      <x:c r="I107" s="38" t="n">
        <x:v>4</x:v>
      </x:c>
      <x:c r="J107" s="44" t="n">
        <x:v>38000</x:v>
      </x:c>
      <x:c r="K107" s="32" t="n">
        <x:v>4</x:v>
      </x:c>
      <x:c r="L107" s="50" t="n">
        <x:v>45550.60165509259</x:v>
      </x:c>
      <x:c r="M107" s="50" t="n">
        <x:v>45786.85099537037</x:v>
      </x:c>
      <x:c r="N107" s="32" t="n">
        <x:f>IF(M107="","",MAX(0,'Resumen'!$B$3-M107))</x:f>
        <x:v>480.14900462963124</x:v>
      </x:c>
      <x:c r="O107" s="38" t="n">
        <x:v>0</x:v>
      </x:c>
      <x:c r="P107" s="38" t="n">
        <x:v>0</x:v>
      </x:c>
      <x:c r="Q107" s="38" t="n">
        <x:v>0</x:v>
      </x:c>
      <x:c r="R107" s="38" t="n">
        <x:f>MIN(D107,I107)</x:f>
        <x:v>4</x:v>
      </x:c>
      <x:c r="S107" s="47" t="n">
        <x:f>IFERROR(R107/D107,0)</x:f>
        <x:v>0.8</x:v>
      </x:c>
      <x:c r="T107" s="38" t="n">
        <x:f>MIN(MAX(G107,0),MAX(D107-I107,0))</x:f>
        <x:v>1</x:v>
      </x:c>
      <x:c r="U107" s="44" t="n">
        <x:f>T107*E107</x:f>
        <x:v>6000</x:v>
      </x:c>
      <x:c r="V107" s="38" t="n">
        <x:v>0</x:v>
      </x:c>
      <x:c r="W107" s="32" t="n">
        <x:v>0</x:v>
      </x:c>
      <x:c r="X107" s="50"/>
      <x:c r="Y107" s="44" t="n">
        <x:v>10000</x:v>
      </x:c>
      <x:c r="Z107" s="44" t="n">
        <x:f>IF(I107&gt;0,R107*(J107/I107),0)</x:f>
        <x:v>38000</x:v>
      </x:c>
      <x:c r="AA107" s="44" t="n">
        <x:f>Z107-(R107*E107)</x:f>
        <x:v>14000</x:v>
      </x:c>
      <x:c r="AB107" s="47" t="n">
        <x:f>IFERROR(AA107/Z107,0)</x:f>
        <x:v>0.3684210526315789</x:v>
      </x:c>
      <x:c r="AC107" s="32" t="str">
        <x:f>IF(S107=0,"0%",IF(S107&lt;0.5,"1-49%",IF(S107&lt;0.8,"50-79%",IF(S107&lt;1,"80-99%","100%"))))</x:f>
        <x:v>80-99%</x:v>
      </x:c>
      <x:c r="AD107" s="33" t="str">
        <x:f>IF(G107&lt;0,"Stock negativo",IF(G107&lt;=0,"Sin stock actual",IF(I107&lt;=0,"Sin ventas desde compra",IF(Q107&lt;=0,"Con stock, sin ventas 365d",IF(S107&lt;0.5,"Rotación baja",IF(S107&lt;1,"Rotación media","Compra absorbida; stock repuesto"))))))</x:f>
        <x:v>Con stock, sin ventas 365d</x:v>
      </x:c>
    </x:row>
    <x:row r="108">
      <x:c r="A108" s="31" t="str">
        <x:v>MOTS1204</x:v>
      </x:c>
      <x:c r="B108" s="53" t="str">
        <x:v>EJE TIJERA ECO DELUXE 12 X 230 MM BARAI</x:v>
      </x:c>
      <x:c r="C108" s="32" t="n">
        <x:v>1</x:v>
      </x:c>
      <x:c r="D108" s="38" t="n">
        <x:v>5</x:v>
      </x:c>
      <x:c r="E108" s="44" t="n">
        <x:v>6000</x:v>
      </x:c>
      <x:c r="F108" s="44" t="n">
        <x:v>30000</x:v>
      </x:c>
      <x:c r="G108" s="41" t="n">
        <x:v>0</x:v>
      </x:c>
      <x:c r="H108" s="44" t="n">
        <x:f>MAX(G108,0)*E108</x:f>
        <x:v>0</x:v>
      </x:c>
      <x:c r="I108" s="38" t="n">
        <x:v>5</x:v>
      </x:c>
      <x:c r="J108" s="44" t="n">
        <x:v>50000</x:v>
      </x:c>
      <x:c r="K108" s="32" t="n">
        <x:v>5</x:v>
      </x:c>
      <x:c r="L108" s="50" t="n">
        <x:v>45594.7481712963</x:v>
      </x:c>
      <x:c r="M108" s="50" t="n">
        <x:v>45786.81984953704</x:v>
      </x:c>
      <x:c r="N108" s="32" t="n">
        <x:f>IF(M108="","",MAX(0,'Resumen'!$B$3-M108))</x:f>
        <x:v>480.18015046296205</x:v>
      </x:c>
      <x:c r="O108" s="38" t="n">
        <x:v>0</x:v>
      </x:c>
      <x:c r="P108" s="38" t="n">
        <x:v>0</x:v>
      </x:c>
      <x:c r="Q108" s="38" t="n">
        <x:v>0</x:v>
      </x:c>
      <x:c r="R108" s="38" t="n">
        <x:f>MIN(D108,I108)</x:f>
        <x:v>5</x:v>
      </x:c>
      <x:c r="S108" s="47" t="n">
        <x:f>IFERROR(R108/D108,0)</x:f>
        <x:v>1</x:v>
      </x:c>
      <x:c r="T108" s="38" t="n">
        <x:f>MIN(MAX(G108,0),MAX(D108-I108,0))</x:f>
        <x:v>0</x:v>
      </x:c>
      <x:c r="U108" s="44" t="n">
        <x:f>T108*E108</x:f>
        <x:v>0</x:v>
      </x:c>
      <x:c r="V108" s="38" t="n">
        <x:v>0</x:v>
      </x:c>
      <x:c r="W108" s="32" t="n">
        <x:v>0</x:v>
      </x:c>
      <x:c r="X108" s="50"/>
      <x:c r="Y108" s="44" t="n">
        <x:v>10000</x:v>
      </x:c>
      <x:c r="Z108" s="44" t="n">
        <x:f>IF(I108&gt;0,R108*(J108/I108),0)</x:f>
        <x:v>50000</x:v>
      </x:c>
      <x:c r="AA108" s="44" t="n">
        <x:f>Z108-(R108*E108)</x:f>
        <x:v>20000</x:v>
      </x:c>
      <x:c r="AB108" s="47" t="n">
        <x:f>IFERROR(AA108/Z108,0)</x:f>
        <x:v>0.4</x:v>
      </x:c>
      <x:c r="AC108" s="32" t="str">
        <x:f>IF(S108=0,"0%",IF(S108&lt;0.5,"1-49%",IF(S108&lt;0.8,"50-79%",IF(S108&lt;1,"80-99%","100%"))))</x:f>
        <x:v>100%</x:v>
      </x:c>
      <x:c r="AD108" s="33" t="str">
        <x:f>IF(G108&lt;0,"Stock negativo",IF(G108&lt;=0,"Sin stock actual",IF(I108&lt;=0,"Sin ventas desde compra",IF(Q108&lt;=0,"Con stock, sin ventas 365d",IF(S108&lt;0.5,"Rotación baja",IF(S108&lt;1,"Rotación media","Compra absorbida; stock repuesto"))))))</x:f>
        <x:v>Sin stock actual</x:v>
      </x:c>
    </x:row>
    <x:row r="109">
      <x:c r="A109" s="31" t="str">
        <x:v>MOTS1205</x:v>
      </x:c>
      <x:c r="B109" s="53" t="str">
        <x:v>EJE TIJERA ECO SPLENDOR INGE PARTE</x:v>
      </x:c>
      <x:c r="C109" s="32" t="n">
        <x:v>1</x:v>
      </x:c>
      <x:c r="D109" s="38" t="n">
        <x:v>5</x:v>
      </x:c>
      <x:c r="E109" s="44" t="n">
        <x:v>6000</x:v>
      </x:c>
      <x:c r="F109" s="44" t="n">
        <x:v>30000</x:v>
      </x:c>
      <x:c r="G109" s="41" t="n">
        <x:v>2</x:v>
      </x:c>
      <x:c r="H109" s="44" t="n">
        <x:f>MAX(G109,0)*E109</x:f>
        <x:v>12000</x:v>
      </x:c>
      <x:c r="I109" s="38" t="n">
        <x:v>3</x:v>
      </x:c>
      <x:c r="J109" s="44" t="n">
        <x:v>30000</x:v>
      </x:c>
      <x:c r="K109" s="32" t="n">
        <x:v>3</x:v>
      </x:c>
      <x:c r="L109" s="50" t="n">
        <x:v>45670.713854166665</x:v>
      </x:c>
      <x:c r="M109" s="50" t="n">
        <x:v>46052.83446759259</x:v>
      </x:c>
      <x:c r="N109" s="32" t="n">
        <x:f>IF(M109="","",MAX(0,'Resumen'!$B$3-M109))</x:f>
        <x:v>214.16553240740905</x:v>
      </x:c>
      <x:c r="O109" s="38" t="n">
        <x:v>0</x:v>
      </x:c>
      <x:c r="P109" s="38" t="n">
        <x:v>0</x:v>
      </x:c>
      <x:c r="Q109" s="38" t="n">
        <x:v>2</x:v>
      </x:c>
      <x:c r="R109" s="38" t="n">
        <x:f>MIN(D109,I109)</x:f>
        <x:v>3</x:v>
      </x:c>
      <x:c r="S109" s="47" t="n">
        <x:f>IFERROR(R109/D109,0)</x:f>
        <x:v>0.6</x:v>
      </x:c>
      <x:c r="T109" s="38" t="n">
        <x:f>MIN(MAX(G109,0),MAX(D109-I109,0))</x:f>
        <x:v>2</x:v>
      </x:c>
      <x:c r="U109" s="44" t="n">
        <x:f>T109*E109</x:f>
        <x:v>12000</x:v>
      </x:c>
      <x:c r="V109" s="38" t="n">
        <x:v>0</x:v>
      </x:c>
      <x:c r="W109" s="32" t="n">
        <x:v>0</x:v>
      </x:c>
      <x:c r="X109" s="50"/>
      <x:c r="Y109" s="44" t="n">
        <x:v>10000</x:v>
      </x:c>
      <x:c r="Z109" s="44" t="n">
        <x:f>IF(I109&gt;0,R109*(J109/I109),0)</x:f>
        <x:v>30000</x:v>
      </x:c>
      <x:c r="AA109" s="44" t="n">
        <x:f>Z109-(R109*E109)</x:f>
        <x:v>12000</x:v>
      </x:c>
      <x:c r="AB109" s="47" t="n">
        <x:f>IFERROR(AA109/Z109,0)</x:f>
        <x:v>0.4</x:v>
      </x:c>
      <x:c r="AC109" s="32" t="str">
        <x:f>IF(S109=0,"0%",IF(S109&lt;0.5,"1-49%",IF(S109&lt;0.8,"50-79%",IF(S109&lt;1,"80-99%","100%"))))</x:f>
        <x:v>50-79%</x:v>
      </x:c>
      <x:c r="AD109" s="33" t="str">
        <x:f>IF(G109&lt;0,"Stock negativo",IF(G109&lt;=0,"Sin stock actual",IF(I109&lt;=0,"Sin ventas desde compra",IF(Q109&lt;=0,"Con stock, sin ventas 365d",IF(S109&lt;0.5,"Rotación baja",IF(S109&lt;1,"Rotación media","Compra absorbida; stock repuesto"))))))</x:f>
        <x:v>Rotación media</x:v>
      </x:c>
    </x:row>
    <x:row r="110">
      <x:c r="A110" s="31" t="str">
        <x:v>SPR - 051659</x:v>
      </x:c>
      <x:c r="B110" s="53" t="str">
        <x:v>SPROKER ECO 100 44T 5YK</x:v>
      </x:c>
      <x:c r="C110" s="32" t="n">
        <x:v>1</x:v>
      </x:c>
      <x:c r="D110" s="38" t="n">
        <x:v>2</x:v>
      </x:c>
      <x:c r="E110" s="44" t="n">
        <x:v>15000</x:v>
      </x:c>
      <x:c r="F110" s="44" t="n">
        <x:v>30000</x:v>
      </x:c>
      <x:c r="G110" s="41" t="n">
        <x:v>0</x:v>
      </x:c>
      <x:c r="H110" s="44" t="n">
        <x:f>MAX(G110,0)*E110</x:f>
        <x:v>0</x:v>
      </x:c>
      <x:c r="I110" s="38" t="n">
        <x:v>2</x:v>
      </x:c>
      <x:c r="J110" s="44" t="n">
        <x:v>40000</x:v>
      </x:c>
      <x:c r="K110" s="32" t="n">
        <x:v>2</x:v>
      </x:c>
      <x:c r="L110" s="50" t="n">
        <x:v>45507.95841435185</x:v>
      </x:c>
      <x:c r="M110" s="50" t="n">
        <x:v>45543.72221064815</x:v>
      </x:c>
      <x:c r="N110" s="32" t="n">
        <x:f>IF(M110="","",MAX(0,'Resumen'!$B$3-M110))</x:f>
        <x:v>723.2777893518505</x:v>
      </x:c>
      <x:c r="O110" s="38" t="n">
        <x:v>0</x:v>
      </x:c>
      <x:c r="P110" s="38" t="n">
        <x:v>0</x:v>
      </x:c>
      <x:c r="Q110" s="38" t="n">
        <x:v>0</x:v>
      </x:c>
      <x:c r="R110" s="38" t="n">
        <x:f>MIN(D110,I110)</x:f>
        <x:v>2</x:v>
      </x:c>
      <x:c r="S110" s="47" t="n">
        <x:f>IFERROR(R110/D110,0)</x:f>
        <x:v>1</x:v>
      </x:c>
      <x:c r="T110" s="38" t="n">
        <x:f>MIN(MAX(G110,0),MAX(D110-I110,0))</x:f>
        <x:v>0</x:v>
      </x:c>
      <x:c r="U110" s="44" t="n">
        <x:f>T110*E110</x:f>
        <x:v>0</x:v>
      </x:c>
      <x:c r="V110" s="38" t="n">
        <x:v>0</x:v>
      </x:c>
      <x:c r="W110" s="32" t="n">
        <x:v>0</x:v>
      </x:c>
      <x:c r="X110" s="50"/>
      <x:c r="Y110" s="44" t="n">
        <x:v>20000</x:v>
      </x:c>
      <x:c r="Z110" s="44" t="n">
        <x:f>IF(I110&gt;0,R110*(J110/I110),0)</x:f>
        <x:v>40000</x:v>
      </x:c>
      <x:c r="AA110" s="44" t="n">
        <x:f>Z110-(R110*E110)</x:f>
        <x:v>10000</x:v>
      </x:c>
      <x:c r="AB110" s="47" t="n">
        <x:f>IFERROR(AA110/Z110,0)</x:f>
        <x:v>0.25</x:v>
      </x:c>
      <x:c r="AC110" s="32" t="str">
        <x:f>IF(S110=0,"0%",IF(S110&lt;0.5,"1-49%",IF(S110&lt;0.8,"50-79%",IF(S110&lt;1,"80-99%","100%"))))</x:f>
        <x:v>100%</x:v>
      </x:c>
      <x:c r="AD110" s="33" t="str">
        <x:f>IF(G110&lt;0,"Stock negativo",IF(G110&lt;=0,"Sin stock actual",IF(I110&lt;=0,"Sin ventas desde compra",IF(Q110&lt;=0,"Con stock, sin ventas 365d",IF(S110&lt;0.5,"Rotación baja",IF(S110&lt;1,"Rotación media","Compra absorbida; stock repuesto"))))))</x:f>
        <x:v>Sin stock actual</x:v>
      </x:c>
    </x:row>
    <x:row r="111">
      <x:c r="A111" s="31" t="str">
        <x:v>MOTS1105</x:v>
      </x:c>
      <x:c r="B111" s="53" t="str">
        <x:v>PIÑON GUIA CADENILLA CB110</x:v>
      </x:c>
      <x:c r="C111" s="32" t="n">
        <x:v>1</x:v>
      </x:c>
      <x:c r="D111" s="38" t="n">
        <x:v>13</x:v>
      </x:c>
      <x:c r="E111" s="44" t="n">
        <x:v>2300</x:v>
      </x:c>
      <x:c r="F111" s="44" t="n">
        <x:v>29900</x:v>
      </x:c>
      <x:c r="G111" s="41" t="n">
        <x:v>8</x:v>
      </x:c>
      <x:c r="H111" s="44" t="n">
        <x:f>MAX(G111,0)*E111</x:f>
        <x:v>18400</x:v>
      </x:c>
      <x:c r="I111" s="38" t="n">
        <x:v>5</x:v>
      </x:c>
      <x:c r="J111" s="44" t="n">
        <x:v>20000</x:v>
      </x:c>
      <x:c r="K111" s="32" t="n">
        <x:v>5</x:v>
      </x:c>
      <x:c r="L111" s="50" t="n">
        <x:v>45542.925</x:v>
      </x:c>
      <x:c r="M111" s="50" t="n">
        <x:v>45975.730462962965</x:v>
      </x:c>
      <x:c r="N111" s="32" t="n">
        <x:f>IF(M111="","",MAX(0,'Resumen'!$B$3-M111))</x:f>
        <x:v>291.26953703703475</x:v>
      </x:c>
      <x:c r="O111" s="38" t="n">
        <x:v>0</x:v>
      </x:c>
      <x:c r="P111" s="38" t="n">
        <x:v>0</x:v>
      </x:c>
      <x:c r="Q111" s="38" t="n">
        <x:v>1</x:v>
      </x:c>
      <x:c r="R111" s="38" t="n">
        <x:f>MIN(D111,I111)</x:f>
        <x:v>5</x:v>
      </x:c>
      <x:c r="S111" s="47" t="n">
        <x:f>IFERROR(R111/D111,0)</x:f>
        <x:v>0.38461538461538464</x:v>
      </x:c>
      <x:c r="T111" s="38" t="n">
        <x:f>MIN(MAX(G111,0),MAX(D111-I111,0))</x:f>
        <x:v>8</x:v>
      </x:c>
      <x:c r="U111" s="44" t="n">
        <x:f>T111*E111</x:f>
        <x:v>18400</x:v>
      </x:c>
      <x:c r="V111" s="38" t="n">
        <x:v>0</x:v>
      </x:c>
      <x:c r="W111" s="32" t="n">
        <x:v>0</x:v>
      </x:c>
      <x:c r="X111" s="50"/>
      <x:c r="Y111" s="44" t="n">
        <x:v>4000</x:v>
      </x:c>
      <x:c r="Z111" s="44" t="n">
        <x:f>IF(I111&gt;0,R111*(J111/I111),0)</x:f>
        <x:v>20000</x:v>
      </x:c>
      <x:c r="AA111" s="44" t="n">
        <x:f>Z111-(R111*E111)</x:f>
        <x:v>8500</x:v>
      </x:c>
      <x:c r="AB111" s="47" t="n">
        <x:f>IFERROR(AA111/Z111,0)</x:f>
        <x:v>0.425</x:v>
      </x:c>
      <x:c r="AC111" s="32" t="str">
        <x:f>IF(S111=0,"0%",IF(S111&lt;0.5,"1-49%",IF(S111&lt;0.8,"50-79%",IF(S111&lt;1,"80-99%","100%"))))</x:f>
        <x:v>1-49%</x:v>
      </x:c>
      <x:c r="AD111" s="33" t="str">
        <x:f>IF(G111&lt;0,"Stock negativo",IF(G111&lt;=0,"Sin stock actual",IF(I111&lt;=0,"Sin ventas desde compra",IF(Q111&lt;=0,"Con stock, sin ventas 365d",IF(S111&lt;0.5,"Rotación baja",IF(S111&lt;1,"Rotación media","Compra absorbida; stock repuesto"))))))</x:f>
        <x:v>Rotación baja</x:v>
      </x:c>
    </x:row>
    <x:row r="112">
      <x:c r="A112" s="31" t="str">
        <x:v>MOTS1251</x:v>
      </x:c>
      <x:c r="B112" s="53" t="str">
        <x:v>PASTILLAS FRENO PULSAR 200 NS TRA BAJAS</x:v>
      </x:c>
      <x:c r="C112" s="32" t="n">
        <x:v>1</x:v>
      </x:c>
      <x:c r="D112" s="38" t="n">
        <x:v>4</x:v>
      </x:c>
      <x:c r="E112" s="44" t="n">
        <x:v>7300</x:v>
      </x:c>
      <x:c r="F112" s="44" t="n">
        <x:v>29200</x:v>
      </x:c>
      <x:c r="G112" s="41" t="n">
        <x:v>0</x:v>
      </x:c>
      <x:c r="H112" s="44" t="n">
        <x:f>MAX(G112,0)*E112</x:f>
        <x:v>0</x:v>
      </x:c>
      <x:c r="I112" s="38" t="n">
        <x:v>4</x:v>
      </x:c>
      <x:c r="J112" s="44" t="n">
        <x:v>72000</x:v>
      </x:c>
      <x:c r="K112" s="32" t="n">
        <x:v>4</x:v>
      </x:c>
      <x:c r="L112" s="50" t="n">
        <x:v>45547.932604166665</x:v>
      </x:c>
      <x:c r="M112" s="50" t="n">
        <x:v>45692.73023148148</x:v>
      </x:c>
      <x:c r="N112" s="32" t="n">
        <x:f>IF(M112="","",MAX(0,'Resumen'!$B$3-M112))</x:f>
        <x:v>574.2697685185194</x:v>
      </x:c>
      <x:c r="O112" s="38" t="n">
        <x:v>0</x:v>
      </x:c>
      <x:c r="P112" s="38" t="n">
        <x:v>0</x:v>
      </x:c>
      <x:c r="Q112" s="38" t="n">
        <x:v>0</x:v>
      </x:c>
      <x:c r="R112" s="38" t="n">
        <x:f>MIN(D112,I112)</x:f>
        <x:v>4</x:v>
      </x:c>
      <x:c r="S112" s="47" t="n">
        <x:f>IFERROR(R112/D112,0)</x:f>
        <x:v>1</x:v>
      </x:c>
      <x:c r="T112" s="38" t="n">
        <x:f>MIN(MAX(G112,0),MAX(D112-I112,0))</x:f>
        <x:v>0</x:v>
      </x:c>
      <x:c r="U112" s="44" t="n">
        <x:f>T112*E112</x:f>
        <x:v>0</x:v>
      </x:c>
      <x:c r="V112" s="38" t="n">
        <x:v>0</x:v>
      </x:c>
      <x:c r="W112" s="32" t="n">
        <x:v>0</x:v>
      </x:c>
      <x:c r="X112" s="50"/>
      <x:c r="Y112" s="44" t="n">
        <x:v>18000</x:v>
      </x:c>
      <x:c r="Z112" s="44" t="n">
        <x:f>IF(I112&gt;0,R112*(J112/I112),0)</x:f>
        <x:v>72000</x:v>
      </x:c>
      <x:c r="AA112" s="44" t="n">
        <x:f>Z112-(R112*E112)</x:f>
        <x:v>42800</x:v>
      </x:c>
      <x:c r="AB112" s="47" t="n">
        <x:f>IFERROR(AA112/Z112,0)</x:f>
        <x:v>0.5944444444444444</x:v>
      </x:c>
      <x:c r="AC112" s="32" t="str">
        <x:f>IF(S112=0,"0%",IF(S112&lt;0.5,"1-49%",IF(S112&lt;0.8,"50-79%",IF(S112&lt;1,"80-99%","100%"))))</x:f>
        <x:v>100%</x:v>
      </x:c>
      <x:c r="AD112" s="33" t="str">
        <x:f>IF(G112&lt;0,"Stock negativo",IF(G112&lt;=0,"Sin stock actual",IF(I112&lt;=0,"Sin ventas desde compra",IF(Q112&lt;=0,"Con stock, sin ventas 365d",IF(S112&lt;0.5,"Rotación baja",IF(S112&lt;1,"Rotación media","Compra absorbida; stock repuesto"))))))</x:f>
        <x:v>Sin stock actual</x:v>
      </x:c>
    </x:row>
    <x:row r="113">
      <x:c r="A113" s="31" t="str">
        <x:v>MOTS1008</x:v>
      </x:c>
      <x:c r="B113" s="53" t="str">
        <x:v>FAROLA DT EVOL</x:v>
      </x:c>
      <x:c r="C113" s="32" t="n">
        <x:v>1</x:v>
      </x:c>
      <x:c r="D113" s="38" t="n">
        <x:v>1</x:v>
      </x:c>
      <x:c r="E113" s="44" t="n">
        <x:v>29000</x:v>
      </x:c>
      <x:c r="F113" s="44" t="n">
        <x:v>29000</x:v>
      </x:c>
      <x:c r="G113" s="41" t="n">
        <x:v>2</x:v>
      </x:c>
      <x:c r="H113" s="44" t="n">
        <x:f>MAX(G113,0)*E113</x:f>
        <x:v>58000</x:v>
      </x:c>
      <x:c r="I113" s="38" t="n">
        <x:v>0</x:v>
      </x:c>
      <x:c r="J113" s="44" t="n">
        <x:v>0</x:v>
      </x:c>
      <x:c r="K113" s="32" t="n">
        <x:v>0</x:v>
      </x:c>
      <x:c r="L113" s="50"/>
      <x:c r="M113" s="50"/>
      <x:c r="N113" s="32" t="str">
        <x:f>IF(M113="","",MAX(0,'Resumen'!$B$3-M113))</x:f>
      </x:c>
      <x:c r="O113" s="38" t="n">
        <x:v>0</x:v>
      </x:c>
      <x:c r="P113" s="38" t="n">
        <x:v>0</x:v>
      </x:c>
      <x:c r="Q113" s="38" t="n">
        <x:v>0</x:v>
      </x:c>
      <x:c r="R113" s="38" t="n">
        <x:f>MIN(D113,I113)</x:f>
        <x:v>0</x:v>
      </x:c>
      <x:c r="S113" s="47" t="n">
        <x:f>IFERROR(R113/D113,0)</x:f>
        <x:v>0</x:v>
      </x:c>
      <x:c r="T113" s="38" t="n">
        <x:f>MIN(MAX(G113,0),MAX(D113-I113,0))</x:f>
        <x:v>1</x:v>
      </x:c>
      <x:c r="U113" s="44" t="n">
        <x:f>T113*E113</x:f>
        <x:v>29000</x:v>
      </x:c>
      <x:c r="V113" s="38" t="n">
        <x:v>1</x:v>
      </x:c>
      <x:c r="W113" s="32" t="n">
        <x:v>1</x:v>
      </x:c>
      <x:c r="X113" s="50" t="n">
        <x:v>45983</x:v>
      </x:c>
      <x:c r="Y113" s="44" t="n">
        <x:v>49000</x:v>
      </x:c>
      <x:c r="Z113" s="44" t="n">
        <x:f>IF(I113&gt;0,R113*(J113/I113),0)</x:f>
        <x:v>0</x:v>
      </x:c>
      <x:c r="AA113" s="44" t="n">
        <x:f>Z113-(R113*E113)</x:f>
        <x:v>0</x:v>
      </x:c>
      <x:c r="AB113" s="47" t="n">
        <x:f>IFERROR(AA113/Z113,0)</x:f>
        <x:v>0</x:v>
      </x:c>
      <x:c r="AC113" s="32" t="str">
        <x:f>IF(S113=0,"0%",IF(S113&lt;0.5,"1-49%",IF(S113&lt;0.8,"50-79%",IF(S113&lt;1,"80-99%","100%"))))</x:f>
        <x:v>0%</x:v>
      </x:c>
      <x:c r="AD113" s="33" t="str">
        <x:f>IF(G113&lt;0,"Stock negativo",IF(G113&lt;=0,"Sin stock actual",IF(I113&lt;=0,"Sin ventas desde compra",IF(Q113&lt;=0,"Con stock, sin ventas 365d",IF(S113&lt;0.5,"Rotación baja",IF(S113&lt;1,"Rotación media","Compra absorbida; stock repuesto"))))))</x:f>
        <x:v>Sin ventas desde compra</x:v>
      </x:c>
    </x:row>
    <x:row r="114">
      <x:c r="A114" s="31" t="str">
        <x:v>PIN - 034</x:v>
      </x:c>
      <x:c r="B114" s="53" t="str">
        <x:v>PIÑON TERCERA ECO DELUXE HERO</x:v>
      </x:c>
      <x:c r="C114" s="32" t="n">
        <x:v>1</x:v>
      </x:c>
      <x:c r="D114" s="38" t="n">
        <x:v>2</x:v>
      </x:c>
      <x:c r="E114" s="44" t="n">
        <x:v>14500</x:v>
      </x:c>
      <x:c r="F114" s="44" t="n">
        <x:v>29000</x:v>
      </x:c>
      <x:c r="G114" s="41" t="n">
        <x:v>1</x:v>
      </x:c>
      <x:c r="H114" s="44" t="n">
        <x:f>MAX(G114,0)*E114</x:f>
        <x:v>14500</x:v>
      </x:c>
      <x:c r="I114" s="38" t="n">
        <x:v>2</x:v>
      </x:c>
      <x:c r="J114" s="44" t="n">
        <x:v>44500</x:v>
      </x:c>
      <x:c r="K114" s="32" t="n">
        <x:v>2</x:v>
      </x:c>
      <x:c r="L114" s="50" t="n">
        <x:v>45587.58479166667</x:v>
      </x:c>
      <x:c r="M114" s="50" t="n">
        <x:v>45608.59012731481</x:v>
      </x:c>
      <x:c r="N114" s="32" t="n">
        <x:f>IF(M114="","",MAX(0,'Resumen'!$B$3-M114))</x:f>
        <x:v>658.409872685188</x:v>
      </x:c>
      <x:c r="O114" s="38" t="n">
        <x:v>0</x:v>
      </x:c>
      <x:c r="P114" s="38" t="n">
        <x:v>0</x:v>
      </x:c>
      <x:c r="Q114" s="38" t="n">
        <x:v>0</x:v>
      </x:c>
      <x:c r="R114" s="38" t="n">
        <x:f>MIN(D114,I114)</x:f>
        <x:v>2</x:v>
      </x:c>
      <x:c r="S114" s="47" t="n">
        <x:f>IFERROR(R114/D114,0)</x:f>
        <x:v>1</x:v>
      </x:c>
      <x:c r="T114" s="38" t="n">
        <x:f>MIN(MAX(G114,0),MAX(D114-I114,0))</x:f>
        <x:v>0</x:v>
      </x:c>
      <x:c r="U114" s="44" t="n">
        <x:f>T114*E114</x:f>
        <x:v>0</x:v>
      </x:c>
      <x:c r="V114" s="38" t="n">
        <x:v>1</x:v>
      </x:c>
      <x:c r="W114" s="32" t="n">
        <x:v>1</x:v>
      </x:c>
      <x:c r="X114" s="50" t="n">
        <x:v>45761</x:v>
      </x:c>
      <x:c r="Y114" s="44" t="n">
        <x:v>24500</x:v>
      </x:c>
      <x:c r="Z114" s="44" t="n">
        <x:f>IF(I114&gt;0,R114*(J114/I114),0)</x:f>
        <x:v>44500</x:v>
      </x:c>
      <x:c r="AA114" s="44" t="n">
        <x:f>Z114-(R114*E114)</x:f>
        <x:v>15500</x:v>
      </x:c>
      <x:c r="AB114" s="47" t="n">
        <x:f>IFERROR(AA114/Z114,0)</x:f>
        <x:v>0.34831460674157305</x:v>
      </x:c>
      <x:c r="AC114" s="32" t="str">
        <x:f>IF(S114=0,"0%",IF(S114&lt;0.5,"1-49%",IF(S114&lt;0.8,"50-79%",IF(S114&lt;1,"80-99%","100%"))))</x:f>
        <x:v>100%</x:v>
      </x:c>
      <x:c r="AD114" s="33" t="str">
        <x:f>IF(G114&lt;0,"Stock negativo",IF(G114&lt;=0,"Sin stock actual",IF(I114&lt;=0,"Sin ventas desde compra",IF(Q114&lt;=0,"Con stock, sin ventas 365d",IF(S114&lt;0.5,"Rotación baja",IF(S114&lt;1,"Rotación media","Compra absorbida; stock repuesto"))))))</x:f>
        <x:v>Con stock, sin ventas 365d</x:v>
      </x:c>
    </x:row>
    <x:row r="115">
      <x:c r="A115" s="31" t="str">
        <x:v>MOTS1037</x:v>
      </x:c>
      <x:c r="B115" s="53" t="str">
        <x:v>RETEN 25-40-8</x:v>
      </x:c>
      <x:c r="C115" s="32" t="n">
        <x:v>1</x:v>
      </x:c>
      <x:c r="D115" s="38" t="n">
        <x:v>19</x:v>
      </x:c>
      <x:c r="E115" s="44" t="n">
        <x:v>1500</x:v>
      </x:c>
      <x:c r="F115" s="44" t="n">
        <x:v>28500</x:v>
      </x:c>
      <x:c r="G115" s="41" t="n">
        <x:v>13</x:v>
      </x:c>
      <x:c r="H115" s="44" t="n">
        <x:f>MAX(G115,0)*E115</x:f>
        <x:v>19500</x:v>
      </x:c>
      <x:c r="I115" s="38" t="n">
        <x:v>6</x:v>
      </x:c>
      <x:c r="J115" s="44" t="n">
        <x:v>15000</x:v>
      </x:c>
      <x:c r="K115" s="32" t="n">
        <x:v>6</x:v>
      </x:c>
      <x:c r="L115" s="50" t="n">
        <x:v>45655.62498842592</x:v>
      </x:c>
      <x:c r="M115" s="50" t="n">
        <x:v>46171.68189814815</x:v>
      </x:c>
      <x:c r="N115" s="32" t="n">
        <x:f>IF(M115="","",MAX(0,'Resumen'!$B$3-M115))</x:f>
        <x:v>95.31810185185168</x:v>
      </x:c>
      <x:c r="O115" s="38" t="n">
        <x:v>0</x:v>
      </x:c>
      <x:c r="P115" s="38" t="n">
        <x:v>0</x:v>
      </x:c>
      <x:c r="Q115" s="38" t="n">
        <x:v>4</x:v>
      </x:c>
      <x:c r="R115" s="38" t="n">
        <x:f>MIN(D115,I115)</x:f>
        <x:v>6</x:v>
      </x:c>
      <x:c r="S115" s="47" t="n">
        <x:f>IFERROR(R115/D115,0)</x:f>
        <x:v>0.3157894736842105</x:v>
      </x:c>
      <x:c r="T115" s="38" t="n">
        <x:f>MIN(MAX(G115,0),MAX(D115-I115,0))</x:f>
        <x:v>13</x:v>
      </x:c>
      <x:c r="U115" s="44" t="n">
        <x:f>T115*E115</x:f>
        <x:v>19500</x:v>
      </x:c>
      <x:c r="V115" s="38" t="n">
        <x:v>0</x:v>
      </x:c>
      <x:c r="W115" s="32" t="n">
        <x:v>0</x:v>
      </x:c>
      <x:c r="X115" s="50"/>
      <x:c r="Y115" s="44" t="n">
        <x:v>2500</x:v>
      </x:c>
      <x:c r="Z115" s="44" t="n">
        <x:f>IF(I115&gt;0,R115*(J115/I115),0)</x:f>
        <x:v>15000</x:v>
      </x:c>
      <x:c r="AA115" s="44" t="n">
        <x:f>Z115-(R115*E115)</x:f>
        <x:v>6000</x:v>
      </x:c>
      <x:c r="AB115" s="47" t="n">
        <x:f>IFERROR(AA115/Z115,0)</x:f>
        <x:v>0.4</x:v>
      </x:c>
      <x:c r="AC115" s="32" t="str">
        <x:f>IF(S115=0,"0%",IF(S115&lt;0.5,"1-49%",IF(S115&lt;0.8,"50-79%",IF(S115&lt;1,"80-99%","100%"))))</x:f>
        <x:v>1-49%</x:v>
      </x:c>
      <x:c r="AD115" s="33" t="str">
        <x:f>IF(G115&lt;0,"Stock negativo",IF(G115&lt;=0,"Sin stock actual",IF(I115&lt;=0,"Sin ventas desde compra",IF(Q115&lt;=0,"Con stock, sin ventas 365d",IF(S115&lt;0.5,"Rotación baja",IF(S115&lt;1,"Rotación media","Compra absorbida; stock repuesto"))))))</x:f>
        <x:v>Rotación baja</x:v>
      </x:c>
    </x:row>
    <x:row r="116">
      <x:c r="A116" s="31" t="str">
        <x:v>MOTS1090</x:v>
      </x:c>
      <x:c r="B116" s="53" t="str">
        <x:v>RETEN 15-25-7</x:v>
      </x:c>
      <x:c r="C116" s="32" t="n">
        <x:v>1</x:v>
      </x:c>
      <x:c r="D116" s="38" t="n">
        <x:v>19</x:v>
      </x:c>
      <x:c r="E116" s="44" t="n">
        <x:v>1500</x:v>
      </x:c>
      <x:c r="F116" s="44" t="n">
        <x:v>28500</x:v>
      </x:c>
      <x:c r="G116" s="41" t="n">
        <x:v>18</x:v>
      </x:c>
      <x:c r="H116" s="44" t="n">
        <x:f>MAX(G116,0)*E116</x:f>
        <x:v>27000</x:v>
      </x:c>
      <x:c r="I116" s="38" t="n">
        <x:v>1</x:v>
      </x:c>
      <x:c r="J116" s="44" t="n">
        <x:v>2500</x:v>
      </x:c>
      <x:c r="K116" s="32" t="n">
        <x:v>1</x:v>
      </x:c>
      <x:c r="L116" s="50" t="n">
        <x:v>45895.551041666666</x:v>
      </x:c>
      <x:c r="M116" s="50" t="n">
        <x:v>45895.551041666666</x:v>
      </x:c>
      <x:c r="N116" s="32" t="n">
        <x:f>IF(M116="","",MAX(0,'Resumen'!$B$3-M116))</x:f>
        <x:v>371.4489583333343</x:v>
      </x:c>
      <x:c r="O116" s="38" t="n">
        <x:v>0</x:v>
      </x:c>
      <x:c r="P116" s="38" t="n">
        <x:v>0</x:v>
      </x:c>
      <x:c r="Q116" s="38" t="n">
        <x:v>0</x:v>
      </x:c>
      <x:c r="R116" s="38" t="n">
        <x:f>MIN(D116,I116)</x:f>
        <x:v>1</x:v>
      </x:c>
      <x:c r="S116" s="47" t="n">
        <x:f>IFERROR(R116/D116,0)</x:f>
        <x:v>0.05263157894736842</x:v>
      </x:c>
      <x:c r="T116" s="38" t="n">
        <x:f>MIN(MAX(G116,0),MAX(D116-I116,0))</x:f>
        <x:v>18</x:v>
      </x:c>
      <x:c r="U116" s="44" t="n">
        <x:f>T116*E116</x:f>
        <x:v>27000</x:v>
      </x:c>
      <x:c r="V116" s="38" t="n">
        <x:v>0</x:v>
      </x:c>
      <x:c r="W116" s="32" t="n">
        <x:v>0</x:v>
      </x:c>
      <x:c r="X116" s="50"/>
      <x:c r="Y116" s="44" t="n">
        <x:v>2500</x:v>
      </x:c>
      <x:c r="Z116" s="44" t="n">
        <x:f>IF(I116&gt;0,R116*(J116/I116),0)</x:f>
        <x:v>2500</x:v>
      </x:c>
      <x:c r="AA116" s="44" t="n">
        <x:f>Z116-(R116*E116)</x:f>
        <x:v>1000</x:v>
      </x:c>
      <x:c r="AB116" s="47" t="n">
        <x:f>IFERROR(AA116/Z116,0)</x:f>
        <x:v>0.4</x:v>
      </x:c>
      <x:c r="AC116" s="32" t="str">
        <x:f>IF(S116=0,"0%",IF(S116&lt;0.5,"1-49%",IF(S116&lt;0.8,"50-79%",IF(S116&lt;1,"80-99%","100%"))))</x:f>
        <x:v>1-49%</x:v>
      </x:c>
      <x:c r="AD116" s="33" t="str">
        <x:f>IF(G116&lt;0,"Stock negativo",IF(G116&lt;=0,"Sin stock actual",IF(I116&lt;=0,"Sin ventas desde compra",IF(Q116&lt;=0,"Con stock, sin ventas 365d",IF(S116&lt;0.5,"Rotación baja",IF(S116&lt;1,"Rotación media","Compra absorbida; stock repuesto"))))))</x:f>
        <x:v>Con stock, sin ventas 365d</x:v>
      </x:c>
    </x:row>
    <x:row r="117">
      <x:c r="A117" s="31" t="str">
        <x:v>CUN - 107</x:v>
      </x:c>
      <x:c r="B117" s="53" t="str">
        <x:v>CUNAS DIRECCION ECO  DELUXE BALIN HERO</x:v>
      </x:c>
      <x:c r="C117" s="32" t="n">
        <x:v>1</x:v>
      </x:c>
      <x:c r="D117" s="38" t="n">
        <x:v>2</x:v>
      </x:c>
      <x:c r="E117" s="44" t="n">
        <x:v>14200</x:v>
      </x:c>
      <x:c r="F117" s="44" t="n">
        <x:v>28400</x:v>
      </x:c>
      <x:c r="G117" s="41" t="n">
        <x:v>1</x:v>
      </x:c>
      <x:c r="H117" s="44" t="n">
        <x:f>MAX(G117,0)*E117</x:f>
        <x:v>14200</x:v>
      </x:c>
      <x:c r="I117" s="38" t="n">
        <x:v>2</x:v>
      </x:c>
      <x:c r="J117" s="44" t="n">
        <x:v>43000</x:v>
      </x:c>
      <x:c r="K117" s="32" t="n">
        <x:v>2</x:v>
      </x:c>
      <x:c r="L117" s="50" t="n">
        <x:v>45526.766018518516</x:v>
      </x:c>
      <x:c r="M117" s="50" t="n">
        <x:v>45572.74927083333</x:v>
      </x:c>
      <x:c r="N117" s="32" t="n">
        <x:f>IF(M117="","",MAX(0,'Resumen'!$B$3-M117))</x:f>
        <x:v>694.2507291666698</x:v>
      </x:c>
      <x:c r="O117" s="38" t="n">
        <x:v>0</x:v>
      </x:c>
      <x:c r="P117" s="38" t="n">
        <x:v>0</x:v>
      </x:c>
      <x:c r="Q117" s="38" t="n">
        <x:v>0</x:v>
      </x:c>
      <x:c r="R117" s="38" t="n">
        <x:f>MIN(D117,I117)</x:f>
        <x:v>2</x:v>
      </x:c>
      <x:c r="S117" s="47" t="n">
        <x:f>IFERROR(R117/D117,0)</x:f>
        <x:v>1</x:v>
      </x:c>
      <x:c r="T117" s="38" t="n">
        <x:f>MIN(MAX(G117,0),MAX(D117-I117,0))</x:f>
        <x:v>0</x:v>
      </x:c>
      <x:c r="U117" s="44" t="n">
        <x:f>T117*E117</x:f>
        <x:v>0</x:v>
      </x:c>
      <x:c r="V117" s="38" t="n">
        <x:v>1</x:v>
      </x:c>
      <x:c r="W117" s="32" t="n">
        <x:v>1</x:v>
      </x:c>
      <x:c r="X117" s="50" t="n">
        <x:v>45529</x:v>
      </x:c>
      <x:c r="Y117" s="44" t="n">
        <x:v>24000</x:v>
      </x:c>
      <x:c r="Z117" s="44" t="n">
        <x:f>IF(I117&gt;0,R117*(J117/I117),0)</x:f>
        <x:v>43000</x:v>
      </x:c>
      <x:c r="AA117" s="44" t="n">
        <x:f>Z117-(R117*E117)</x:f>
        <x:v>14600</x:v>
      </x:c>
      <x:c r="AB117" s="47" t="n">
        <x:f>IFERROR(AA117/Z117,0)</x:f>
        <x:v>0.3395348837209302</x:v>
      </x:c>
      <x:c r="AC117" s="32" t="str">
        <x:f>IF(S117=0,"0%",IF(S117&lt;0.5,"1-49%",IF(S117&lt;0.8,"50-79%",IF(S117&lt;1,"80-99%","100%"))))</x:f>
        <x:v>100%</x:v>
      </x:c>
      <x:c r="AD117" s="33" t="str">
        <x:f>IF(G117&lt;0,"Stock negativo",IF(G117&lt;=0,"Sin stock actual",IF(I117&lt;=0,"Sin ventas desde compra",IF(Q117&lt;=0,"Con stock, sin ventas 365d",IF(S117&lt;0.5,"Rotación baja",IF(S117&lt;1,"Rotación media","Compra absorbida; stock repuesto"))))))</x:f>
        <x:v>Con stock, sin ventas 365d</x:v>
      </x:c>
    </x:row>
    <x:row r="118">
      <x:c r="A118" s="31" t="str">
        <x:v>203281</x:v>
      </x:c>
      <x:c r="B118" s="53" t="str">
        <x:v>GUAYA ACELERADOR CB 110 YAHAZURA</x:v>
      </x:c>
      <x:c r="C118" s="32" t="n">
        <x:v>1</x:v>
      </x:c>
      <x:c r="D118" s="38" t="n">
        <x:v>4</x:v>
      </x:c>
      <x:c r="E118" s="44" t="n">
        <x:v>7000</x:v>
      </x:c>
      <x:c r="F118" s="44" t="n">
        <x:v>28000</x:v>
      </x:c>
      <x:c r="G118" s="41" t="n">
        <x:v>1</x:v>
      </x:c>
      <x:c r="H118" s="44" t="n">
        <x:f>MAX(G118,0)*E118</x:f>
        <x:v>7000</x:v>
      </x:c>
      <x:c r="I118" s="38" t="n">
        <x:v>3</x:v>
      </x:c>
      <x:c r="J118" s="44" t="n">
        <x:v>32000</x:v>
      </x:c>
      <x:c r="K118" s="32" t="n">
        <x:v>3</x:v>
      </x:c>
      <x:c r="L118" s="50" t="n">
        <x:v>45554.57407407407</x:v>
      </x:c>
      <x:c r="M118" s="50" t="n">
        <x:v>45840.63796296297</x:v>
      </x:c>
      <x:c r="N118" s="32" t="n">
        <x:f>IF(M118="","",MAX(0,'Resumen'!$B$3-M118))</x:f>
        <x:v>426.3620370370336</x:v>
      </x:c>
      <x:c r="O118" s="38" t="n">
        <x:v>0</x:v>
      </x:c>
      <x:c r="P118" s="38" t="n">
        <x:v>0</x:v>
      </x:c>
      <x:c r="Q118" s="38" t="n">
        <x:v>0</x:v>
      </x:c>
      <x:c r="R118" s="38" t="n">
        <x:f>MIN(D118,I118)</x:f>
        <x:v>3</x:v>
      </x:c>
      <x:c r="S118" s="47" t="n">
        <x:f>IFERROR(R118/D118,0)</x:f>
        <x:v>0.75</x:v>
      </x:c>
      <x:c r="T118" s="38" t="n">
        <x:f>MIN(MAX(G118,0),MAX(D118-I118,0))</x:f>
        <x:v>1</x:v>
      </x:c>
      <x:c r="U118" s="44" t="n">
        <x:f>T118*E118</x:f>
        <x:v>7000</x:v>
      </x:c>
      <x:c r="V118" s="38" t="n">
        <x:v>0</x:v>
      </x:c>
      <x:c r="W118" s="32" t="n">
        <x:v>0</x:v>
      </x:c>
      <x:c r="X118" s="50"/>
      <x:c r="Y118" s="44" t="n">
        <x:v>12000</x:v>
      </x:c>
      <x:c r="Z118" s="44" t="n">
        <x:f>IF(I118&gt;0,R118*(J118/I118),0)</x:f>
        <x:v>32000</x:v>
      </x:c>
      <x:c r="AA118" s="44" t="n">
        <x:f>Z118-(R118*E118)</x:f>
        <x:v>11000</x:v>
      </x:c>
      <x:c r="AB118" s="47" t="n">
        <x:f>IFERROR(AA118/Z118,0)</x:f>
        <x:v>0.34375</x:v>
      </x:c>
      <x:c r="AC118" s="32" t="str">
        <x:f>IF(S118=0,"0%",IF(S118&lt;0.5,"1-49%",IF(S118&lt;0.8,"50-79%",IF(S118&lt;1,"80-99%","100%"))))</x:f>
        <x:v>50-79%</x:v>
      </x:c>
      <x:c r="AD118" s="33" t="str">
        <x:f>IF(G118&lt;0,"Stock negativo",IF(G118&lt;=0,"Sin stock actual",IF(I118&lt;=0,"Sin ventas desde compra",IF(Q118&lt;=0,"Con stock, sin ventas 365d",IF(S118&lt;0.5,"Rotación baja",IF(S118&lt;1,"Rotación media","Compra absorbida; stock repuesto"))))))</x:f>
        <x:v>Con stock, sin ventas 365d</x:v>
      </x:c>
    </x:row>
    <x:row r="119">
      <x:c r="A119" s="31" t="str">
        <x:v>822204</x:v>
      </x:c>
      <x:c r="B119" s="53" t="str">
        <x:v>BUJIA NXR 125 / 130 BROS EVEREST</x:v>
      </x:c>
      <x:c r="C119" s="32" t="n">
        <x:v>1</x:v>
      </x:c>
      <x:c r="D119" s="38" t="n">
        <x:v>7</x:v>
      </x:c>
      <x:c r="E119" s="44" t="n">
        <x:v>4000</x:v>
      </x:c>
      <x:c r="F119" s="44" t="n">
        <x:v>28000</x:v>
      </x:c>
      <x:c r="G119" s="41" t="n">
        <x:v>6</x:v>
      </x:c>
      <x:c r="H119" s="44" t="n">
        <x:f>MAX(G119,0)*E119</x:f>
        <x:v>24000</x:v>
      </x:c>
      <x:c r="I119" s="38" t="n">
        <x:v>1</x:v>
      </x:c>
      <x:c r="J119" s="44" t="n">
        <x:v>7000</x:v>
      </x:c>
      <x:c r="K119" s="32" t="n">
        <x:v>1</x:v>
      </x:c>
      <x:c r="L119" s="50" t="n">
        <x:v>46014.563252314816</x:v>
      </x:c>
      <x:c r="M119" s="50" t="n">
        <x:v>46014.563252314816</x:v>
      </x:c>
      <x:c r="N119" s="32" t="n">
        <x:f>IF(M119="","",MAX(0,'Resumen'!$B$3-M119))</x:f>
        <x:v>252.43674768518395</x:v>
      </x:c>
      <x:c r="O119" s="38" t="n">
        <x:v>0</x:v>
      </x:c>
      <x:c r="P119" s="38" t="n">
        <x:v>0</x:v>
      </x:c>
      <x:c r="Q119" s="38" t="n">
        <x:v>1</x:v>
      </x:c>
      <x:c r="R119" s="38" t="n">
        <x:f>MIN(D119,I119)</x:f>
        <x:v>1</x:v>
      </x:c>
      <x:c r="S119" s="47" t="n">
        <x:f>IFERROR(R119/D119,0)</x:f>
        <x:v>0.14285714285714285</x:v>
      </x:c>
      <x:c r="T119" s="38" t="n">
        <x:f>MIN(MAX(G119,0),MAX(D119-I119,0))</x:f>
        <x:v>6</x:v>
      </x:c>
      <x:c r="U119" s="44" t="n">
        <x:f>T119*E119</x:f>
        <x:v>24000</x:v>
      </x:c>
      <x:c r="V119" s="38" t="n">
        <x:v>0</x:v>
      </x:c>
      <x:c r="W119" s="32" t="n">
        <x:v>0</x:v>
      </x:c>
      <x:c r="X119" s="50"/>
      <x:c r="Y119" s="44" t="n">
        <x:v>7000</x:v>
      </x:c>
      <x:c r="Z119" s="44" t="n">
        <x:f>IF(I119&gt;0,R119*(J119/I119),0)</x:f>
        <x:v>7000</x:v>
      </x:c>
      <x:c r="AA119" s="44" t="n">
        <x:f>Z119-(R119*E119)</x:f>
        <x:v>3000</x:v>
      </x:c>
      <x:c r="AB119" s="47" t="n">
        <x:f>IFERROR(AA119/Z119,0)</x:f>
        <x:v>0.42857142857142855</x:v>
      </x:c>
      <x:c r="AC119" s="32" t="str">
        <x:f>IF(S119=0,"0%",IF(S119&lt;0.5,"1-49%",IF(S119&lt;0.8,"50-79%",IF(S119&lt;1,"80-99%","100%"))))</x:f>
        <x:v>1-49%</x:v>
      </x:c>
      <x:c r="AD119" s="33" t="str">
        <x:f>IF(G119&lt;0,"Stock negativo",IF(G119&lt;=0,"Sin stock actual",IF(I119&lt;=0,"Sin ventas desde compra",IF(Q119&lt;=0,"Con stock, sin ventas 365d",IF(S119&lt;0.5,"Rotación baja",IF(S119&lt;1,"Rotación media","Compra absorbida; stock repuesto"))))))</x:f>
        <x:v>Rotación baja</x:v>
      </x:c>
    </x:row>
    <x:row r="120">
      <x:c r="A120" s="31" t="str">
        <x:v>MOTS1087</x:v>
      </x:c>
      <x:c r="B120" s="53" t="str">
        <x:v>RETEN 30-02-10-5 BARAI</x:v>
      </x:c>
      <x:c r="C120" s="32" t="n">
        <x:v>1</x:v>
      </x:c>
      <x:c r="D120" s="38" t="n">
        <x:v>12</x:v>
      </x:c>
      <x:c r="E120" s="44" t="n">
        <x:v>2300</x:v>
      </x:c>
      <x:c r="F120" s="44" t="n">
        <x:v>27600</x:v>
      </x:c>
      <x:c r="G120" s="41" t="n">
        <x:v>5</x:v>
      </x:c>
      <x:c r="H120" s="44" t="n">
        <x:f>MAX(G120,0)*E120</x:f>
        <x:v>11500</x:v>
      </x:c>
      <x:c r="I120" s="38" t="n">
        <x:v>7</x:v>
      </x:c>
      <x:c r="J120" s="44" t="n">
        <x:v>26000</x:v>
      </x:c>
      <x:c r="K120" s="32" t="n">
        <x:v>2</x:v>
      </x:c>
      <x:c r="L120" s="50" t="n">
        <x:v>45591.58458333334</x:v>
      </x:c>
      <x:c r="M120" s="50" t="n">
        <x:v>45604.609085648146</x:v>
      </x:c>
      <x:c r="N120" s="32" t="n">
        <x:f>IF(M120="","",MAX(0,'Resumen'!$B$3-M120))</x:f>
        <x:v>662.390914351854</x:v>
      </x:c>
      <x:c r="O120" s="38" t="n">
        <x:v>0</x:v>
      </x:c>
      <x:c r="P120" s="38" t="n">
        <x:v>0</x:v>
      </x:c>
      <x:c r="Q120" s="38" t="n">
        <x:v>0</x:v>
      </x:c>
      <x:c r="R120" s="38" t="n">
        <x:f>MIN(D120,I120)</x:f>
        <x:v>7</x:v>
      </x:c>
      <x:c r="S120" s="47" t="n">
        <x:f>IFERROR(R120/D120,0)</x:f>
        <x:v>0.5833333333333334</x:v>
      </x:c>
      <x:c r="T120" s="38" t="n">
        <x:f>MIN(MAX(G120,0),MAX(D120-I120,0))</x:f>
        <x:v>5</x:v>
      </x:c>
      <x:c r="U120" s="44" t="n">
        <x:f>T120*E120</x:f>
        <x:v>11500</x:v>
      </x:c>
      <x:c r="V120" s="38" t="n">
        <x:v>0</x:v>
      </x:c>
      <x:c r="W120" s="32" t="n">
        <x:v>0</x:v>
      </x:c>
      <x:c r="X120" s="50"/>
      <x:c r="Y120" s="44" t="n">
        <x:v>4000</x:v>
      </x:c>
      <x:c r="Z120" s="44" t="n">
        <x:f>IF(I120&gt;0,R120*(J120/I120),0)</x:f>
        <x:v>26000</x:v>
      </x:c>
      <x:c r="AA120" s="44" t="n">
        <x:f>Z120-(R120*E120)</x:f>
        <x:v>9900</x:v>
      </x:c>
      <x:c r="AB120" s="47" t="n">
        <x:f>IFERROR(AA120/Z120,0)</x:f>
        <x:v>0.38076923076923075</x:v>
      </x:c>
      <x:c r="AC120" s="32" t="str">
        <x:f>IF(S120=0,"0%",IF(S120&lt;0.5,"1-49%",IF(S120&lt;0.8,"50-79%",IF(S120&lt;1,"80-99%","100%"))))</x:f>
        <x:v>50-79%</x:v>
      </x:c>
      <x:c r="AD120" s="33" t="str">
        <x:f>IF(G120&lt;0,"Stock negativo",IF(G120&lt;=0,"Sin stock actual",IF(I120&lt;=0,"Sin ventas desde compra",IF(Q120&lt;=0,"Con stock, sin ventas 365d",IF(S120&lt;0.5,"Rotación baja",IF(S120&lt;1,"Rotación media","Compra absorbida; stock repuesto"))))))</x:f>
        <x:v>Con stock, sin ventas 365d</x:v>
      </x:c>
    </x:row>
    <x:row r="121">
      <x:c r="A121" s="31" t="str">
        <x:v>914224</x:v>
      </x:c>
      <x:c r="B121" s="53" t="str">
        <x:v>MANIGUETA DER CB 110 JAPAN</x:v>
      </x:c>
      <x:c r="C121" s="32" t="n">
        <x:v>1</x:v>
      </x:c>
      <x:c r="D121" s="38" t="n">
        <x:v>5</x:v>
      </x:c>
      <x:c r="E121" s="44" t="n">
        <x:v>5500</x:v>
      </x:c>
      <x:c r="F121" s="44" t="n">
        <x:v>27500</x:v>
      </x:c>
      <x:c r="G121" s="41" t="n">
        <x:v>3</x:v>
      </x:c>
      <x:c r="H121" s="44" t="n">
        <x:f>MAX(G121,0)*E121</x:f>
        <x:v>16500</x:v>
      </x:c>
      <x:c r="I121" s="38" t="n">
        <x:v>3</x:v>
      </x:c>
      <x:c r="J121" s="44" t="n">
        <x:v>28400</x:v>
      </x:c>
      <x:c r="K121" s="32" t="n">
        <x:v>3</x:v>
      </x:c>
      <x:c r="L121" s="50" t="n">
        <x:v>45761.73981481481</x:v>
      </x:c>
      <x:c r="M121" s="50" t="n">
        <x:v>46158.84048611111</x:v>
      </x:c>
      <x:c r="N121" s="32" t="n">
        <x:f>IF(M121="","",MAX(0,'Resumen'!$B$3-M121))</x:f>
        <x:v>108.15951388888789</x:v>
      </x:c>
      <x:c r="O121" s="38" t="n">
        <x:v>0</x:v>
      </x:c>
      <x:c r="P121" s="38" t="n">
        <x:v>0</x:v>
      </x:c>
      <x:c r="Q121" s="38" t="n">
        <x:v>1</x:v>
      </x:c>
      <x:c r="R121" s="38" t="n">
        <x:f>MIN(D121,I121)</x:f>
        <x:v>3</x:v>
      </x:c>
      <x:c r="S121" s="47" t="n">
        <x:f>IFERROR(R121/D121,0)</x:f>
        <x:v>0.6</x:v>
      </x:c>
      <x:c r="T121" s="38" t="n">
        <x:f>MIN(MAX(G121,0),MAX(D121-I121,0))</x:f>
        <x:v>2</x:v>
      </x:c>
      <x:c r="U121" s="44" t="n">
        <x:f>T121*E121</x:f>
        <x:v>11000</x:v>
      </x:c>
      <x:c r="V121" s="38" t="n">
        <x:v>1</x:v>
      </x:c>
      <x:c r="W121" s="32" t="n">
        <x:v>1</x:v>
      </x:c>
      <x:c r="X121" s="50" t="n">
        <x:v>45938</x:v>
      </x:c>
      <x:c r="Y121" s="44" t="n">
        <x:v>9500</x:v>
      </x:c>
      <x:c r="Z121" s="44" t="n">
        <x:f>IF(I121&gt;0,R121*(J121/I121),0)</x:f>
        <x:v>28400</x:v>
      </x:c>
      <x:c r="AA121" s="44" t="n">
        <x:f>Z121-(R121*E121)</x:f>
        <x:v>11900</x:v>
      </x:c>
      <x:c r="AB121" s="47" t="n">
        <x:f>IFERROR(AA121/Z121,0)</x:f>
        <x:v>0.41901408450704225</x:v>
      </x:c>
      <x:c r="AC121" s="32" t="str">
        <x:f>IF(S121=0,"0%",IF(S121&lt;0.5,"1-49%",IF(S121&lt;0.8,"50-79%",IF(S121&lt;1,"80-99%","100%"))))</x:f>
        <x:v>50-79%</x:v>
      </x:c>
      <x:c r="AD121" s="33" t="str">
        <x:f>IF(G121&lt;0,"Stock negativo",IF(G121&lt;=0,"Sin stock actual",IF(I121&lt;=0,"Sin ventas desde compra",IF(Q121&lt;=0,"Con stock, sin ventas 365d",IF(S121&lt;0.5,"Rotación baja",IF(S121&lt;1,"Rotación media","Compra absorbida; stock repuesto"))))))</x:f>
        <x:v>Rotación media</x:v>
      </x:c>
    </x:row>
    <x:row r="122">
      <x:c r="A122" s="31" t="str">
        <x:v>M950663</x:v>
      </x:c>
      <x:c r="B122" s="53" t="str">
        <x:v>KIT DISTRIBUCCION CB 110 KNT</x:v>
      </x:c>
      <x:c r="C122" s="32" t="n">
        <x:v>1</x:v>
      </x:c>
      <x:c r="D122" s="38" t="n">
        <x:v>1</x:v>
      </x:c>
      <x:c r="E122" s="44" t="n">
        <x:v>27000</x:v>
      </x:c>
      <x:c r="F122" s="44" t="n">
        <x:v>27000</x:v>
      </x:c>
      <x:c r="G122" s="41" t="n">
        <x:v>0</x:v>
      </x:c>
      <x:c r="H122" s="44" t="n">
        <x:f>MAX(G122,0)*E122</x:f>
        <x:v>0</x:v>
      </x:c>
      <x:c r="I122" s="38" t="n">
        <x:v>1</x:v>
      </x:c>
      <x:c r="J122" s="44" t="n">
        <x:v>45000</x:v>
      </x:c>
      <x:c r="K122" s="32" t="n">
        <x:v>1</x:v>
      </x:c>
      <x:c r="L122" s="50" t="n">
        <x:v>45528.74765046296</x:v>
      </x:c>
      <x:c r="M122" s="50" t="n">
        <x:v>45528.74765046296</x:v>
      </x:c>
      <x:c r="N122" s="32" t="n">
        <x:f>IF(M122="","",MAX(0,'Resumen'!$B$3-M122))</x:f>
        <x:v>738.2523495370406</x:v>
      </x:c>
      <x:c r="O122" s="38" t="n">
        <x:v>0</x:v>
      </x:c>
      <x:c r="P122" s="38" t="n">
        <x:v>0</x:v>
      </x:c>
      <x:c r="Q122" s="38" t="n">
        <x:v>0</x:v>
      </x:c>
      <x:c r="R122" s="38" t="n">
        <x:f>MIN(D122,I122)</x:f>
        <x:v>1</x:v>
      </x:c>
      <x:c r="S122" s="47" t="n">
        <x:f>IFERROR(R122/D122,0)</x:f>
        <x:v>1</x:v>
      </x:c>
      <x:c r="T122" s="38" t="n">
        <x:f>MIN(MAX(G122,0),MAX(D122-I122,0))</x:f>
        <x:v>0</x:v>
      </x:c>
      <x:c r="U122" s="44" t="n">
        <x:f>T122*E122</x:f>
        <x:v>0</x:v>
      </x:c>
      <x:c r="V122" s="38" t="n">
        <x:v>0</x:v>
      </x:c>
      <x:c r="W122" s="32" t="n">
        <x:v>0</x:v>
      </x:c>
      <x:c r="X122" s="50"/>
      <x:c r="Y122" s="44" t="n">
        <x:v>45000</x:v>
      </x:c>
      <x:c r="Z122" s="44" t="n">
        <x:f>IF(I122&gt;0,R122*(J122/I122),0)</x:f>
        <x:v>45000</x:v>
      </x:c>
      <x:c r="AA122" s="44" t="n">
        <x:f>Z122-(R122*E122)</x:f>
        <x:v>18000</x:v>
      </x:c>
      <x:c r="AB122" s="47" t="n">
        <x:f>IFERROR(AA122/Z122,0)</x:f>
        <x:v>0.4</x:v>
      </x:c>
      <x:c r="AC122" s="32" t="str">
        <x:f>IF(S122=0,"0%",IF(S122&lt;0.5,"1-49%",IF(S122&lt;0.8,"50-79%",IF(S122&lt;1,"80-99%","100%"))))</x:f>
        <x:v>100%</x:v>
      </x:c>
      <x:c r="AD122" s="33" t="str">
        <x:f>IF(G122&lt;0,"Stock negativo",IF(G122&lt;=0,"Sin stock actual",IF(I122&lt;=0,"Sin ventas desde compra",IF(Q122&lt;=0,"Con stock, sin ventas 365d",IF(S122&lt;0.5,"Rotación baja",IF(S122&lt;1,"Rotación media","Compra absorbida; stock repuesto"))))))</x:f>
        <x:v>Sin stock actual</x:v>
      </x:c>
    </x:row>
    <x:row r="123">
      <x:c r="A123" s="31" t="str">
        <x:v>MOTS1081</x:v>
      </x:c>
      <x:c r="B123" s="53" t="str">
        <x:v>RETEN 30-40-7</x:v>
      </x:c>
      <x:c r="C123" s="32" t="n">
        <x:v>1</x:v>
      </x:c>
      <x:c r="D123" s="38" t="n">
        <x:v>9</x:v>
      </x:c>
      <x:c r="E123" s="44" t="n">
        <x:v>3000</x:v>
      </x:c>
      <x:c r="F123" s="44" t="n">
        <x:v>27000</x:v>
      </x:c>
      <x:c r="G123" s="41" t="n">
        <x:v>9</x:v>
      </x:c>
      <x:c r="H123" s="44" t="n">
        <x:f>MAX(G123,0)*E123</x:f>
        <x:v>27000</x:v>
      </x:c>
      <x:c r="I123" s="38" t="n">
        <x:v>0</x:v>
      </x:c>
      <x:c r="J123" s="44" t="n">
        <x:v>0</x:v>
      </x:c>
      <x:c r="K123" s="32" t="n">
        <x:v>0</x:v>
      </x:c>
      <x:c r="L123" s="50"/>
      <x:c r="M123" s="50"/>
      <x:c r="N123" s="32" t="str">
        <x:f>IF(M123="","",MAX(0,'Resumen'!$B$3-M123))</x:f>
      </x:c>
      <x:c r="O123" s="38" t="n">
        <x:v>0</x:v>
      </x:c>
      <x:c r="P123" s="38" t="n">
        <x:v>0</x:v>
      </x:c>
      <x:c r="Q123" s="38" t="n">
        <x:v>0</x:v>
      </x:c>
      <x:c r="R123" s="38" t="n">
        <x:f>MIN(D123,I123)</x:f>
        <x:v>0</x:v>
      </x:c>
      <x:c r="S123" s="47" t="n">
        <x:f>IFERROR(R123/D123,0)</x:f>
        <x:v>0</x:v>
      </x:c>
      <x:c r="T123" s="38" t="n">
        <x:f>MIN(MAX(G123,0),MAX(D123-I123,0))</x:f>
        <x:v>9</x:v>
      </x:c>
      <x:c r="U123" s="44" t="n">
        <x:f>T123*E123</x:f>
        <x:v>27000</x:v>
      </x:c>
      <x:c r="V123" s="38" t="n">
        <x:v>0</x:v>
      </x:c>
      <x:c r="W123" s="32" t="n">
        <x:v>0</x:v>
      </x:c>
      <x:c r="X123" s="50"/>
      <x:c r="Y123" s="44" t="n">
        <x:v>5000</x:v>
      </x:c>
      <x:c r="Z123" s="44" t="n">
        <x:f>IF(I123&gt;0,R123*(J123/I123),0)</x:f>
        <x:v>0</x:v>
      </x:c>
      <x:c r="AA123" s="44" t="n">
        <x:f>Z123-(R123*E123)</x:f>
        <x:v>0</x:v>
      </x:c>
      <x:c r="AB123" s="47" t="n">
        <x:f>IFERROR(AA123/Z123,0)</x:f>
        <x:v>0</x:v>
      </x:c>
      <x:c r="AC123" s="32" t="str">
        <x:f>IF(S123=0,"0%",IF(S123&lt;0.5,"1-49%",IF(S123&lt;0.8,"50-79%",IF(S123&lt;1,"80-99%","100%"))))</x:f>
        <x:v>0%</x:v>
      </x:c>
      <x:c r="AD123" s="33" t="str">
        <x:f>IF(G123&lt;0,"Stock negativo",IF(G123&lt;=0,"Sin stock actual",IF(I123&lt;=0,"Sin ventas desde compra",IF(Q123&lt;=0,"Con stock, sin ventas 365d",IF(S123&lt;0.5,"Rotación baja",IF(S123&lt;1,"Rotación media","Compra absorbida; stock repuesto"))))))</x:f>
        <x:v>Sin ventas desde compra</x:v>
      </x:c>
    </x:row>
    <x:row r="124">
      <x:c r="A124" s="31" t="str">
        <x:v>MOTS1232</x:v>
      </x:c>
      <x:c r="B124" s="53" t="str">
        <x:v>BALINERA 6005 ZZ C3 KOYO</x:v>
      </x:c>
      <x:c r="C124" s="32" t="n">
        <x:v>1</x:v>
      </x:c>
      <x:c r="D124" s="38" t="n">
        <x:v>3</x:v>
      </x:c>
      <x:c r="E124" s="44" t="n">
        <x:v>9000</x:v>
      </x:c>
      <x:c r="F124" s="44" t="n">
        <x:v>27000</x:v>
      </x:c>
      <x:c r="G124" s="41" t="n">
        <x:v>1</x:v>
      </x:c>
      <x:c r="H124" s="44" t="n">
        <x:f>MAX(G124,0)*E124</x:f>
        <x:v>9000</x:v>
      </x:c>
      <x:c r="I124" s="38" t="n">
        <x:v>3</x:v>
      </x:c>
      <x:c r="J124" s="44" t="n">
        <x:v>51000</x:v>
      </x:c>
      <x:c r="K124" s="32" t="n">
        <x:v>3</x:v>
      </x:c>
      <x:c r="L124" s="50" t="n">
        <x:v>45563.62672453704</x:v>
      </x:c>
      <x:c r="M124" s="50" t="n">
        <x:v>45730.7271875</x:v>
      </x:c>
      <x:c r="N124" s="32" t="n">
        <x:f>IF(M124="","",MAX(0,'Resumen'!$B$3-M124))</x:f>
        <x:v>536.2728124999994</x:v>
      </x:c>
      <x:c r="O124" s="38" t="n">
        <x:v>0</x:v>
      </x:c>
      <x:c r="P124" s="38" t="n">
        <x:v>0</x:v>
      </x:c>
      <x:c r="Q124" s="38" t="n">
        <x:v>0</x:v>
      </x:c>
      <x:c r="R124" s="38" t="n">
        <x:f>MIN(D124,I124)</x:f>
        <x:v>3</x:v>
      </x:c>
      <x:c r="S124" s="47" t="n">
        <x:f>IFERROR(R124/D124,0)</x:f>
        <x:v>1</x:v>
      </x:c>
      <x:c r="T124" s="38" t="n">
        <x:f>MIN(MAX(G124,0),MAX(D124-I124,0))</x:f>
        <x:v>0</x:v>
      </x:c>
      <x:c r="U124" s="44" t="n">
        <x:f>T124*E124</x:f>
        <x:v>0</x:v>
      </x:c>
      <x:c r="V124" s="38" t="n">
        <x:v>1</x:v>
      </x:c>
      <x:c r="W124" s="32" t="n">
        <x:v>1</x:v>
      </x:c>
      <x:c r="X124" s="50" t="n">
        <x:v>45701</x:v>
      </x:c>
      <x:c r="Y124" s="44" t="n">
        <x:v>18000</x:v>
      </x:c>
      <x:c r="Z124" s="44" t="n">
        <x:f>IF(I124&gt;0,R124*(J124/I124),0)</x:f>
        <x:v>51000</x:v>
      </x:c>
      <x:c r="AA124" s="44" t="n">
        <x:f>Z124-(R124*E124)</x:f>
        <x:v>24000</x:v>
      </x:c>
      <x:c r="AB124" s="47" t="n">
        <x:f>IFERROR(AA124/Z124,0)</x:f>
        <x:v>0.47058823529411764</x:v>
      </x:c>
      <x:c r="AC124" s="32" t="str">
        <x:f>IF(S124=0,"0%",IF(S124&lt;0.5,"1-49%",IF(S124&lt;0.8,"50-79%",IF(S124&lt;1,"80-99%","100%"))))</x:f>
        <x:v>100%</x:v>
      </x:c>
      <x:c r="AD124" s="33" t="str">
        <x:f>IF(G124&lt;0,"Stock negativo",IF(G124&lt;=0,"Sin stock actual",IF(I124&lt;=0,"Sin ventas desde compra",IF(Q124&lt;=0,"Con stock, sin ventas 365d",IF(S124&lt;0.5,"Rotación baja",IF(S124&lt;1,"Rotación media","Compra absorbida; stock repuesto"))))))</x:f>
        <x:v>Con stock, sin ventas 365d</x:v>
      </x:c>
    </x:row>
    <x:row r="125">
      <x:c r="A125" s="31" t="str">
        <x:v>MOTS1248</x:v>
      </x:c>
      <x:c r="B125" s="53" t="str">
        <x:v>PASTILLAS FRENO BWS DEI JAPAN</x:v>
      </x:c>
      <x:c r="C125" s="32" t="n">
        <x:v>1</x:v>
      </x:c>
      <x:c r="D125" s="38" t="n">
        <x:v>2</x:v>
      </x:c>
      <x:c r="E125" s="44" t="n">
        <x:v>13500</x:v>
      </x:c>
      <x:c r="F125" s="44" t="n">
        <x:v>27000</x:v>
      </x:c>
      <x:c r="G125" s="41" t="n">
        <x:v>1</x:v>
      </x:c>
      <x:c r="H125" s="44" t="n">
        <x:f>MAX(G125,0)*E125</x:f>
        <x:v>13500</x:v>
      </x:c>
      <x:c r="I125" s="38" t="n">
        <x:v>2</x:v>
      </x:c>
      <x:c r="J125" s="44" t="n">
        <x:v>44500</x:v>
      </x:c>
      <x:c r="K125" s="32" t="n">
        <x:v>2</x:v>
      </x:c>
      <x:c r="L125" s="50" t="n">
        <x:v>45556.66974537037</x:v>
      </x:c>
      <x:c r="M125" s="50" t="n">
        <x:v>45733.563125</x:v>
      </x:c>
      <x:c r="N125" s="32" t="n">
        <x:f>IF(M125="","",MAX(0,'Resumen'!$B$3-M125))</x:f>
        <x:v>533.4368749999994</x:v>
      </x:c>
      <x:c r="O125" s="38" t="n">
        <x:v>0</x:v>
      </x:c>
      <x:c r="P125" s="38" t="n">
        <x:v>0</x:v>
      </x:c>
      <x:c r="Q125" s="38" t="n">
        <x:v>0</x:v>
      </x:c>
      <x:c r="R125" s="38" t="n">
        <x:f>MIN(D125,I125)</x:f>
        <x:v>2</x:v>
      </x:c>
      <x:c r="S125" s="47" t="n">
        <x:f>IFERROR(R125/D125,0)</x:f>
        <x:v>1</x:v>
      </x:c>
      <x:c r="T125" s="38" t="n">
        <x:f>MIN(MAX(G125,0),MAX(D125-I125,0))</x:f>
        <x:v>0</x:v>
      </x:c>
      <x:c r="U125" s="44" t="n">
        <x:f>T125*E125</x:f>
        <x:v>0</x:v>
      </x:c>
      <x:c r="V125" s="38" t="n">
        <x:v>1</x:v>
      </x:c>
      <x:c r="W125" s="32" t="n">
        <x:v>1</x:v>
      </x:c>
      <x:c r="X125" s="50" t="n">
        <x:v>45505</x:v>
      </x:c>
      <x:c r="Y125" s="44" t="n">
        <x:v>22500</x:v>
      </x:c>
      <x:c r="Z125" s="44" t="n">
        <x:f>IF(I125&gt;0,R125*(J125/I125),0)</x:f>
        <x:v>44500</x:v>
      </x:c>
      <x:c r="AA125" s="44" t="n">
        <x:f>Z125-(R125*E125)</x:f>
        <x:v>17500</x:v>
      </x:c>
      <x:c r="AB125" s="47" t="n">
        <x:f>IFERROR(AA125/Z125,0)</x:f>
        <x:v>0.39325842696629215</x:v>
      </x:c>
      <x:c r="AC125" s="32" t="str">
        <x:f>IF(S125=0,"0%",IF(S125&lt;0.5,"1-49%",IF(S125&lt;0.8,"50-79%",IF(S125&lt;1,"80-99%","100%"))))</x:f>
        <x:v>100%</x:v>
      </x:c>
      <x:c r="AD125" s="33" t="str">
        <x:f>IF(G125&lt;0,"Stock negativo",IF(G125&lt;=0,"Sin stock actual",IF(I125&lt;=0,"Sin ventas desde compra",IF(Q125&lt;=0,"Con stock, sin ventas 365d",IF(S125&lt;0.5,"Rotación baja",IF(S125&lt;1,"Rotación media","Compra absorbida; stock repuesto"))))))</x:f>
        <x:v>Con stock, sin ventas 365d</x:v>
      </x:c>
    </x:row>
    <x:row r="126">
      <x:c r="A126" s="31" t="str">
        <x:v>MOTS1307</x:v>
      </x:c>
      <x:c r="B126" s="53" t="str">
        <x:v>BOMBILLO H1 (8.5 MM) P1YSS 12V SUPER WHITHEBY WARD</x:v>
      </x:c>
      <x:c r="C126" s="32" t="n">
        <x:v>1</x:v>
      </x:c>
      <x:c r="D126" s="38" t="n">
        <x:v>6</x:v>
      </x:c>
      <x:c r="E126" s="44" t="n">
        <x:v>4500</x:v>
      </x:c>
      <x:c r="F126" s="44" t="n">
        <x:v>27000</x:v>
      </x:c>
      <x:c r="G126" s="41" t="n">
        <x:v>0</x:v>
      </x:c>
      <x:c r="H126" s="44" t="n">
        <x:f>MAX(G126,0)*E126</x:f>
        <x:v>0</x:v>
      </x:c>
      <x:c r="I126" s="38" t="n">
        <x:v>6</x:v>
      </x:c>
      <x:c r="J126" s="44" t="n">
        <x:v>36500</x:v>
      </x:c>
      <x:c r="K126" s="32" t="n">
        <x:v>4</x:v>
      </x:c>
      <x:c r="L126" s="50" t="n">
        <x:v>45536.577152777776</x:v>
      </x:c>
      <x:c r="M126" s="50" t="n">
        <x:v>45700.932233796295</x:v>
      </x:c>
      <x:c r="N126" s="32" t="n">
        <x:f>IF(M126="","",MAX(0,'Resumen'!$B$3-M126))</x:f>
        <x:v>566.0677662037051</x:v>
      </x:c>
      <x:c r="O126" s="38" t="n">
        <x:v>0</x:v>
      </x:c>
      <x:c r="P126" s="38" t="n">
        <x:v>0</x:v>
      </x:c>
      <x:c r="Q126" s="38" t="n">
        <x:v>0</x:v>
      </x:c>
      <x:c r="R126" s="38" t="n">
        <x:f>MIN(D126,I126)</x:f>
        <x:v>6</x:v>
      </x:c>
      <x:c r="S126" s="47" t="n">
        <x:f>IFERROR(R126/D126,0)</x:f>
        <x:v>1</x:v>
      </x:c>
      <x:c r="T126" s="38" t="n">
        <x:f>MIN(MAX(G126,0),MAX(D126-I126,0))</x:f>
        <x:v>0</x:v>
      </x:c>
      <x:c r="U126" s="44" t="n">
        <x:f>T126*E126</x:f>
        <x:v>0</x:v>
      </x:c>
      <x:c r="V126" s="38" t="n">
        <x:v>0</x:v>
      </x:c>
      <x:c r="W126" s="32" t="n">
        <x:v>0</x:v>
      </x:c>
      <x:c r="X126" s="50"/>
      <x:c r="Y126" s="44" t="n">
        <x:v>7500</x:v>
      </x:c>
      <x:c r="Z126" s="44" t="n">
        <x:f>IF(I126&gt;0,R126*(J126/I126),0)</x:f>
        <x:v>36500</x:v>
      </x:c>
      <x:c r="AA126" s="44" t="n">
        <x:f>Z126-(R126*E126)</x:f>
        <x:v>9500</x:v>
      </x:c>
      <x:c r="AB126" s="47" t="n">
        <x:f>IFERROR(AA126/Z126,0)</x:f>
        <x:v>0.2602739726027397</x:v>
      </x:c>
      <x:c r="AC126" s="32" t="str">
        <x:f>IF(S126=0,"0%",IF(S126&lt;0.5,"1-49%",IF(S126&lt;0.8,"50-79%",IF(S126&lt;1,"80-99%","100%"))))</x:f>
        <x:v>100%</x:v>
      </x:c>
      <x:c r="AD126" s="33" t="str">
        <x:f>IF(G126&lt;0,"Stock negativo",IF(G126&lt;=0,"Sin stock actual",IF(I126&lt;=0,"Sin ventas desde compra",IF(Q126&lt;=0,"Con stock, sin ventas 365d",IF(S126&lt;0.5,"Rotación baja",IF(S126&lt;1,"Rotación media","Compra absorbida; stock repuesto"))))))</x:f>
        <x:v>Sin stock actual</x:v>
      </x:c>
    </x:row>
    <x:row r="127">
      <x:c r="A127" s="31" t="str">
        <x:v>MOTS1107</x:v>
      </x:c>
      <x:c r="B127" s="53" t="str">
        <x:v>TAPA TANQUE HERO  HONDA ECO</x:v>
      </x:c>
      <x:c r="C127" s="32" t="n">
        <x:v>1</x:v>
      </x:c>
      <x:c r="D127" s="38" t="n">
        <x:v>1</x:v>
      </x:c>
      <x:c r="E127" s="44" t="n">
        <x:v>26800</x:v>
      </x:c>
      <x:c r="F127" s="44" t="n">
        <x:v>26800</x:v>
      </x:c>
      <x:c r="G127" s="41" t="n">
        <x:v>0</x:v>
      </x:c>
      <x:c r="H127" s="44" t="n">
        <x:f>MAX(G127,0)*E127</x:f>
        <x:v>0</x:v>
      </x:c>
      <x:c r="I127" s="38" t="n">
        <x:v>1</x:v>
      </x:c>
      <x:c r="J127" s="44" t="n">
        <x:v>38000</x:v>
      </x:c>
      <x:c r="K127" s="32" t="n">
        <x:v>1</x:v>
      </x:c>
      <x:c r="L127" s="50" t="n">
        <x:v>45692.99087962963</x:v>
      </x:c>
      <x:c r="M127" s="50" t="n">
        <x:v>45692.99087962963</x:v>
      </x:c>
      <x:c r="N127" s="32" t="n">
        <x:f>IF(M127="","",MAX(0,'Resumen'!$B$3-M127))</x:f>
        <x:v>574.0091203703705</x:v>
      </x:c>
      <x:c r="O127" s="38" t="n">
        <x:v>0</x:v>
      </x:c>
      <x:c r="P127" s="38" t="n">
        <x:v>0</x:v>
      </x:c>
      <x:c r="Q127" s="38" t="n">
        <x:v>0</x:v>
      </x:c>
      <x:c r="R127" s="38" t="n">
        <x:f>MIN(D127,I127)</x:f>
        <x:v>1</x:v>
      </x:c>
      <x:c r="S127" s="47" t="n">
        <x:f>IFERROR(R127/D127,0)</x:f>
        <x:v>1</x:v>
      </x:c>
      <x:c r="T127" s="38" t="n">
        <x:f>MIN(MAX(G127,0),MAX(D127-I127,0))</x:f>
        <x:v>0</x:v>
      </x:c>
      <x:c r="U127" s="44" t="n">
        <x:f>T127*E127</x:f>
        <x:v>0</x:v>
      </x:c>
      <x:c r="V127" s="38" t="n">
        <x:v>0</x:v>
      </x:c>
      <x:c r="W127" s="32" t="n">
        <x:v>0</x:v>
      </x:c>
      <x:c r="X127" s="50"/>
      <x:c r="Y127" s="44" t="n">
        <x:v>45000</x:v>
      </x:c>
      <x:c r="Z127" s="44" t="n">
        <x:f>IF(I127&gt;0,R127*(J127/I127),0)</x:f>
        <x:v>38000</x:v>
      </x:c>
      <x:c r="AA127" s="44" t="n">
        <x:f>Z127-(R127*E127)</x:f>
        <x:v>11200</x:v>
      </x:c>
      <x:c r="AB127" s="47" t="n">
        <x:f>IFERROR(AA127/Z127,0)</x:f>
        <x:v>0.29473684210526313</x:v>
      </x:c>
      <x:c r="AC127" s="32" t="str">
        <x:f>IF(S127=0,"0%",IF(S127&lt;0.5,"1-49%",IF(S127&lt;0.8,"50-79%",IF(S127&lt;1,"80-99%","100%"))))</x:f>
        <x:v>100%</x:v>
      </x:c>
      <x:c r="AD127" s="33" t="str">
        <x:f>IF(G127&lt;0,"Stock negativo",IF(G127&lt;=0,"Sin stock actual",IF(I127&lt;=0,"Sin ventas desde compra",IF(Q127&lt;=0,"Con stock, sin ventas 365d",IF(S127&lt;0.5,"Rotación baja",IF(S127&lt;1,"Rotación media","Compra absorbida; stock repuesto"))))))</x:f>
        <x:v>Sin stock actual</x:v>
      </x:c>
    </x:row>
    <x:row r="128">
      <x:c r="A128" s="31" t="str">
        <x:v>MOTS1283</x:v>
      </x:c>
      <x:c r="B128" s="53" t="str">
        <x:v>DISCOS CLUCTH AX 5GP SUZUKI</x:v>
      </x:c>
      <x:c r="C128" s="32" t="n">
        <x:v>1</x:v>
      </x:c>
      <x:c r="D128" s="38" t="n">
        <x:v>2</x:v>
      </x:c>
      <x:c r="E128" s="44" t="n">
        <x:v>13200</x:v>
      </x:c>
      <x:c r="F128" s="44" t="n">
        <x:v>26400</x:v>
      </x:c>
      <x:c r="G128" s="41" t="n">
        <x:v>0</x:v>
      </x:c>
      <x:c r="H128" s="44" t="n">
        <x:f>MAX(G128,0)*E128</x:f>
        <x:v>0</x:v>
      </x:c>
      <x:c r="I128" s="38" t="n">
        <x:v>2</x:v>
      </x:c>
      <x:c r="J128" s="44" t="n">
        <x:v>41000</x:v>
      </x:c>
      <x:c r="K128" s="32" t="n">
        <x:v>2</x:v>
      </x:c>
      <x:c r="L128" s="50" t="n">
        <x:v>45735.72252314815</x:v>
      </x:c>
      <x:c r="M128" s="50" t="n">
        <x:v>45835.690775462965</x:v>
      </x:c>
      <x:c r="N128" s="32" t="n">
        <x:f>IF(M128="","",MAX(0,'Resumen'!$B$3-M128))</x:f>
        <x:v>431.30922453703533</x:v>
      </x:c>
      <x:c r="O128" s="38" t="n">
        <x:v>0</x:v>
      </x:c>
      <x:c r="P128" s="38" t="n">
        <x:v>0</x:v>
      </x:c>
      <x:c r="Q128" s="38" t="n">
        <x:v>0</x:v>
      </x:c>
      <x:c r="R128" s="38" t="n">
        <x:f>MIN(D128,I128)</x:f>
        <x:v>2</x:v>
      </x:c>
      <x:c r="S128" s="47" t="n">
        <x:f>IFERROR(R128/D128,0)</x:f>
        <x:v>1</x:v>
      </x:c>
      <x:c r="T128" s="38" t="n">
        <x:f>MIN(MAX(G128,0),MAX(D128-I128,0))</x:f>
        <x:v>0</x:v>
      </x:c>
      <x:c r="U128" s="44" t="n">
        <x:f>T128*E128</x:f>
        <x:v>0</x:v>
      </x:c>
      <x:c r="V128" s="38" t="n">
        <x:v>0</x:v>
      </x:c>
      <x:c r="W128" s="32" t="n">
        <x:v>0</x:v>
      </x:c>
      <x:c r="X128" s="50"/>
      <x:c r="Y128" s="44" t="n">
        <x:v>22000</x:v>
      </x:c>
      <x:c r="Z128" s="44" t="n">
        <x:f>IF(I128&gt;0,R128*(J128/I128),0)</x:f>
        <x:v>41000</x:v>
      </x:c>
      <x:c r="AA128" s="44" t="n">
        <x:f>Z128-(R128*E128)</x:f>
        <x:v>14600</x:v>
      </x:c>
      <x:c r="AB128" s="47" t="n">
        <x:f>IFERROR(AA128/Z128,0)</x:f>
        <x:v>0.35609756097560974</x:v>
      </x:c>
      <x:c r="AC128" s="32" t="str">
        <x:f>IF(S128=0,"0%",IF(S128&lt;0.5,"1-49%",IF(S128&lt;0.8,"50-79%",IF(S128&lt;1,"80-99%","100%"))))</x:f>
        <x:v>100%</x:v>
      </x:c>
      <x:c r="AD128" s="33" t="str">
        <x:f>IF(G128&lt;0,"Stock negativo",IF(G128&lt;=0,"Sin stock actual",IF(I128&lt;=0,"Sin ventas desde compra",IF(Q128&lt;=0,"Con stock, sin ventas 365d",IF(S128&lt;0.5,"Rotación baja",IF(S128&lt;1,"Rotación media","Compra absorbida; stock repuesto"))))))</x:f>
        <x:v>Sin stock actual</x:v>
      </x:c>
    </x:row>
    <x:row r="129">
      <x:c r="A129" s="31" t="str">
        <x:v>RES - 027</x:v>
      </x:c>
      <x:c r="B129" s="53" t="str">
        <x:v>RESORTE FRENO SURTIDO</x:v>
      </x:c>
      <x:c r="C129" s="32" t="n">
        <x:v>1</x:v>
      </x:c>
      <x:c r="D129" s="38" t="n">
        <x:v>21</x:v>
      </x:c>
      <x:c r="E129" s="44" t="n">
        <x:v>1250</x:v>
      </x:c>
      <x:c r="F129" s="44" t="n">
        <x:v>26250</x:v>
      </x:c>
      <x:c r="G129" s="41" t="n">
        <x:v>11</x:v>
      </x:c>
      <x:c r="H129" s="44" t="n">
        <x:f>MAX(G129,0)*E129</x:f>
        <x:v>13750</x:v>
      </x:c>
      <x:c r="I129" s="38" t="n">
        <x:v>10</x:v>
      </x:c>
      <x:c r="J129" s="44" t="n">
        <x:v>24000</x:v>
      </x:c>
      <x:c r="K129" s="32" t="n">
        <x:v>10</x:v>
      </x:c>
      <x:c r="L129" s="50" t="n">
        <x:v>45522.66841435185</x:v>
      </x:c>
      <x:c r="M129" s="50" t="n">
        <x:v>46246.82273148148</x:v>
      </x:c>
      <x:c r="N129" s="32" t="n">
        <x:f>IF(M129="","",MAX(0,'Resumen'!$B$3-M129))</x:f>
        <x:v>20.177268518520577</x:v>
      </x:c>
      <x:c r="O129" s="38" t="n">
        <x:v>1</x:v>
      </x:c>
      <x:c r="P129" s="38" t="n">
        <x:v>1</x:v>
      </x:c>
      <x:c r="Q129" s="38" t="n">
        <x:v>1</x:v>
      </x:c>
      <x:c r="R129" s="38" t="n">
        <x:f>MIN(D129,I129)</x:f>
        <x:v>10</x:v>
      </x:c>
      <x:c r="S129" s="47" t="n">
        <x:f>IFERROR(R129/D129,0)</x:f>
        <x:v>0.47619047619047616</x:v>
      </x:c>
      <x:c r="T129" s="38" t="n">
        <x:f>MIN(MAX(G129,0),MAX(D129-I129,0))</x:f>
        <x:v>11</x:v>
      </x:c>
      <x:c r="U129" s="44" t="n">
        <x:f>T129*E129</x:f>
        <x:v>13750</x:v>
      </x:c>
      <x:c r="V129" s="38" t="n">
        <x:v>0</x:v>
      </x:c>
      <x:c r="W129" s="32" t="n">
        <x:v>0</x:v>
      </x:c>
      <x:c r="X129" s="50"/>
      <x:c r="Y129" s="44" t="n">
        <x:v>2500</x:v>
      </x:c>
      <x:c r="Z129" s="44" t="n">
        <x:f>IF(I129&gt;0,R129*(J129/I129),0)</x:f>
        <x:v>24000</x:v>
      </x:c>
      <x:c r="AA129" s="44" t="n">
        <x:f>Z129-(R129*E129)</x:f>
        <x:v>11500</x:v>
      </x:c>
      <x:c r="AB129" s="47" t="n">
        <x:f>IFERROR(AA129/Z129,0)</x:f>
        <x:v>0.4791666666666667</x:v>
      </x:c>
      <x:c r="AC129" s="32" t="str">
        <x:f>IF(S129=0,"0%",IF(S129&lt;0.5,"1-49%",IF(S129&lt;0.8,"50-79%",IF(S129&lt;1,"80-99%","100%"))))</x:f>
        <x:v>1-49%</x:v>
      </x:c>
      <x:c r="AD129" s="33" t="str">
        <x:f>IF(G129&lt;0,"Stock negativo",IF(G129&lt;=0,"Sin stock actual",IF(I129&lt;=0,"Sin ventas desde compra",IF(Q129&lt;=0,"Con stock, sin ventas 365d",IF(S129&lt;0.5,"Rotación baja",IF(S129&lt;1,"Rotación media","Compra absorbida; stock repuesto"))))))</x:f>
        <x:v>Rotación baja</x:v>
      </x:c>
    </x:row>
    <x:row r="130">
      <x:c r="A130" s="31" t="str">
        <x:v>1004143</x:v>
      </x:c>
      <x:c r="B130" s="53" t="str">
        <x:v>KIT DISTRIBUCCION ECO DELUXE 22K 130 LB CROWN</x:v>
      </x:c>
      <x:c r="C130" s="32" t="n">
        <x:v>1</x:v>
      </x:c>
      <x:c r="D130" s="38" t="n">
        <x:v>1</x:v>
      </x:c>
      <x:c r="E130" s="44" t="n">
        <x:v>26000</x:v>
      </x:c>
      <x:c r="F130" s="44" t="n">
        <x:v>26000</x:v>
      </x:c>
      <x:c r="G130" s="41" t="n">
        <x:v>1</x:v>
      </x:c>
      <x:c r="H130" s="44" t="n">
        <x:f>MAX(G130,0)*E130</x:f>
        <x:v>26000</x:v>
      </x:c>
      <x:c r="I130" s="38" t="n">
        <x:v>0</x:v>
      </x:c>
      <x:c r="J130" s="44" t="n">
        <x:v>0</x:v>
      </x:c>
      <x:c r="K130" s="32" t="n">
        <x:v>0</x:v>
      </x:c>
      <x:c r="L130" s="50"/>
      <x:c r="M130" s="50"/>
      <x:c r="N130" s="32" t="str">
        <x:f>IF(M130="","",MAX(0,'Resumen'!$B$3-M130))</x:f>
      </x:c>
      <x:c r="O130" s="38" t="n">
        <x:v>0</x:v>
      </x:c>
      <x:c r="P130" s="38" t="n">
        <x:v>0</x:v>
      </x:c>
      <x:c r="Q130" s="38" t="n">
        <x:v>0</x:v>
      </x:c>
      <x:c r="R130" s="38" t="n">
        <x:f>MIN(D130,I130)</x:f>
        <x:v>0</x:v>
      </x:c>
      <x:c r="S130" s="47" t="n">
        <x:f>IFERROR(R130/D130,0)</x:f>
        <x:v>0</x:v>
      </x:c>
      <x:c r="T130" s="38" t="n">
        <x:f>MIN(MAX(G130,0),MAX(D130-I130,0))</x:f>
        <x:v>1</x:v>
      </x:c>
      <x:c r="U130" s="44" t="n">
        <x:f>T130*E130</x:f>
        <x:v>26000</x:v>
      </x:c>
      <x:c r="V130" s="38" t="n">
        <x:v>0</x:v>
      </x:c>
      <x:c r="W130" s="32" t="n">
        <x:v>0</x:v>
      </x:c>
      <x:c r="X130" s="50"/>
      <x:c r="Y130" s="44" t="n">
        <x:v>43500</x:v>
      </x:c>
      <x:c r="Z130" s="44" t="n">
        <x:f>IF(I130&gt;0,R130*(J130/I130),0)</x:f>
        <x:v>0</x:v>
      </x:c>
      <x:c r="AA130" s="44" t="n">
        <x:f>Z130-(R130*E130)</x:f>
        <x:v>0</x:v>
      </x:c>
      <x:c r="AB130" s="47" t="n">
        <x:f>IFERROR(AA130/Z130,0)</x:f>
        <x:v>0</x:v>
      </x:c>
      <x:c r="AC130" s="32" t="str">
        <x:f>IF(S130=0,"0%",IF(S130&lt;0.5,"1-49%",IF(S130&lt;0.8,"50-79%",IF(S130&lt;1,"80-99%","100%"))))</x:f>
        <x:v>0%</x:v>
      </x:c>
      <x:c r="AD130" s="33" t="str">
        <x:f>IF(G130&lt;0,"Stock negativo",IF(G130&lt;=0,"Sin stock actual",IF(I130&lt;=0,"Sin ventas desde compra",IF(Q130&lt;=0,"Con stock, sin ventas 365d",IF(S130&lt;0.5,"Rotación baja",IF(S130&lt;1,"Rotación media","Compra absorbida; stock repuesto"))))))</x:f>
        <x:v>Sin ventas desde compra</x:v>
      </x:c>
    </x:row>
    <x:row r="131">
      <x:c r="A131" s="31" t="str">
        <x:v>BX - 9150</x:v>
      </x:c>
      <x:c r="B131" s="53" t="str">
        <x:v>DIRECCIONAL DT 125 TRA BYWARD</x:v>
      </x:c>
      <x:c r="C131" s="32" t="n">
        <x:v>1</x:v>
      </x:c>
      <x:c r="D131" s="38" t="n">
        <x:v>2</x:v>
      </x:c>
      <x:c r="E131" s="44" t="n">
        <x:v>13000</x:v>
      </x:c>
      <x:c r="F131" s="44" t="n">
        <x:v>26000</x:v>
      </x:c>
      <x:c r="G131" s="41" t="n">
        <x:v>0</x:v>
      </x:c>
      <x:c r="H131" s="44" t="n">
        <x:f>MAX(G131,0)*E131</x:f>
        <x:v>0</x:v>
      </x:c>
      <x:c r="I131" s="38" t="n">
        <x:v>2</x:v>
      </x:c>
      <x:c r="J131" s="44" t="n">
        <x:v>42000</x:v>
      </x:c>
      <x:c r="K131" s="32" t="n">
        <x:v>2</x:v>
      </x:c>
      <x:c r="L131" s="50" t="n">
        <x:v>45682.693333333336</x:v>
      </x:c>
      <x:c r="M131" s="50" t="n">
        <x:v>45688.712800925925</x:v>
      </x:c>
      <x:c r="N131" s="32" t="n">
        <x:f>IF(M131="","",MAX(0,'Resumen'!$B$3-M131))</x:f>
        <x:v>578.287199074075</x:v>
      </x:c>
      <x:c r="O131" s="38" t="n">
        <x:v>0</x:v>
      </x:c>
      <x:c r="P131" s="38" t="n">
        <x:v>0</x:v>
      </x:c>
      <x:c r="Q131" s="38" t="n">
        <x:v>0</x:v>
      </x:c>
      <x:c r="R131" s="38" t="n">
        <x:f>MIN(D131,I131)</x:f>
        <x:v>2</x:v>
      </x:c>
      <x:c r="S131" s="47" t="n">
        <x:f>IFERROR(R131/D131,0)</x:f>
        <x:v>1</x:v>
      </x:c>
      <x:c r="T131" s="38" t="n">
        <x:f>MIN(MAX(G131,0),MAX(D131-I131,0))</x:f>
        <x:v>0</x:v>
      </x:c>
      <x:c r="U131" s="44" t="n">
        <x:f>T131*E131</x:f>
        <x:v>0</x:v>
      </x:c>
      <x:c r="V131" s="38" t="n">
        <x:v>0</x:v>
      </x:c>
      <x:c r="W131" s="32" t="n">
        <x:v>0</x:v>
      </x:c>
      <x:c r="X131" s="50"/>
      <x:c r="Y131" s="44" t="n">
        <x:v>22000</x:v>
      </x:c>
      <x:c r="Z131" s="44" t="n">
        <x:f>IF(I131&gt;0,R131*(J131/I131),0)</x:f>
        <x:v>42000</x:v>
      </x:c>
      <x:c r="AA131" s="44" t="n">
        <x:f>Z131-(R131*E131)</x:f>
        <x:v>16000</x:v>
      </x:c>
      <x:c r="AB131" s="47" t="n">
        <x:f>IFERROR(AA131/Z131,0)</x:f>
        <x:v>0.38095238095238093</x:v>
      </x:c>
      <x:c r="AC131" s="32" t="str">
        <x:f>IF(S131=0,"0%",IF(S131&lt;0.5,"1-49%",IF(S131&lt;0.8,"50-79%",IF(S131&lt;1,"80-99%","100%"))))</x:f>
        <x:v>100%</x:v>
      </x:c>
      <x:c r="AD131" s="33" t="str">
        <x:f>IF(G131&lt;0,"Stock negativo",IF(G131&lt;=0,"Sin stock actual",IF(I131&lt;=0,"Sin ventas desde compra",IF(Q131&lt;=0,"Con stock, sin ventas 365d",IF(S131&lt;0.5,"Rotación baja",IF(S131&lt;1,"Rotación media","Compra absorbida; stock repuesto"))))))</x:f>
        <x:v>Sin stock actual</x:v>
      </x:c>
    </x:row>
    <x:row r="132">
      <x:c r="A132" s="31" t="str">
        <x:v>MOTS1076</x:v>
      </x:c>
      <x:c r="B132" s="53" t="str">
        <x:v>RETEN 35-48-11</x:v>
      </x:c>
      <x:c r="C132" s="32" t="n">
        <x:v>1</x:v>
      </x:c>
      <x:c r="D132" s="38" t="n">
        <x:v>13</x:v>
      </x:c>
      <x:c r="E132" s="44" t="n">
        <x:v>2000</x:v>
      </x:c>
      <x:c r="F132" s="44" t="n">
        <x:v>26000</x:v>
      </x:c>
      <x:c r="G132" s="41" t="n">
        <x:v>0</x:v>
      </x:c>
      <x:c r="H132" s="44" t="n">
        <x:f>MAX(G132,0)*E132</x:f>
        <x:v>0</x:v>
      </x:c>
      <x:c r="I132" s="38" t="n">
        <x:v>13</x:v>
      </x:c>
      <x:c r="J132" s="44" t="n">
        <x:v>46500</x:v>
      </x:c>
      <x:c r="K132" s="32" t="n">
        <x:v>7</x:v>
      </x:c>
      <x:c r="L132" s="50" t="n">
        <x:v>45516.646469907406</x:v>
      </x:c>
      <x:c r="M132" s="50" t="n">
        <x:v>46114.75511574074</x:v>
      </x:c>
      <x:c r="N132" s="32" t="n">
        <x:f>IF(M132="","",MAX(0,'Resumen'!$B$3-M132))</x:f>
        <x:v>152.24488425925665</x:v>
      </x:c>
      <x:c r="O132" s="38" t="n">
        <x:v>0</x:v>
      </x:c>
      <x:c r="P132" s="38" t="n">
        <x:v>0</x:v>
      </x:c>
      <x:c r="Q132" s="38" t="n">
        <x:v>4</x:v>
      </x:c>
      <x:c r="R132" s="38" t="n">
        <x:f>MIN(D132,I132)</x:f>
        <x:v>13</x:v>
      </x:c>
      <x:c r="S132" s="47" t="n">
        <x:f>IFERROR(R132/D132,0)</x:f>
        <x:v>1</x:v>
      </x:c>
      <x:c r="T132" s="38" t="n">
        <x:f>MIN(MAX(G132,0),MAX(D132-I132,0))</x:f>
        <x:v>0</x:v>
      </x:c>
      <x:c r="U132" s="44" t="n">
        <x:f>T132*E132</x:f>
        <x:v>0</x:v>
      </x:c>
      <x:c r="V132" s="38" t="n">
        <x:v>0</x:v>
      </x:c>
      <x:c r="W132" s="32" t="n">
        <x:v>0</x:v>
      </x:c>
      <x:c r="X132" s="50"/>
      <x:c r="Y132" s="44" t="n">
        <x:v>3500</x:v>
      </x:c>
      <x:c r="Z132" s="44" t="n">
        <x:f>IF(I132&gt;0,R132*(J132/I132),0)</x:f>
        <x:v>46500</x:v>
      </x:c>
      <x:c r="AA132" s="44" t="n">
        <x:f>Z132-(R132*E132)</x:f>
        <x:v>20500</x:v>
      </x:c>
      <x:c r="AB132" s="47" t="n">
        <x:f>IFERROR(AA132/Z132,0)</x:f>
        <x:v>0.44086021505376344</x:v>
      </x:c>
      <x:c r="AC132" s="32" t="str">
        <x:f>IF(S132=0,"0%",IF(S132&lt;0.5,"1-49%",IF(S132&lt;0.8,"50-79%",IF(S132&lt;1,"80-99%","100%"))))</x:f>
        <x:v>100%</x:v>
      </x:c>
      <x:c r="AD132" s="33" t="str">
        <x:f>IF(G132&lt;0,"Stock negativo",IF(G132&lt;=0,"Sin stock actual",IF(I132&lt;=0,"Sin ventas desde compra",IF(Q132&lt;=0,"Con stock, sin ventas 365d",IF(S132&lt;0.5,"Rotación baja",IF(S132&lt;1,"Rotación media","Compra absorbida; stock repuesto"))))))</x:f>
        <x:v>Sin stock actual</x:v>
      </x:c>
    </x:row>
    <x:row r="133">
      <x:c r="A133" s="31" t="str">
        <x:v>MOTS1077</x:v>
      </x:c>
      <x:c r="B133" s="53" t="str">
        <x:v>RETEN 14-25-5</x:v>
      </x:c>
      <x:c r="C133" s="32" t="n">
        <x:v>1</x:v>
      </x:c>
      <x:c r="D133" s="38" t="n">
        <x:v>13</x:v>
      </x:c>
      <x:c r="E133" s="44" t="n">
        <x:v>2000</x:v>
      </x:c>
      <x:c r="F133" s="44" t="n">
        <x:v>26000</x:v>
      </x:c>
      <x:c r="G133" s="41" t="n">
        <x:v>12</x:v>
      </x:c>
      <x:c r="H133" s="44" t="n">
        <x:f>MAX(G133,0)*E133</x:f>
        <x:v>24000</x:v>
      </x:c>
      <x:c r="I133" s="38" t="n">
        <x:v>1</x:v>
      </x:c>
      <x:c r="J133" s="44" t="n">
        <x:v>3500</x:v>
      </x:c>
      <x:c r="K133" s="32" t="n">
        <x:v>1</x:v>
      </x:c>
      <x:c r="L133" s="50" t="n">
        <x:v>45525.8812962963</x:v>
      </x:c>
      <x:c r="M133" s="50" t="n">
        <x:v>45525.8812962963</x:v>
      </x:c>
      <x:c r="N133" s="32" t="n">
        <x:f>IF(M133="","",MAX(0,'Resumen'!$B$3-M133))</x:f>
        <x:v>741.1187037037016</x:v>
      </x:c>
      <x:c r="O133" s="38" t="n">
        <x:v>0</x:v>
      </x:c>
      <x:c r="P133" s="38" t="n">
        <x:v>0</x:v>
      </x:c>
      <x:c r="Q133" s="38" t="n">
        <x:v>0</x:v>
      </x:c>
      <x:c r="R133" s="38" t="n">
        <x:f>MIN(D133,I133)</x:f>
        <x:v>1</x:v>
      </x:c>
      <x:c r="S133" s="47" t="n">
        <x:f>IFERROR(R133/D133,0)</x:f>
        <x:v>0.07692307692307693</x:v>
      </x:c>
      <x:c r="T133" s="38" t="n">
        <x:f>MIN(MAX(G133,0),MAX(D133-I133,0))</x:f>
        <x:v>12</x:v>
      </x:c>
      <x:c r="U133" s="44" t="n">
        <x:f>T133*E133</x:f>
        <x:v>24000</x:v>
      </x:c>
      <x:c r="V133" s="38" t="n">
        <x:v>0</x:v>
      </x:c>
      <x:c r="W133" s="32" t="n">
        <x:v>0</x:v>
      </x:c>
      <x:c r="X133" s="50"/>
      <x:c r="Y133" s="44" t="n">
        <x:v>3500</x:v>
      </x:c>
      <x:c r="Z133" s="44" t="n">
        <x:f>IF(I133&gt;0,R133*(J133/I133),0)</x:f>
        <x:v>3500</x:v>
      </x:c>
      <x:c r="AA133" s="44" t="n">
        <x:f>Z133-(R133*E133)</x:f>
        <x:v>1500</x:v>
      </x:c>
      <x:c r="AB133" s="47" t="n">
        <x:f>IFERROR(AA133/Z133,0)</x:f>
        <x:v>0.42857142857142855</x:v>
      </x:c>
      <x:c r="AC133" s="32" t="str">
        <x:f>IF(S133=0,"0%",IF(S133&lt;0.5,"1-49%",IF(S133&lt;0.8,"50-79%",IF(S133&lt;1,"80-99%","100%"))))</x:f>
        <x:v>1-49%</x:v>
      </x:c>
      <x:c r="AD133" s="33" t="str">
        <x:f>IF(G133&lt;0,"Stock negativo",IF(G133&lt;=0,"Sin stock actual",IF(I133&lt;=0,"Sin ventas desde compra",IF(Q133&lt;=0,"Con stock, sin ventas 365d",IF(S133&lt;0.5,"Rotación baja",IF(S133&lt;1,"Rotación media","Compra absorbida; stock repuesto"))))))</x:f>
        <x:v>Con stock, sin ventas 365d</x:v>
      </x:c>
    </x:row>
    <x:row r="134">
      <x:c r="A134" s="31" t="str">
        <x:v>MOTS1221</x:v>
      </x:c>
      <x:c r="B134" s="53" t="str">
        <x:v>BALINERA 6203 2RS YAHASUKA</x:v>
      </x:c>
      <x:c r="C134" s="32" t="n">
        <x:v>1</x:v>
      </x:c>
      <x:c r="D134" s="38" t="n">
        <x:v>5</x:v>
      </x:c>
      <x:c r="E134" s="44" t="n">
        <x:v>5200</x:v>
      </x:c>
      <x:c r="F134" s="44" t="n">
        <x:v>26000</x:v>
      </x:c>
      <x:c r="G134" s="41" t="n">
        <x:v>2</x:v>
      </x:c>
      <x:c r="H134" s="44" t="n">
        <x:f>MAX(G134,0)*E134</x:f>
        <x:v>10400</x:v>
      </x:c>
      <x:c r="I134" s="38" t="n">
        <x:v>5</x:v>
      </x:c>
      <x:c r="J134" s="44" t="n">
        <x:v>43000</x:v>
      </x:c>
      <x:c r="K134" s="32" t="n">
        <x:v>5</x:v>
      </x:c>
      <x:c r="L134" s="50" t="n">
        <x:v>45593.63251157408</x:v>
      </x:c>
      <x:c r="M134" s="50" t="n">
        <x:v>45789.724652777775</x:v>
      </x:c>
      <x:c r="N134" s="32" t="n">
        <x:f>IF(M134="","",MAX(0,'Resumen'!$B$3-M134))</x:f>
        <x:v>477.2753472222248</x:v>
      </x:c>
      <x:c r="O134" s="38" t="n">
        <x:v>0</x:v>
      </x:c>
      <x:c r="P134" s="38" t="n">
        <x:v>0</x:v>
      </x:c>
      <x:c r="Q134" s="38" t="n">
        <x:v>0</x:v>
      </x:c>
      <x:c r="R134" s="38" t="n">
        <x:f>MIN(D134,I134)</x:f>
        <x:v>5</x:v>
      </x:c>
      <x:c r="S134" s="47" t="n">
        <x:f>IFERROR(R134/D134,0)</x:f>
        <x:v>1</x:v>
      </x:c>
      <x:c r="T134" s="38" t="n">
        <x:f>MIN(MAX(G134,0),MAX(D134-I134,0))</x:f>
        <x:v>0</x:v>
      </x:c>
      <x:c r="U134" s="44" t="n">
        <x:f>T134*E134</x:f>
        <x:v>0</x:v>
      </x:c>
      <x:c r="V134" s="38" t="n">
        <x:v>2</x:v>
      </x:c>
      <x:c r="W134" s="32" t="n">
        <x:v>1</x:v>
      </x:c>
      <x:c r="X134" s="50" t="n">
        <x:v>45673</x:v>
      </x:c>
      <x:c r="Y134" s="44" t="n">
        <x:v>9000</x:v>
      </x:c>
      <x:c r="Z134" s="44" t="n">
        <x:f>IF(I134&gt;0,R134*(J134/I134),0)</x:f>
        <x:v>43000</x:v>
      </x:c>
      <x:c r="AA134" s="44" t="n">
        <x:f>Z134-(R134*E134)</x:f>
        <x:v>17000</x:v>
      </x:c>
      <x:c r="AB134" s="47" t="n">
        <x:f>IFERROR(AA134/Z134,0)</x:f>
        <x:v>0.3953488372093023</x:v>
      </x:c>
      <x:c r="AC134" s="32" t="str">
        <x:f>IF(S134=0,"0%",IF(S134&lt;0.5,"1-49%",IF(S134&lt;0.8,"50-79%",IF(S134&lt;1,"80-99%","100%"))))</x:f>
        <x:v>100%</x:v>
      </x:c>
      <x:c r="AD134" s="33" t="str">
        <x:f>IF(G134&lt;0,"Stock negativo",IF(G134&lt;=0,"Sin stock actual",IF(I134&lt;=0,"Sin ventas desde compra",IF(Q134&lt;=0,"Con stock, sin ventas 365d",IF(S134&lt;0.5,"Rotación baja",IF(S134&lt;1,"Rotación media","Compra absorbida; stock repuesto"))))))</x:f>
        <x:v>Con stock, sin ventas 365d</x:v>
      </x:c>
    </x:row>
    <x:row r="135">
      <x:c r="A135" s="31" t="str">
        <x:v>D244</x:v>
      </x:c>
      <x:c r="B135" s="53" t="str">
        <x:v>LIMPIADOR ELECTRONICO PISTA</x:v>
      </x:c>
      <x:c r="C135" s="32" t="n">
        <x:v>1</x:v>
      </x:c>
      <x:c r="D135" s="38" t="n">
        <x:v>2</x:v>
      </x:c>
      <x:c r="E135" s="44" t="n">
        <x:v>12900</x:v>
      </x:c>
      <x:c r="F135" s="44" t="n">
        <x:v>25800</x:v>
      </x:c>
      <x:c r="G135" s="41" t="n">
        <x:v>0</x:v>
      </x:c>
      <x:c r="H135" s="44" t="n">
        <x:f>MAX(G135,0)*E135</x:f>
        <x:v>0</x:v>
      </x:c>
      <x:c r="I135" s="38" t="n">
        <x:v>2</x:v>
      </x:c>
      <x:c r="J135" s="44" t="n">
        <x:v>38000</x:v>
      </x:c>
      <x:c r="K135" s="32" t="n">
        <x:v>1</x:v>
      </x:c>
      <x:c r="L135" s="50" t="n">
        <x:v>46066.687048611115</x:v>
      </x:c>
      <x:c r="M135" s="50" t="n">
        <x:v>46066.687048611115</x:v>
      </x:c>
      <x:c r="N135" s="32" t="n">
        <x:f>IF(M135="","",MAX(0,'Resumen'!$B$3-M135))</x:f>
        <x:v>200.31295138888527</x:v>
      </x:c>
      <x:c r="O135" s="38" t="n">
        <x:v>0</x:v>
      </x:c>
      <x:c r="P135" s="38" t="n">
        <x:v>0</x:v>
      </x:c>
      <x:c r="Q135" s="38" t="n">
        <x:v>2</x:v>
      </x:c>
      <x:c r="R135" s="38" t="n">
        <x:f>MIN(D135,I135)</x:f>
        <x:v>2</x:v>
      </x:c>
      <x:c r="S135" s="47" t="n">
        <x:f>IFERROR(R135/D135,0)</x:f>
        <x:v>1</x:v>
      </x:c>
      <x:c r="T135" s="38" t="n">
        <x:f>MIN(MAX(G135,0),MAX(D135-I135,0))</x:f>
        <x:v>0</x:v>
      </x:c>
      <x:c r="U135" s="44" t="n">
        <x:f>T135*E135</x:f>
        <x:v>0</x:v>
      </x:c>
      <x:c r="V135" s="38" t="n">
        <x:v>0</x:v>
      </x:c>
      <x:c r="W135" s="32" t="n">
        <x:v>0</x:v>
      </x:c>
      <x:c r="X135" s="50"/>
      <x:c r="Y135" s="44" t="n">
        <x:v>21500</x:v>
      </x:c>
      <x:c r="Z135" s="44" t="n">
        <x:f>IF(I135&gt;0,R135*(J135/I135),0)</x:f>
        <x:v>38000</x:v>
      </x:c>
      <x:c r="AA135" s="44" t="n">
        <x:f>Z135-(R135*E135)</x:f>
        <x:v>12200</x:v>
      </x:c>
      <x:c r="AB135" s="47" t="n">
        <x:f>IFERROR(AA135/Z135,0)</x:f>
        <x:v>0.32105263157894737</x:v>
      </x:c>
      <x:c r="AC135" s="32" t="str">
        <x:f>IF(S135=0,"0%",IF(S135&lt;0.5,"1-49%",IF(S135&lt;0.8,"50-79%",IF(S135&lt;1,"80-99%","100%"))))</x:f>
        <x:v>100%</x:v>
      </x:c>
      <x:c r="AD135" s="33" t="str">
        <x:f>IF(G135&lt;0,"Stock negativo",IF(G135&lt;=0,"Sin stock actual",IF(I135&lt;=0,"Sin ventas desde compra",IF(Q135&lt;=0,"Con stock, sin ventas 365d",IF(S135&lt;0.5,"Rotación baja",IF(S135&lt;1,"Rotación media","Compra absorbida; stock repuesto"))))))</x:f>
        <x:v>Sin stock actual</x:v>
      </x:c>
    </x:row>
    <x:row r="136">
      <x:c r="A136" s="31" t="str">
        <x:v>MOTS1009</x:v>
      </x:c>
      <x:c r="B136" s="53" t="str">
        <x:v>SILICONA PROTECTOR U.V. 3 CHICLE SIMONIZ</x:v>
      </x:c>
      <x:c r="C136" s="32" t="n">
        <x:v>1</x:v>
      </x:c>
      <x:c r="D136" s="38" t="n">
        <x:v>3</x:v>
      </x:c>
      <x:c r="E136" s="44" t="n">
        <x:v>8500</x:v>
      </x:c>
      <x:c r="F136" s="44" t="n">
        <x:v>25500</x:v>
      </x:c>
      <x:c r="G136" s="41" t="n">
        <x:v>0</x:v>
      </x:c>
      <x:c r="H136" s="44" t="n">
        <x:f>MAX(G136,0)*E136</x:f>
        <x:v>0</x:v>
      </x:c>
      <x:c r="I136" s="38" t="n">
        <x:v>3</x:v>
      </x:c>
      <x:c r="J136" s="44" t="n">
        <x:v>43500</x:v>
      </x:c>
      <x:c r="K136" s="32" t="n">
        <x:v>3</x:v>
      </x:c>
      <x:c r="L136" s="50" t="n">
        <x:v>45500.90010416666</x:v>
      </x:c>
      <x:c r="M136" s="50" t="n">
        <x:v>45540.72787037037</x:v>
      </x:c>
      <x:c r="N136" s="32" t="n">
        <x:f>IF(M136="","",MAX(0,'Resumen'!$B$3-M136))</x:f>
        <x:v>726.2721296296295</x:v>
      </x:c>
      <x:c r="O136" s="38" t="n">
        <x:v>0</x:v>
      </x:c>
      <x:c r="P136" s="38" t="n">
        <x:v>0</x:v>
      </x:c>
      <x:c r="Q136" s="38" t="n">
        <x:v>0</x:v>
      </x:c>
      <x:c r="R136" s="38" t="n">
        <x:f>MIN(D136,I136)</x:f>
        <x:v>3</x:v>
      </x:c>
      <x:c r="S136" s="47" t="n">
        <x:f>IFERROR(R136/D136,0)</x:f>
        <x:v>1</x:v>
      </x:c>
      <x:c r="T136" s="38" t="n">
        <x:f>MIN(MAX(G136,0),MAX(D136-I136,0))</x:f>
        <x:v>0</x:v>
      </x:c>
      <x:c r="U136" s="44" t="n">
        <x:f>T136*E136</x:f>
        <x:v>0</x:v>
      </x:c>
      <x:c r="V136" s="38" t="n">
        <x:v>0</x:v>
      </x:c>
      <x:c r="W136" s="32" t="n">
        <x:v>0</x:v>
      </x:c>
      <x:c r="X136" s="50"/>
      <x:c r="Y136" s="44" t="n">
        <x:v>14500</x:v>
      </x:c>
      <x:c r="Z136" s="44" t="n">
        <x:f>IF(I136&gt;0,R136*(J136/I136),0)</x:f>
        <x:v>43500</x:v>
      </x:c>
      <x:c r="AA136" s="44" t="n">
        <x:f>Z136-(R136*E136)</x:f>
        <x:v>18000</x:v>
      </x:c>
      <x:c r="AB136" s="47" t="n">
        <x:f>IFERROR(AA136/Z136,0)</x:f>
        <x:v>0.41379310344827586</x:v>
      </x:c>
      <x:c r="AC136" s="32" t="str">
        <x:f>IF(S136=0,"0%",IF(S136&lt;0.5,"1-49%",IF(S136&lt;0.8,"50-79%",IF(S136&lt;1,"80-99%","100%"))))</x:f>
        <x:v>100%</x:v>
      </x:c>
      <x:c r="AD136" s="33" t="str">
        <x:f>IF(G136&lt;0,"Stock negativo",IF(G136&lt;=0,"Sin stock actual",IF(I136&lt;=0,"Sin ventas desde compra",IF(Q136&lt;=0,"Con stock, sin ventas 365d",IF(S136&lt;0.5,"Rotación baja",IF(S136&lt;1,"Rotación media","Compra absorbida; stock repuesto"))))))</x:f>
        <x:v>Sin stock actual</x:v>
      </x:c>
    </x:row>
    <x:row r="137">
      <x:c r="A137" s="31" t="str">
        <x:v>MOTS1218</x:v>
      </x:c>
      <x:c r="B137" s="53" t="str">
        <x:v>BALINERA 6201 2RS RODAMAIS</x:v>
      </x:c>
      <x:c r="C137" s="32" t="n">
        <x:v>1</x:v>
      </x:c>
      <x:c r="D137" s="38" t="n">
        <x:v>6</x:v>
      </x:c>
      <x:c r="E137" s="44" t="n">
        <x:v>4100</x:v>
      </x:c>
      <x:c r="F137" s="44" t="n">
        <x:v>24600</x:v>
      </x:c>
      <x:c r="G137" s="41" t="n">
        <x:v>0</x:v>
      </x:c>
      <x:c r="H137" s="44" t="n">
        <x:f>MAX(G137,0)*E137</x:f>
        <x:v>0</x:v>
      </x:c>
      <x:c r="I137" s="38" t="n">
        <x:v>6</x:v>
      </x:c>
      <x:c r="J137" s="44" t="n">
        <x:v>36000</x:v>
      </x:c>
      <x:c r="K137" s="32" t="n">
        <x:v>5</x:v>
      </x:c>
      <x:c r="L137" s="50" t="n">
        <x:v>45742.60834490741</x:v>
      </x:c>
      <x:c r="M137" s="50" t="n">
        <x:v>45890.882569444446</x:v>
      </x:c>
      <x:c r="N137" s="32" t="n">
        <x:f>IF(M137="","",MAX(0,'Resumen'!$B$3-M137))</x:f>
        <x:v>376.11743055555417</x:v>
      </x:c>
      <x:c r="O137" s="38" t="n">
        <x:v>0</x:v>
      </x:c>
      <x:c r="P137" s="38" t="n">
        <x:v>0</x:v>
      </x:c>
      <x:c r="Q137" s="38" t="n">
        <x:v>0</x:v>
      </x:c>
      <x:c r="R137" s="38" t="n">
        <x:f>MIN(D137,I137)</x:f>
        <x:v>6</x:v>
      </x:c>
      <x:c r="S137" s="47" t="n">
        <x:f>IFERROR(R137/D137,0)</x:f>
        <x:v>1</x:v>
      </x:c>
      <x:c r="T137" s="38" t="n">
        <x:f>MIN(MAX(G137,0),MAX(D137-I137,0))</x:f>
        <x:v>0</x:v>
      </x:c>
      <x:c r="U137" s="44" t="n">
        <x:f>T137*E137</x:f>
        <x:v>0</x:v>
      </x:c>
      <x:c r="V137" s="38" t="n">
        <x:v>0</x:v>
      </x:c>
      <x:c r="W137" s="32" t="n">
        <x:v>0</x:v>
      </x:c>
      <x:c r="X137" s="50"/>
      <x:c r="Y137" s="44" t="n">
        <x:v>7000</x:v>
      </x:c>
      <x:c r="Z137" s="44" t="n">
        <x:f>IF(I137&gt;0,R137*(J137/I137),0)</x:f>
        <x:v>36000</x:v>
      </x:c>
      <x:c r="AA137" s="44" t="n">
        <x:f>Z137-(R137*E137)</x:f>
        <x:v>11400</x:v>
      </x:c>
      <x:c r="AB137" s="47" t="n">
        <x:f>IFERROR(AA137/Z137,0)</x:f>
        <x:v>0.31666666666666665</x:v>
      </x:c>
      <x:c r="AC137" s="32" t="str">
        <x:f>IF(S137=0,"0%",IF(S137&lt;0.5,"1-49%",IF(S137&lt;0.8,"50-79%",IF(S137&lt;1,"80-99%","100%"))))</x:f>
        <x:v>100%</x:v>
      </x:c>
      <x:c r="AD137" s="33" t="str">
        <x:f>IF(G137&lt;0,"Stock negativo",IF(G137&lt;=0,"Sin stock actual",IF(I137&lt;=0,"Sin ventas desde compra",IF(Q137&lt;=0,"Con stock, sin ventas 365d",IF(S137&lt;0.5,"Rotación baja",IF(S137&lt;1,"Rotación media","Compra absorbida; stock repuesto"))))))</x:f>
        <x:v>Sin stock actual</x:v>
      </x:c>
    </x:row>
    <x:row r="138">
      <x:c r="A138" s="31" t="str">
        <x:v>MOTS1183</x:v>
      </x:c>
      <x:c r="B138" s="53" t="str">
        <x:v>MANIGUETA DER  VARIOS</x:v>
      </x:c>
      <x:c r="C138" s="32" t="n">
        <x:v>1</x:v>
      </x:c>
      <x:c r="D138" s="38" t="n">
        <x:v>7</x:v>
      </x:c>
      <x:c r="E138" s="44" t="n">
        <x:v>3500</x:v>
      </x:c>
      <x:c r="F138" s="44" t="n">
        <x:v>24500</x:v>
      </x:c>
      <x:c r="G138" s="41" t="n">
        <x:v>7</x:v>
      </x:c>
      <x:c r="H138" s="44" t="n">
        <x:f>MAX(G138,0)*E138</x:f>
        <x:v>24500</x:v>
      </x:c>
      <x:c r="I138" s="38" t="n">
        <x:v>0</x:v>
      </x:c>
      <x:c r="J138" s="44" t="n">
        <x:v>0</x:v>
      </x:c>
      <x:c r="K138" s="32" t="n">
        <x:v>0</x:v>
      </x:c>
      <x:c r="L138" s="50"/>
      <x:c r="M138" s="50"/>
      <x:c r="N138" s="32" t="str">
        <x:f>IF(M138="","",MAX(0,'Resumen'!$B$3-M138))</x:f>
      </x:c>
      <x:c r="O138" s="38" t="n">
        <x:v>0</x:v>
      </x:c>
      <x:c r="P138" s="38" t="n">
        <x:v>0</x:v>
      </x:c>
      <x:c r="Q138" s="38" t="n">
        <x:v>0</x:v>
      </x:c>
      <x:c r="R138" s="38" t="n">
        <x:f>MIN(D138,I138)</x:f>
        <x:v>0</x:v>
      </x:c>
      <x:c r="S138" s="47" t="n">
        <x:f>IFERROR(R138/D138,0)</x:f>
        <x:v>0</x:v>
      </x:c>
      <x:c r="T138" s="38" t="n">
        <x:f>MIN(MAX(G138,0),MAX(D138-I138,0))</x:f>
        <x:v>7</x:v>
      </x:c>
      <x:c r="U138" s="44" t="n">
        <x:f>T138*E138</x:f>
        <x:v>24500</x:v>
      </x:c>
      <x:c r="V138" s="38" t="n">
        <x:v>0</x:v>
      </x:c>
      <x:c r="W138" s="32" t="n">
        <x:v>0</x:v>
      </x:c>
      <x:c r="X138" s="50"/>
      <x:c r="Y138" s="44" t="n">
        <x:v>6000</x:v>
      </x:c>
      <x:c r="Z138" s="44" t="n">
        <x:f>IF(I138&gt;0,R138*(J138/I138),0)</x:f>
        <x:v>0</x:v>
      </x:c>
      <x:c r="AA138" s="44" t="n">
        <x:f>Z138-(R138*E138)</x:f>
        <x:v>0</x:v>
      </x:c>
      <x:c r="AB138" s="47" t="n">
        <x:f>IFERROR(AA138/Z138,0)</x:f>
        <x:v>0</x:v>
      </x:c>
      <x:c r="AC138" s="32" t="str">
        <x:f>IF(S138=0,"0%",IF(S138&lt;0.5,"1-49%",IF(S138&lt;0.8,"50-79%",IF(S138&lt;1,"80-99%","100%"))))</x:f>
        <x:v>0%</x:v>
      </x:c>
      <x:c r="AD138" s="33" t="str">
        <x:f>IF(G138&lt;0,"Stock negativo",IF(G138&lt;=0,"Sin stock actual",IF(I138&lt;=0,"Sin ventas desde compra",IF(Q138&lt;=0,"Con stock, sin ventas 365d",IF(S138&lt;0.5,"Rotación baja",IF(S138&lt;1,"Rotación media","Compra absorbida; stock repuesto"))))))</x:f>
        <x:v>Sin ventas desde compra</x:v>
      </x:c>
    </x:row>
    <x:row r="139">
      <x:c r="A139" s="31" t="str">
        <x:v>MOTS1088</x:v>
      </x:c>
      <x:c r="B139" s="53" t="str">
        <x:v>RETEN 13-8-24-5</x:v>
      </x:c>
      <x:c r="C139" s="32" t="n">
        <x:v>1</x:v>
      </x:c>
      <x:c r="D139" s="38" t="n">
        <x:v>11</x:v>
      </x:c>
      <x:c r="E139" s="44" t="n">
        <x:v>2200</x:v>
      </x:c>
      <x:c r="F139" s="44" t="n">
        <x:v>24200</x:v>
      </x:c>
      <x:c r="G139" s="41" t="n">
        <x:v>3</x:v>
      </x:c>
      <x:c r="H139" s="44" t="n">
        <x:f>MAX(G139,0)*E139</x:f>
        <x:v>6600</x:v>
      </x:c>
      <x:c r="I139" s="38" t="n">
        <x:v>8</x:v>
      </x:c>
      <x:c r="J139" s="44" t="n">
        <x:v>30000</x:v>
      </x:c>
      <x:c r="K139" s="32" t="n">
        <x:v>8</x:v>
      </x:c>
      <x:c r="L139" s="50" t="n">
        <x:v>45667.5733912037</x:v>
      </x:c>
      <x:c r="M139" s="50" t="n">
        <x:v>46086.75712962963</x:v>
      </x:c>
      <x:c r="N139" s="32" t="n">
        <x:f>IF(M139="","",MAX(0,'Resumen'!$B$3-M139))</x:f>
        <x:v>180.24287037036993</x:v>
      </x:c>
      <x:c r="O139" s="38" t="n">
        <x:v>0</x:v>
      </x:c>
      <x:c r="P139" s="38" t="n">
        <x:v>0</x:v>
      </x:c>
      <x:c r="Q139" s="38" t="n">
        <x:v>7</x:v>
      </x:c>
      <x:c r="R139" s="38" t="n">
        <x:f>MIN(D139,I139)</x:f>
        <x:v>8</x:v>
      </x:c>
      <x:c r="S139" s="47" t="n">
        <x:f>IFERROR(R139/D139,0)</x:f>
        <x:v>0.7272727272727273</x:v>
      </x:c>
      <x:c r="T139" s="38" t="n">
        <x:f>MIN(MAX(G139,0),MAX(D139-I139,0))</x:f>
        <x:v>3</x:v>
      </x:c>
      <x:c r="U139" s="44" t="n">
        <x:f>T139*E139</x:f>
        <x:v>6600</x:v>
      </x:c>
      <x:c r="V139" s="38" t="n">
        <x:v>0</x:v>
      </x:c>
      <x:c r="W139" s="32" t="n">
        <x:v>0</x:v>
      </x:c>
      <x:c r="X139" s="50"/>
      <x:c r="Y139" s="44" t="n">
        <x:v>4000</x:v>
      </x:c>
      <x:c r="Z139" s="44" t="n">
        <x:f>IF(I139&gt;0,R139*(J139/I139),0)</x:f>
        <x:v>30000</x:v>
      </x:c>
      <x:c r="AA139" s="44" t="n">
        <x:f>Z139-(R139*E139)</x:f>
        <x:v>12400</x:v>
      </x:c>
      <x:c r="AB139" s="47" t="n">
        <x:f>IFERROR(AA139/Z139,0)</x:f>
        <x:v>0.41333333333333333</x:v>
      </x:c>
      <x:c r="AC139" s="32" t="str">
        <x:f>IF(S139=0,"0%",IF(S139&lt;0.5,"1-49%",IF(S139&lt;0.8,"50-79%",IF(S139&lt;1,"80-99%","100%"))))</x:f>
        <x:v>50-79%</x:v>
      </x:c>
      <x:c r="AD139" s="33" t="str">
        <x:f>IF(G139&lt;0,"Stock negativo",IF(G139&lt;=0,"Sin stock actual",IF(I139&lt;=0,"Sin ventas desde compra",IF(Q139&lt;=0,"Con stock, sin ventas 365d",IF(S139&lt;0.5,"Rotación baja",IF(S139&lt;1,"Rotación media","Compra absorbida; stock repuesto"))))))</x:f>
        <x:v>Rotación media</x:v>
      </x:c>
    </x:row>
    <x:row r="140">
      <x:c r="A140" s="31" t="str">
        <x:v>101025</x:v>
      </x:c>
      <x:c r="B140" s="53" t="str">
        <x:v>BASE MANIGUETA XL 100-125/85 JAPAN</x:v>
      </x:c>
      <x:c r="C140" s="32" t="n">
        <x:v>1</x:v>
      </x:c>
      <x:c r="D140" s="38" t="n">
        <x:v>3</x:v>
      </x:c>
      <x:c r="E140" s="44" t="n">
        <x:v>8000</x:v>
      </x:c>
      <x:c r="F140" s="44" t="n">
        <x:v>24000</x:v>
      </x:c>
      <x:c r="G140" s="41" t="n">
        <x:v>3</x:v>
      </x:c>
      <x:c r="H140" s="44" t="n">
        <x:f>MAX(G140,0)*E140</x:f>
        <x:v>24000</x:v>
      </x:c>
      <x:c r="I140" s="38" t="n">
        <x:v>0</x:v>
      </x:c>
      <x:c r="J140" s="44" t="n">
        <x:v>0</x:v>
      </x:c>
      <x:c r="K140" s="32" t="n">
        <x:v>0</x:v>
      </x:c>
      <x:c r="L140" s="50"/>
      <x:c r="M140" s="50"/>
      <x:c r="N140" s="32" t="str">
        <x:f>IF(M140="","",MAX(0,'Resumen'!$B$3-M140))</x:f>
      </x:c>
      <x:c r="O140" s="38" t="n">
        <x:v>0</x:v>
      </x:c>
      <x:c r="P140" s="38" t="n">
        <x:v>0</x:v>
      </x:c>
      <x:c r="Q140" s="38" t="n">
        <x:v>0</x:v>
      </x:c>
      <x:c r="R140" s="38" t="n">
        <x:f>MIN(D140,I140)</x:f>
        <x:v>0</x:v>
      </x:c>
      <x:c r="S140" s="47" t="n">
        <x:f>IFERROR(R140/D140,0)</x:f>
        <x:v>0</x:v>
      </x:c>
      <x:c r="T140" s="38" t="n">
        <x:f>MIN(MAX(G140,0),MAX(D140-I140,0))</x:f>
        <x:v>3</x:v>
      </x:c>
      <x:c r="U140" s="44" t="n">
        <x:f>T140*E140</x:f>
        <x:v>24000</x:v>
      </x:c>
      <x:c r="V140" s="38" t="n">
        <x:v>0</x:v>
      </x:c>
      <x:c r="W140" s="32" t="n">
        <x:v>0</x:v>
      </x:c>
      <x:c r="X140" s="50"/>
      <x:c r="Y140" s="44" t="n">
        <x:v>13500</x:v>
      </x:c>
      <x:c r="Z140" s="44" t="n">
        <x:f>IF(I140&gt;0,R140*(J140/I140),0)</x:f>
        <x:v>0</x:v>
      </x:c>
      <x:c r="AA140" s="44" t="n">
        <x:f>Z140-(R140*E140)</x:f>
        <x:v>0</x:v>
      </x:c>
      <x:c r="AB140" s="47" t="n">
        <x:f>IFERROR(AA140/Z140,0)</x:f>
        <x:v>0</x:v>
      </x:c>
      <x:c r="AC140" s="32" t="str">
        <x:f>IF(S140=0,"0%",IF(S140&lt;0.5,"1-49%",IF(S140&lt;0.8,"50-79%",IF(S140&lt;1,"80-99%","100%"))))</x:f>
        <x:v>0%</x:v>
      </x:c>
      <x:c r="AD140" s="33" t="str">
        <x:f>IF(G140&lt;0,"Stock negativo",IF(G140&lt;=0,"Sin stock actual",IF(I140&lt;=0,"Sin ventas desde compra",IF(Q140&lt;=0,"Con stock, sin ventas 365d",IF(S140&lt;0.5,"Rotación baja",IF(S140&lt;1,"Rotación media","Compra absorbida; stock repuesto"))))))</x:f>
        <x:v>Sin ventas desde compra</x:v>
      </x:c>
    </x:row>
    <x:row r="141">
      <x:c r="A141" s="31" t="str">
        <x:v>11004007</x:v>
      </x:c>
      <x:c r="B141" s="53" t="str">
        <x:v>JUEGO TAPAS LATERALES DT/R5 - 175 BLANCA PLASTICOS GALEANO</x:v>
      </x:c>
      <x:c r="C141" s="32" t="n">
        <x:v>1</x:v>
      </x:c>
      <x:c r="D141" s="38" t="n">
        <x:v>2</x:v>
      </x:c>
      <x:c r="E141" s="44" t="n">
        <x:v>12000</x:v>
      </x:c>
      <x:c r="F141" s="44" t="n">
        <x:v>24000</x:v>
      </x:c>
      <x:c r="G141" s="41" t="n">
        <x:v>0</x:v>
      </x:c>
      <x:c r="H141" s="44" t="n">
        <x:f>MAX(G141,0)*E141</x:f>
        <x:v>0</x:v>
      </x:c>
      <x:c r="I141" s="38" t="n">
        <x:v>2</x:v>
      </x:c>
      <x:c r="J141" s="44" t="n">
        <x:v>37000</x:v>
      </x:c>
      <x:c r="K141" s="32" t="n">
        <x:v>2</x:v>
      </x:c>
      <x:c r="L141" s="50" t="n">
        <x:v>45506.916354166664</x:v>
      </x:c>
      <x:c r="M141" s="50" t="n">
        <x:v>45632.71844907408</x:v>
      </x:c>
      <x:c r="N141" s="32" t="n">
        <x:f>IF(M141="","",MAX(0,'Resumen'!$B$3-M141))</x:f>
        <x:v>634.2815509259235</x:v>
      </x:c>
      <x:c r="O141" s="38" t="n">
        <x:v>0</x:v>
      </x:c>
      <x:c r="P141" s="38" t="n">
        <x:v>0</x:v>
      </x:c>
      <x:c r="Q141" s="38" t="n">
        <x:v>0</x:v>
      </x:c>
      <x:c r="R141" s="38" t="n">
        <x:f>MIN(D141,I141)</x:f>
        <x:v>2</x:v>
      </x:c>
      <x:c r="S141" s="47" t="n">
        <x:f>IFERROR(R141/D141,0)</x:f>
        <x:v>1</x:v>
      </x:c>
      <x:c r="T141" s="38" t="n">
        <x:f>MIN(MAX(G141,0),MAX(D141-I141,0))</x:f>
        <x:v>0</x:v>
      </x:c>
      <x:c r="U141" s="44" t="n">
        <x:f>T141*E141</x:f>
        <x:v>0</x:v>
      </x:c>
      <x:c r="V141" s="38" t="n">
        <x:v>0</x:v>
      </x:c>
      <x:c r="W141" s="32" t="n">
        <x:v>0</x:v>
      </x:c>
      <x:c r="X141" s="50"/>
      <x:c r="Y141" s="44" t="n">
        <x:v>20000</x:v>
      </x:c>
      <x:c r="Z141" s="44" t="n">
        <x:f>IF(I141&gt;0,R141*(J141/I141),0)</x:f>
        <x:v>37000</x:v>
      </x:c>
      <x:c r="AA141" s="44" t="n">
        <x:f>Z141-(R141*E141)</x:f>
        <x:v>13000</x:v>
      </x:c>
      <x:c r="AB141" s="47" t="n">
        <x:f>IFERROR(AA141/Z141,0)</x:f>
        <x:v>0.35135135135135137</x:v>
      </x:c>
      <x:c r="AC141" s="32" t="str">
        <x:f>IF(S141=0,"0%",IF(S141&lt;0.5,"1-49%",IF(S141&lt;0.8,"50-79%",IF(S141&lt;1,"80-99%","100%"))))</x:f>
        <x:v>100%</x:v>
      </x:c>
      <x:c r="AD141" s="33" t="str">
        <x:f>IF(G141&lt;0,"Stock negativo",IF(G141&lt;=0,"Sin stock actual",IF(I141&lt;=0,"Sin ventas desde compra",IF(Q141&lt;=0,"Con stock, sin ventas 365d",IF(S141&lt;0.5,"Rotación baja",IF(S141&lt;1,"Rotación media","Compra absorbida; stock repuesto"))))))</x:f>
        <x:v>Sin stock actual</x:v>
      </x:c>
    </x:row>
    <x:row r="142">
      <x:c r="A142" s="31" t="str">
        <x:v>22578</x:v>
      </x:c>
      <x:c r="B142" s="53" t="str">
        <x:v>MANIGUETA IZQ BWS XT2 125 NARITA</x:v>
      </x:c>
      <x:c r="C142" s="32" t="n">
        <x:v>1</x:v>
      </x:c>
      <x:c r="D142" s="38" t="n">
        <x:v>4</x:v>
      </x:c>
      <x:c r="E142" s="44" t="n">
        <x:v>6000</x:v>
      </x:c>
      <x:c r="F142" s="44" t="n">
        <x:v>24000</x:v>
      </x:c>
      <x:c r="G142" s="41" t="n">
        <x:v>0</x:v>
      </x:c>
      <x:c r="H142" s="44" t="n">
        <x:f>MAX(G142,0)*E142</x:f>
        <x:v>0</x:v>
      </x:c>
      <x:c r="I142" s="38" t="n">
        <x:v>4</x:v>
      </x:c>
      <x:c r="J142" s="44" t="n">
        <x:v>42000</x:v>
      </x:c>
      <x:c r="K142" s="32" t="n">
        <x:v>4</x:v>
      </x:c>
      <x:c r="L142" s="50" t="n">
        <x:v>45503.67061342593</x:v>
      </x:c>
      <x:c r="M142" s="50" t="n">
        <x:v>45520.91197916667</x:v>
      </x:c>
      <x:c r="N142" s="32" t="n">
        <x:f>IF(M142="","",MAX(0,'Resumen'!$B$3-M142))</x:f>
        <x:v>746.0880208333328</x:v>
      </x:c>
      <x:c r="O142" s="38" t="n">
        <x:v>0</x:v>
      </x:c>
      <x:c r="P142" s="38" t="n">
        <x:v>0</x:v>
      </x:c>
      <x:c r="Q142" s="38" t="n">
        <x:v>0</x:v>
      </x:c>
      <x:c r="R142" s="38" t="n">
        <x:f>MIN(D142,I142)</x:f>
        <x:v>4</x:v>
      </x:c>
      <x:c r="S142" s="47" t="n">
        <x:f>IFERROR(R142/D142,0)</x:f>
        <x:v>1</x:v>
      </x:c>
      <x:c r="T142" s="38" t="n">
        <x:f>MIN(MAX(G142,0),MAX(D142-I142,0))</x:f>
        <x:v>0</x:v>
      </x:c>
      <x:c r="U142" s="44" t="n">
        <x:f>T142*E142</x:f>
        <x:v>0</x:v>
      </x:c>
      <x:c r="V142" s="38" t="n">
        <x:v>0</x:v>
      </x:c>
      <x:c r="W142" s="32" t="n">
        <x:v>0</x:v>
      </x:c>
      <x:c r="X142" s="50"/>
      <x:c r="Y142" s="44" t="n">
        <x:v>10000</x:v>
      </x:c>
      <x:c r="Z142" s="44" t="n">
        <x:f>IF(I142&gt;0,R142*(J142/I142),0)</x:f>
        <x:v>42000</x:v>
      </x:c>
      <x:c r="AA142" s="44" t="n">
        <x:f>Z142-(R142*E142)</x:f>
        <x:v>18000</x:v>
      </x:c>
      <x:c r="AB142" s="47" t="n">
        <x:f>IFERROR(AA142/Z142,0)</x:f>
        <x:v>0.42857142857142855</x:v>
      </x:c>
      <x:c r="AC142" s="32" t="str">
        <x:f>IF(S142=0,"0%",IF(S142&lt;0.5,"1-49%",IF(S142&lt;0.8,"50-79%",IF(S142&lt;1,"80-99%","100%"))))</x:f>
        <x:v>100%</x:v>
      </x:c>
      <x:c r="AD142" s="33" t="str">
        <x:f>IF(G142&lt;0,"Stock negativo",IF(G142&lt;=0,"Sin stock actual",IF(I142&lt;=0,"Sin ventas desde compra",IF(Q142&lt;=0,"Con stock, sin ventas 365d",IF(S142&lt;0.5,"Rotación baja",IF(S142&lt;1,"Rotación media","Compra absorbida; stock repuesto"))))))</x:f>
        <x:v>Sin stock actual</x:v>
      </x:c>
    </x:row>
    <x:row r="143">
      <x:c r="A143" s="31" t="str">
        <x:v>87737015</x:v>
      </x:c>
      <x:c r="B143" s="53" t="str">
        <x:v>ESCOBILLAS ARRANQUE BWS125 KOCHIN</x:v>
      </x:c>
      <x:c r="C143" s="32" t="n">
        <x:v>1</x:v>
      </x:c>
      <x:c r="D143" s="38" t="n">
        <x:v>3</x:v>
      </x:c>
      <x:c r="E143" s="44" t="n">
        <x:v>8000</x:v>
      </x:c>
      <x:c r="F143" s="44" t="n">
        <x:v>24000</x:v>
      </x:c>
      <x:c r="G143" s="41" t="n">
        <x:v>0</x:v>
      </x:c>
      <x:c r="H143" s="44" t="n">
        <x:f>MAX(G143,0)*E143</x:f>
        <x:v>0</x:v>
      </x:c>
      <x:c r="I143" s="38" t="n">
        <x:v>3</x:v>
      </x:c>
      <x:c r="J143" s="44" t="n">
        <x:v>38000</x:v>
      </x:c>
      <x:c r="K143" s="32" t="n">
        <x:v>2</x:v>
      </x:c>
      <x:c r="L143" s="50" t="n">
        <x:v>45861.88043981481</x:v>
      </x:c>
      <x:c r="M143" s="50" t="n">
        <x:v>46082.74166666667</x:v>
      </x:c>
      <x:c r="N143" s="32" t="n">
        <x:f>IF(M143="","",MAX(0,'Resumen'!$B$3-M143))</x:f>
        <x:v>184.2583333333314</x:v>
      </x:c>
      <x:c r="O143" s="38" t="n">
        <x:v>0</x:v>
      </x:c>
      <x:c r="P143" s="38" t="n">
        <x:v>0</x:v>
      </x:c>
      <x:c r="Q143" s="38" t="n">
        <x:v>1</x:v>
      </x:c>
      <x:c r="R143" s="38" t="n">
        <x:f>MIN(D143,I143)</x:f>
        <x:v>3</x:v>
      </x:c>
      <x:c r="S143" s="47" t="n">
        <x:f>IFERROR(R143/D143,0)</x:f>
        <x:v>1</x:v>
      </x:c>
      <x:c r="T143" s="38" t="n">
        <x:f>MIN(MAX(G143,0),MAX(D143-I143,0))</x:f>
        <x:v>0</x:v>
      </x:c>
      <x:c r="U143" s="44" t="n">
        <x:f>T143*E143</x:f>
        <x:v>0</x:v>
      </x:c>
      <x:c r="V143" s="38" t="n">
        <x:v>0</x:v>
      </x:c>
      <x:c r="W143" s="32" t="n">
        <x:v>0</x:v>
      </x:c>
      <x:c r="X143" s="50"/>
      <x:c r="Y143" s="44" t="n">
        <x:v>13500</x:v>
      </x:c>
      <x:c r="Z143" s="44" t="n">
        <x:f>IF(I143&gt;0,R143*(J143/I143),0)</x:f>
        <x:v>38000</x:v>
      </x:c>
      <x:c r="AA143" s="44" t="n">
        <x:f>Z143-(R143*E143)</x:f>
        <x:v>14000</x:v>
      </x:c>
      <x:c r="AB143" s="47" t="n">
        <x:f>IFERROR(AA143/Z143,0)</x:f>
        <x:v>0.3684210526315789</x:v>
      </x:c>
      <x:c r="AC143" s="32" t="str">
        <x:f>IF(S143=0,"0%",IF(S143&lt;0.5,"1-49%",IF(S143&lt;0.8,"50-79%",IF(S143&lt;1,"80-99%","100%"))))</x:f>
        <x:v>100%</x:v>
      </x:c>
      <x:c r="AD143" s="33" t="str">
        <x:f>IF(G143&lt;0,"Stock negativo",IF(G143&lt;=0,"Sin stock actual",IF(I143&lt;=0,"Sin ventas desde compra",IF(Q143&lt;=0,"Con stock, sin ventas 365d",IF(S143&lt;0.5,"Rotación baja",IF(S143&lt;1,"Rotación media","Compra absorbida; stock repuesto"))))))</x:f>
        <x:v>Sin stock actual</x:v>
      </x:c>
    </x:row>
    <x:row r="144">
      <x:c r="A144" s="31" t="str">
        <x:v>MOTS1034</x:v>
      </x:c>
      <x:c r="B144" s="53" t="str">
        <x:v>DIRECCIONNAL AX4  4T  AMBAR PAR APM</x:v>
      </x:c>
      <x:c r="C144" s="32" t="n">
        <x:v>1</x:v>
      </x:c>
      <x:c r="D144" s="38" t="n">
        <x:v>2</x:v>
      </x:c>
      <x:c r="E144" s="44" t="n">
        <x:v>12000</x:v>
      </x:c>
      <x:c r="F144" s="44" t="n">
        <x:v>24000</x:v>
      </x:c>
      <x:c r="G144" s="41" t="n">
        <x:v>1</x:v>
      </x:c>
      <x:c r="H144" s="44" t="n">
        <x:f>MAX(G144,0)*E144</x:f>
        <x:v>12000</x:v>
      </x:c>
      <x:c r="I144" s="38" t="n">
        <x:v>1</x:v>
      </x:c>
      <x:c r="J144" s="44" t="n">
        <x:v>20000</x:v>
      </x:c>
      <x:c r="K144" s="32" t="n">
        <x:v>1</x:v>
      </x:c>
      <x:c r="L144" s="50" t="n">
        <x:v>46014.73038194444</x:v>
      </x:c>
      <x:c r="M144" s="50" t="n">
        <x:v>46014.73038194444</x:v>
      </x:c>
      <x:c r="N144" s="32" t="n">
        <x:f>IF(M144="","",MAX(0,'Resumen'!$B$3-M144))</x:f>
        <x:v>252.26961805555766</x:v>
      </x:c>
      <x:c r="O144" s="38" t="n">
        <x:v>0</x:v>
      </x:c>
      <x:c r="P144" s="38" t="n">
        <x:v>0</x:v>
      </x:c>
      <x:c r="Q144" s="38" t="n">
        <x:v>1</x:v>
      </x:c>
      <x:c r="R144" s="38" t="n">
        <x:f>MIN(D144,I144)</x:f>
        <x:v>1</x:v>
      </x:c>
      <x:c r="S144" s="47" t="n">
        <x:f>IFERROR(R144/D144,0)</x:f>
        <x:v>0.5</x:v>
      </x:c>
      <x:c r="T144" s="38" t="n">
        <x:f>MIN(MAX(G144,0),MAX(D144-I144,0))</x:f>
        <x:v>1</x:v>
      </x:c>
      <x:c r="U144" s="44" t="n">
        <x:f>T144*E144</x:f>
        <x:v>12000</x:v>
      </x:c>
      <x:c r="V144" s="38" t="n">
        <x:v>0</x:v>
      </x:c>
      <x:c r="W144" s="32" t="n">
        <x:v>0</x:v>
      </x:c>
      <x:c r="X144" s="50"/>
      <x:c r="Y144" s="44" t="n">
        <x:v>20000</x:v>
      </x:c>
      <x:c r="Z144" s="44" t="n">
        <x:f>IF(I144&gt;0,R144*(J144/I144),0)</x:f>
        <x:v>20000</x:v>
      </x:c>
      <x:c r="AA144" s="44" t="n">
        <x:f>Z144-(R144*E144)</x:f>
        <x:v>8000</x:v>
      </x:c>
      <x:c r="AB144" s="47" t="n">
        <x:f>IFERROR(AA144/Z144,0)</x:f>
        <x:v>0.4</x:v>
      </x:c>
      <x:c r="AC144" s="32" t="str">
        <x:f>IF(S144=0,"0%",IF(S144&lt;0.5,"1-49%",IF(S144&lt;0.8,"50-79%",IF(S144&lt;1,"80-99%","100%"))))</x:f>
        <x:v>50-79%</x:v>
      </x:c>
      <x:c r="AD144" s="33" t="str">
        <x:f>IF(G144&lt;0,"Stock negativo",IF(G144&lt;=0,"Sin stock actual",IF(I144&lt;=0,"Sin ventas desde compra",IF(Q144&lt;=0,"Con stock, sin ventas 365d",IF(S144&lt;0.5,"Rotación baja",IF(S144&lt;1,"Rotación media","Compra absorbida; stock repuesto"))))))</x:f>
        <x:v>Rotación media</x:v>
      </x:c>
    </x:row>
    <x:row r="145">
      <x:c r="A145" s="31" t="str">
        <x:v>MOTS1054</x:v>
      </x:c>
      <x:c r="B145" s="53" t="str">
        <x:v>RETEN 25-44-7</x:v>
      </x:c>
      <x:c r="C145" s="32" t="n">
        <x:v>1</x:v>
      </x:c>
      <x:c r="D145" s="38" t="n">
        <x:v>8</x:v>
      </x:c>
      <x:c r="E145" s="44" t="n">
        <x:v>3000</x:v>
      </x:c>
      <x:c r="F145" s="44" t="n">
        <x:v>24000</x:v>
      </x:c>
      <x:c r="G145" s="41" t="n">
        <x:v>7</x:v>
      </x:c>
      <x:c r="H145" s="44" t="n">
        <x:f>MAX(G145,0)*E145</x:f>
        <x:v>21000</x:v>
      </x:c>
      <x:c r="I145" s="38" t="n">
        <x:v>1</x:v>
      </x:c>
      <x:c r="J145" s="44" t="n">
        <x:v>5000</x:v>
      </x:c>
      <x:c r="K145" s="32" t="n">
        <x:v>1</x:v>
      </x:c>
      <x:c r="L145" s="50" t="n">
        <x:v>45945.54875</x:v>
      </x:c>
      <x:c r="M145" s="50" t="n">
        <x:v>45945.54875</x:v>
      </x:c>
      <x:c r="N145" s="32" t="n">
        <x:f>IF(M145="","",MAX(0,'Resumen'!$B$3-M145))</x:f>
        <x:v>321.45124999999825</x:v>
      </x:c>
      <x:c r="O145" s="38" t="n">
        <x:v>0</x:v>
      </x:c>
      <x:c r="P145" s="38" t="n">
        <x:v>0</x:v>
      </x:c>
      <x:c r="Q145" s="38" t="n">
        <x:v>1</x:v>
      </x:c>
      <x:c r="R145" s="38" t="n">
        <x:f>MIN(D145,I145)</x:f>
        <x:v>1</x:v>
      </x:c>
      <x:c r="S145" s="47" t="n">
        <x:f>IFERROR(R145/D145,0)</x:f>
        <x:v>0.125</x:v>
      </x:c>
      <x:c r="T145" s="38" t="n">
        <x:f>MIN(MAX(G145,0),MAX(D145-I145,0))</x:f>
        <x:v>7</x:v>
      </x:c>
      <x:c r="U145" s="44" t="n">
        <x:f>T145*E145</x:f>
        <x:v>21000</x:v>
      </x:c>
      <x:c r="V145" s="38" t="n">
        <x:v>0</x:v>
      </x:c>
      <x:c r="W145" s="32" t="n">
        <x:v>0</x:v>
      </x:c>
      <x:c r="X145" s="50"/>
      <x:c r="Y145" s="44" t="n">
        <x:v>5000</x:v>
      </x:c>
      <x:c r="Z145" s="44" t="n">
        <x:f>IF(I145&gt;0,R145*(J145/I145),0)</x:f>
        <x:v>5000</x:v>
      </x:c>
      <x:c r="AA145" s="44" t="n">
        <x:f>Z145-(R145*E145)</x:f>
        <x:v>2000</x:v>
      </x:c>
      <x:c r="AB145" s="47" t="n">
        <x:f>IFERROR(AA145/Z145,0)</x:f>
        <x:v>0.4</x:v>
      </x:c>
      <x:c r="AC145" s="32" t="str">
        <x:f>IF(S145=0,"0%",IF(S145&lt;0.5,"1-49%",IF(S145&lt;0.8,"50-79%",IF(S145&lt;1,"80-99%","100%"))))</x:f>
        <x:v>1-49%</x:v>
      </x:c>
      <x:c r="AD145" s="33" t="str">
        <x:f>IF(G145&lt;0,"Stock negativo",IF(G145&lt;=0,"Sin stock actual",IF(I145&lt;=0,"Sin ventas desde compra",IF(Q145&lt;=0,"Con stock, sin ventas 365d",IF(S145&lt;0.5,"Rotación baja",IF(S145&lt;1,"Rotación media","Compra absorbida; stock repuesto"))))))</x:f>
        <x:v>Rotación baja</x:v>
      </x:c>
    </x:row>
    <x:row r="146">
      <x:c r="A146" s="31" t="str">
        <x:v>MOTS1121</x:v>
      </x:c>
      <x:c r="B146" s="53" t="str">
        <x:v>SWICHE FZ - YB1 - XT2 - 125 MIYAZURA</x:v>
      </x:c>
      <x:c r="C146" s="32" t="n">
        <x:v>1</x:v>
      </x:c>
      <x:c r="D146" s="38" t="n">
        <x:v>1</x:v>
      </x:c>
      <x:c r="E146" s="44" t="n">
        <x:v>24000</x:v>
      </x:c>
      <x:c r="F146" s="44" t="n">
        <x:v>24000</x:v>
      </x:c>
      <x:c r="G146" s="41" t="n">
        <x:v>1</x:v>
      </x:c>
      <x:c r="H146" s="44" t="n">
        <x:f>MAX(G146,0)*E146</x:f>
        <x:v>24000</x:v>
      </x:c>
      <x:c r="I146" s="38" t="n">
        <x:v>1</x:v>
      </x:c>
      <x:c r="J146" s="44" t="n">
        <x:v>40000</x:v>
      </x:c>
      <x:c r="K146" s="32" t="n">
        <x:v>1</x:v>
      </x:c>
      <x:c r="L146" s="50" t="n">
        <x:v>45565.519282407404</x:v>
      </x:c>
      <x:c r="M146" s="50" t="n">
        <x:v>45565.519282407404</x:v>
      </x:c>
      <x:c r="N146" s="32" t="n">
        <x:f>IF(M146="","",MAX(0,'Resumen'!$B$3-M146))</x:f>
        <x:v>701.4807175925962</x:v>
      </x:c>
      <x:c r="O146" s="38" t="n">
        <x:v>0</x:v>
      </x:c>
      <x:c r="P146" s="38" t="n">
        <x:v>0</x:v>
      </x:c>
      <x:c r="Q146" s="38" t="n">
        <x:v>0</x:v>
      </x:c>
      <x:c r="R146" s="38" t="n">
        <x:f>MIN(D146,I146)</x:f>
        <x:v>1</x:v>
      </x:c>
      <x:c r="S146" s="47" t="n">
        <x:f>IFERROR(R146/D146,0)</x:f>
        <x:v>1</x:v>
      </x:c>
      <x:c r="T146" s="38" t="n">
        <x:f>MIN(MAX(G146,0),MAX(D146-I146,0))</x:f>
        <x:v>0</x:v>
      </x:c>
      <x:c r="U146" s="44" t="n">
        <x:f>T146*E146</x:f>
        <x:v>0</x:v>
      </x:c>
      <x:c r="V146" s="38" t="n">
        <x:v>1</x:v>
      </x:c>
      <x:c r="W146" s="32" t="n">
        <x:v>1</x:v>
      </x:c>
      <x:c r="X146" s="50" t="n">
        <x:v>45911</x:v>
      </x:c>
      <x:c r="Y146" s="44" t="n">
        <x:v>40000</x:v>
      </x:c>
      <x:c r="Z146" s="44" t="n">
        <x:f>IF(I146&gt;0,R146*(J146/I146),0)</x:f>
        <x:v>40000</x:v>
      </x:c>
      <x:c r="AA146" s="44" t="n">
        <x:f>Z146-(R146*E146)</x:f>
        <x:v>16000</x:v>
      </x:c>
      <x:c r="AB146" s="47" t="n">
        <x:f>IFERROR(AA146/Z146,0)</x:f>
        <x:v>0.4</x:v>
      </x:c>
      <x:c r="AC146" s="32" t="str">
        <x:f>IF(S146=0,"0%",IF(S146&lt;0.5,"1-49%",IF(S146&lt;0.8,"50-79%",IF(S146&lt;1,"80-99%","100%"))))</x:f>
        <x:v>100%</x:v>
      </x:c>
      <x:c r="AD146" s="33" t="str">
        <x:f>IF(G146&lt;0,"Stock negativo",IF(G146&lt;=0,"Sin stock actual",IF(I146&lt;=0,"Sin ventas desde compra",IF(Q146&lt;=0,"Con stock, sin ventas 365d",IF(S146&lt;0.5,"Rotación baja",IF(S146&lt;1,"Rotación media","Compra absorbida; stock repuesto"))))))</x:f>
        <x:v>Con stock, sin ventas 365d</x:v>
      </x:c>
    </x:row>
    <x:row r="147">
      <x:c r="A147" s="31" t="str">
        <x:v>MOTS1262</x:v>
      </x:c>
      <x:c r="B147" s="53" t="str">
        <x:v>GUAYA CLUCTH PULSAR NS CUPRAPARTS</x:v>
      </x:c>
      <x:c r="C147" s="32" t="n">
        <x:v>1</x:v>
      </x:c>
      <x:c r="D147" s="38" t="n">
        <x:v>2</x:v>
      </x:c>
      <x:c r="E147" s="44" t="n">
        <x:v>12000</x:v>
      </x:c>
      <x:c r="F147" s="44" t="n">
        <x:v>24000</x:v>
      </x:c>
      <x:c r="G147" s="41" t="n">
        <x:v>2</x:v>
      </x:c>
      <x:c r="H147" s="44" t="n">
        <x:f>MAX(G147,0)*E147</x:f>
        <x:v>24000</x:v>
      </x:c>
      <x:c r="I147" s="38" t="n">
        <x:v>0</x:v>
      </x:c>
      <x:c r="J147" s="44" t="n">
        <x:v>0</x:v>
      </x:c>
      <x:c r="K147" s="32" t="n">
        <x:v>0</x:v>
      </x:c>
      <x:c r="L147" s="50"/>
      <x:c r="M147" s="50"/>
      <x:c r="N147" s="32" t="str">
        <x:f>IF(M147="","",MAX(0,'Resumen'!$B$3-M147))</x:f>
      </x:c>
      <x:c r="O147" s="38" t="n">
        <x:v>0</x:v>
      </x:c>
      <x:c r="P147" s="38" t="n">
        <x:v>0</x:v>
      </x:c>
      <x:c r="Q147" s="38" t="n">
        <x:v>0</x:v>
      </x:c>
      <x:c r="R147" s="38" t="n">
        <x:f>MIN(D147,I147)</x:f>
        <x:v>0</x:v>
      </x:c>
      <x:c r="S147" s="47" t="n">
        <x:f>IFERROR(R147/D147,0)</x:f>
        <x:v>0</x:v>
      </x:c>
      <x:c r="T147" s="38" t="n">
        <x:f>MIN(MAX(G147,0),MAX(D147-I147,0))</x:f>
        <x:v>2</x:v>
      </x:c>
      <x:c r="U147" s="44" t="n">
        <x:f>T147*E147</x:f>
        <x:v>24000</x:v>
      </x:c>
      <x:c r="V147" s="38" t="n">
        <x:v>0</x:v>
      </x:c>
      <x:c r="W147" s="32" t="n">
        <x:v>0</x:v>
      </x:c>
      <x:c r="X147" s="50"/>
      <x:c r="Y147" s="44" t="n">
        <x:v>20000</x:v>
      </x:c>
      <x:c r="Z147" s="44" t="n">
        <x:f>IF(I147&gt;0,R147*(J147/I147),0)</x:f>
        <x:v>0</x:v>
      </x:c>
      <x:c r="AA147" s="44" t="n">
        <x:f>Z147-(R147*E147)</x:f>
        <x:v>0</x:v>
      </x:c>
      <x:c r="AB147" s="47" t="n">
        <x:f>IFERROR(AA147/Z147,0)</x:f>
        <x:v>0</x:v>
      </x:c>
      <x:c r="AC147" s="32" t="str">
        <x:f>IF(S147=0,"0%",IF(S147&lt;0.5,"1-49%",IF(S147&lt;0.8,"50-79%",IF(S147&lt;1,"80-99%","100%"))))</x:f>
        <x:v>0%</x:v>
      </x:c>
      <x:c r="AD147" s="33" t="str">
        <x:f>IF(G147&lt;0,"Stock negativo",IF(G147&lt;=0,"Sin stock actual",IF(I147&lt;=0,"Sin ventas desde compra",IF(Q147&lt;=0,"Con stock, sin ventas 365d",IF(S147&lt;0.5,"Rotación baja",IF(S147&lt;1,"Rotación media","Compra absorbida; stock repuesto"))))))</x:f>
        <x:v>Sin ventas desde compra</x:v>
      </x:c>
    </x:row>
    <x:row r="148">
      <x:c r="A148" s="31" t="str">
        <x:v>DIR-073</x:v>
      </x:c>
      <x:c r="B148" s="53" t="str">
        <x:v>MANUBRIO ECO DELUXE</x:v>
      </x:c>
      <x:c r="C148" s="32" t="n">
        <x:v>1</x:v>
      </x:c>
      <x:c r="D148" s="38" t="n">
        <x:v>1</x:v>
      </x:c>
      <x:c r="E148" s="44" t="n">
        <x:v>23500</x:v>
      </x:c>
      <x:c r="F148" s="44" t="n">
        <x:v>23500</x:v>
      </x:c>
      <x:c r="G148" s="41" t="n">
        <x:v>0</x:v>
      </x:c>
      <x:c r="H148" s="44" t="n">
        <x:f>MAX(G148,0)*E148</x:f>
        <x:v>0</x:v>
      </x:c>
      <x:c r="I148" s="38" t="n">
        <x:v>1</x:v>
      </x:c>
      <x:c r="J148" s="44" t="n">
        <x:v>35000</x:v>
      </x:c>
      <x:c r="K148" s="32" t="n">
        <x:v>1</x:v>
      </x:c>
      <x:c r="L148" s="50" t="n">
        <x:v>45598.55165509259</x:v>
      </x:c>
      <x:c r="M148" s="50" t="n">
        <x:v>45598.55165509259</x:v>
      </x:c>
      <x:c r="N148" s="32" t="n">
        <x:f>IF(M148="","",MAX(0,'Resumen'!$B$3-M148))</x:f>
        <x:v>668.4483449074105</x:v>
      </x:c>
      <x:c r="O148" s="38" t="n">
        <x:v>0</x:v>
      </x:c>
      <x:c r="P148" s="38" t="n">
        <x:v>0</x:v>
      </x:c>
      <x:c r="Q148" s="38" t="n">
        <x:v>0</x:v>
      </x:c>
      <x:c r="R148" s="38" t="n">
        <x:f>MIN(D148,I148)</x:f>
        <x:v>1</x:v>
      </x:c>
      <x:c r="S148" s="47" t="n">
        <x:f>IFERROR(R148/D148,0)</x:f>
        <x:v>1</x:v>
      </x:c>
      <x:c r="T148" s="38" t="n">
        <x:f>MIN(MAX(G148,0),MAX(D148-I148,0))</x:f>
        <x:v>0</x:v>
      </x:c>
      <x:c r="U148" s="44" t="n">
        <x:f>T148*E148</x:f>
        <x:v>0</x:v>
      </x:c>
      <x:c r="V148" s="38" t="n">
        <x:v>0</x:v>
      </x:c>
      <x:c r="W148" s="32" t="n">
        <x:v>0</x:v>
      </x:c>
      <x:c r="X148" s="50"/>
      <x:c r="Y148" s="44" t="n">
        <x:v>39500</x:v>
      </x:c>
      <x:c r="Z148" s="44" t="n">
        <x:f>IF(I148&gt;0,R148*(J148/I148),0)</x:f>
        <x:v>35000</x:v>
      </x:c>
      <x:c r="AA148" s="44" t="n">
        <x:f>Z148-(R148*E148)</x:f>
        <x:v>11500</x:v>
      </x:c>
      <x:c r="AB148" s="47" t="n">
        <x:f>IFERROR(AA148/Z148,0)</x:f>
        <x:v>0.32857142857142857</x:v>
      </x:c>
      <x:c r="AC148" s="32" t="str">
        <x:f>IF(S148=0,"0%",IF(S148&lt;0.5,"1-49%",IF(S148&lt;0.8,"50-79%",IF(S148&lt;1,"80-99%","100%"))))</x:f>
        <x:v>100%</x:v>
      </x:c>
      <x:c r="AD148" s="33" t="str">
        <x:f>IF(G148&lt;0,"Stock negativo",IF(G148&lt;=0,"Sin stock actual",IF(I148&lt;=0,"Sin ventas desde compra",IF(Q148&lt;=0,"Con stock, sin ventas 365d",IF(S148&lt;0.5,"Rotación baja",IF(S148&lt;1,"Rotación media","Compra absorbida; stock repuesto"))))))</x:f>
        <x:v>Sin stock actual</x:v>
      </x:c>
    </x:row>
    <x:row r="149">
      <x:c r="A149" s="31" t="str">
        <x:v>MOTS1206</x:v>
      </x:c>
      <x:c r="B149" s="53" t="str">
        <x:v>JUEGO RADIOS 9 X 164 NITROX</x:v>
      </x:c>
      <x:c r="C149" s="32" t="n">
        <x:v>1</x:v>
      </x:c>
      <x:c r="D149" s="38" t="n">
        <x:v>2</x:v>
      </x:c>
      <x:c r="E149" s="44" t="n">
        <x:v>11500</x:v>
      </x:c>
      <x:c r="F149" s="44" t="n">
        <x:v>23000</x:v>
      </x:c>
      <x:c r="G149" s="41" t="n">
        <x:v>2</x:v>
      </x:c>
      <x:c r="H149" s="44" t="n">
        <x:f>MAX(G149,0)*E149</x:f>
        <x:v>23000</x:v>
      </x:c>
      <x:c r="I149" s="38" t="n">
        <x:v>0</x:v>
      </x:c>
      <x:c r="J149" s="44" t="n">
        <x:v>0</x:v>
      </x:c>
      <x:c r="K149" s="32" t="n">
        <x:v>0</x:v>
      </x:c>
      <x:c r="L149" s="50"/>
      <x:c r="M149" s="50"/>
      <x:c r="N149" s="32" t="str">
        <x:f>IF(M149="","",MAX(0,'Resumen'!$B$3-M149))</x:f>
      </x:c>
      <x:c r="O149" s="38" t="n">
        <x:v>0</x:v>
      </x:c>
      <x:c r="P149" s="38" t="n">
        <x:v>0</x:v>
      </x:c>
      <x:c r="Q149" s="38" t="n">
        <x:v>0</x:v>
      </x:c>
      <x:c r="R149" s="38" t="n">
        <x:f>MIN(D149,I149)</x:f>
        <x:v>0</x:v>
      </x:c>
      <x:c r="S149" s="47" t="n">
        <x:f>IFERROR(R149/D149,0)</x:f>
        <x:v>0</x:v>
      </x:c>
      <x:c r="T149" s="38" t="n">
        <x:f>MIN(MAX(G149,0),MAX(D149-I149,0))</x:f>
        <x:v>2</x:v>
      </x:c>
      <x:c r="U149" s="44" t="n">
        <x:f>T149*E149</x:f>
        <x:v>23000</x:v>
      </x:c>
      <x:c r="V149" s="38" t="n">
        <x:v>0</x:v>
      </x:c>
      <x:c r="W149" s="32" t="n">
        <x:v>0</x:v>
      </x:c>
      <x:c r="X149" s="50"/>
      <x:c r="Y149" s="44" t="n">
        <x:v>19500</x:v>
      </x:c>
      <x:c r="Z149" s="44" t="n">
        <x:f>IF(I149&gt;0,R149*(J149/I149),0)</x:f>
        <x:v>0</x:v>
      </x:c>
      <x:c r="AA149" s="44" t="n">
        <x:f>Z149-(R149*E149)</x:f>
        <x:v>0</x:v>
      </x:c>
      <x:c r="AB149" s="47" t="n">
        <x:f>IFERROR(AA149/Z149,0)</x:f>
        <x:v>0</x:v>
      </x:c>
      <x:c r="AC149" s="32" t="str">
        <x:f>IF(S149=0,"0%",IF(S149&lt;0.5,"1-49%",IF(S149&lt;0.8,"50-79%",IF(S149&lt;1,"80-99%","100%"))))</x:f>
        <x:v>0%</x:v>
      </x:c>
      <x:c r="AD149" s="33" t="str">
        <x:f>IF(G149&lt;0,"Stock negativo",IF(G149&lt;=0,"Sin stock actual",IF(I149&lt;=0,"Sin ventas desde compra",IF(Q149&lt;=0,"Con stock, sin ventas 365d",IF(S149&lt;0.5,"Rotación baja",IF(S149&lt;1,"Rotación media","Compra absorbida; stock repuesto"))))))</x:f>
        <x:v>Sin ventas desde compra</x:v>
      </x:c>
    </x:row>
    <x:row r="150">
      <x:c r="A150" s="31" t="str">
        <x:v>MOTS1215</x:v>
      </x:c>
      <x:c r="B150" s="53" t="str">
        <x:v>CUNAS DIRECCION ECO DELUXE / CBF 125 -150 RODILLO EVOL</x:v>
      </x:c>
      <x:c r="C150" s="32" t="n">
        <x:v>1</x:v>
      </x:c>
      <x:c r="D150" s="38" t="n">
        <x:v>2</x:v>
      </x:c>
      <x:c r="E150" s="44" t="n">
        <x:v>11400</x:v>
      </x:c>
      <x:c r="F150" s="44" t="n">
        <x:v>22800</x:v>
      </x:c>
      <x:c r="G150" s="41" t="n">
        <x:v>1</x:v>
      </x:c>
      <x:c r="H150" s="44" t="n">
        <x:f>MAX(G150,0)*E150</x:f>
        <x:v>11400</x:v>
      </x:c>
      <x:c r="I150" s="38" t="n">
        <x:v>1</x:v>
      </x:c>
      <x:c r="J150" s="44" t="n">
        <x:v>17000</x:v>
      </x:c>
      <x:c r="K150" s="32" t="n">
        <x:v>1</x:v>
      </x:c>
      <x:c r="L150" s="50" t="n">
        <x:v>46030.944502314815</x:v>
      </x:c>
      <x:c r="M150" s="50" t="n">
        <x:v>46030.944502314815</x:v>
      </x:c>
      <x:c r="N150" s="32" t="n">
        <x:f>IF(M150="","",MAX(0,'Resumen'!$B$3-M150))</x:f>
        <x:v>236.0554976851854</x:v>
      </x:c>
      <x:c r="O150" s="38" t="n">
        <x:v>0</x:v>
      </x:c>
      <x:c r="P150" s="38" t="n">
        <x:v>0</x:v>
      </x:c>
      <x:c r="Q150" s="38" t="n">
        <x:v>1</x:v>
      </x:c>
      <x:c r="R150" s="38" t="n">
        <x:f>MIN(D150,I150)</x:f>
        <x:v>1</x:v>
      </x:c>
      <x:c r="S150" s="47" t="n">
        <x:f>IFERROR(R150/D150,0)</x:f>
        <x:v>0.5</x:v>
      </x:c>
      <x:c r="T150" s="38" t="n">
        <x:f>MIN(MAX(G150,0),MAX(D150-I150,0))</x:f>
        <x:v>1</x:v>
      </x:c>
      <x:c r="U150" s="44" t="n">
        <x:f>T150*E150</x:f>
        <x:v>11400</x:v>
      </x:c>
      <x:c r="V150" s="38" t="n">
        <x:v>0</x:v>
      </x:c>
      <x:c r="W150" s="32" t="n">
        <x:v>0</x:v>
      </x:c>
      <x:c r="X150" s="50"/>
      <x:c r="Y150" s="44" t="n">
        <x:v>19000</x:v>
      </x:c>
      <x:c r="Z150" s="44" t="n">
        <x:f>IF(I150&gt;0,R150*(J150/I150),0)</x:f>
        <x:v>17000</x:v>
      </x:c>
      <x:c r="AA150" s="44" t="n">
        <x:f>Z150-(R150*E150)</x:f>
        <x:v>5600</x:v>
      </x:c>
      <x:c r="AB150" s="47" t="n">
        <x:f>IFERROR(AA150/Z150,0)</x:f>
        <x:v>0.32941176470588235</x:v>
      </x:c>
      <x:c r="AC150" s="32" t="str">
        <x:f>IF(S150=0,"0%",IF(S150&lt;0.5,"1-49%",IF(S150&lt;0.8,"50-79%",IF(S150&lt;1,"80-99%","100%"))))</x:f>
        <x:v>50-79%</x:v>
      </x:c>
      <x:c r="AD150" s="33" t="str">
        <x:f>IF(G150&lt;0,"Stock negativo",IF(G150&lt;=0,"Sin stock actual",IF(I150&lt;=0,"Sin ventas desde compra",IF(Q150&lt;=0,"Con stock, sin ventas 365d",IF(S150&lt;0.5,"Rotación baja",IF(S150&lt;1,"Rotación media","Compra absorbida; stock repuesto"))))))</x:f>
        <x:v>Rotación media</x:v>
      </x:c>
    </x:row>
    <x:row r="151">
      <x:c r="A151" s="31" t="str">
        <x:v>MOTS1226</x:v>
      </x:c>
      <x:c r="B151" s="53" t="str">
        <x:v>BALINERA 62002RSC3 NXT</x:v>
      </x:c>
      <x:c r="C151" s="32" t="n">
        <x:v>1</x:v>
      </x:c>
      <x:c r="D151" s="38" t="n">
        <x:v>6</x:v>
      </x:c>
      <x:c r="E151" s="44" t="n">
        <x:v>3800</x:v>
      </x:c>
      <x:c r="F151" s="44" t="n">
        <x:v>22800</x:v>
      </x:c>
      <x:c r="G151" s="41" t="n">
        <x:v>3</x:v>
      </x:c>
      <x:c r="H151" s="44" t="n">
        <x:f>MAX(G151,0)*E151</x:f>
        <x:v>11400</x:v>
      </x:c>
      <x:c r="I151" s="38" t="n">
        <x:v>5</x:v>
      </x:c>
      <x:c r="J151" s="44" t="n">
        <x:v>31500</x:v>
      </x:c>
      <x:c r="K151" s="32" t="n">
        <x:v>4</x:v>
      </x:c>
      <x:c r="L151" s="50" t="n">
        <x:v>45838.7896412037</x:v>
      </x:c>
      <x:c r="M151" s="50" t="n">
        <x:v>46148.91732638889</x:v>
      </x:c>
      <x:c r="N151" s="32" t="n">
        <x:f>IF(M151="","",MAX(0,'Resumen'!$B$3-M151))</x:f>
        <x:v>118.08267361111211</x:v>
      </x:c>
      <x:c r="O151" s="38" t="n">
        <x:v>0</x:v>
      </x:c>
      <x:c r="P151" s="38" t="n">
        <x:v>0</x:v>
      </x:c>
      <x:c r="Q151" s="38" t="n">
        <x:v>4</x:v>
      </x:c>
      <x:c r="R151" s="38" t="n">
        <x:f>MIN(D151,I151)</x:f>
        <x:v>5</x:v>
      </x:c>
      <x:c r="S151" s="47" t="n">
        <x:f>IFERROR(R151/D151,0)</x:f>
        <x:v>0.8333333333333334</x:v>
      </x:c>
      <x:c r="T151" s="38" t="n">
        <x:f>MIN(MAX(G151,0),MAX(D151-I151,0))</x:f>
        <x:v>1</x:v>
      </x:c>
      <x:c r="U151" s="44" t="n">
        <x:f>T151*E151</x:f>
        <x:v>3800</x:v>
      </x:c>
      <x:c r="V151" s="38" t="n">
        <x:v>2</x:v>
      </x:c>
      <x:c r="W151" s="32" t="n">
        <x:v>1</x:v>
      </x:c>
      <x:c r="X151" s="50" t="n">
        <x:v>45739</x:v>
      </x:c>
      <x:c r="Y151" s="44" t="n">
        <x:v>6500</x:v>
      </x:c>
      <x:c r="Z151" s="44" t="n">
        <x:f>IF(I151&gt;0,R151*(J151/I151),0)</x:f>
        <x:v>31500</x:v>
      </x:c>
      <x:c r="AA151" s="44" t="n">
        <x:f>Z151-(R151*E151)</x:f>
        <x:v>12500</x:v>
      </x:c>
      <x:c r="AB151" s="47" t="n">
        <x:f>IFERROR(AA151/Z151,0)</x:f>
        <x:v>0.3968253968253968</x:v>
      </x:c>
      <x:c r="AC151" s="32" t="str">
        <x:f>IF(S151=0,"0%",IF(S151&lt;0.5,"1-49%",IF(S151&lt;0.8,"50-79%",IF(S151&lt;1,"80-99%","100%"))))</x:f>
        <x:v>80-99%</x:v>
      </x:c>
      <x:c r="AD151" s="33" t="str">
        <x:f>IF(G151&lt;0,"Stock negativo",IF(G151&lt;=0,"Sin stock actual",IF(I151&lt;=0,"Sin ventas desde compra",IF(Q151&lt;=0,"Con stock, sin ventas 365d",IF(S151&lt;0.5,"Rotación baja",IF(S151&lt;1,"Rotación media","Compra absorbida; stock repuesto"))))))</x:f>
        <x:v>Rotación media</x:v>
      </x:c>
    </x:row>
    <x:row r="152">
      <x:c r="A152" s="31" t="str">
        <x:v>MOTS1240</x:v>
      </x:c>
      <x:c r="B152" s="53" t="str">
        <x:v>BALINERA 6205 C3 AKITA</x:v>
      </x:c>
      <x:c r="C152" s="32" t="n">
        <x:v>1</x:v>
      </x:c>
      <x:c r="D152" s="38" t="n">
        <x:v>6</x:v>
      </x:c>
      <x:c r="E152" s="44" t="n">
        <x:v>3800</x:v>
      </x:c>
      <x:c r="F152" s="44" t="n">
        <x:v>22800</x:v>
      </x:c>
      <x:c r="G152" s="41" t="n">
        <x:v>5</x:v>
      </x:c>
      <x:c r="H152" s="44" t="n">
        <x:f>MAX(G152,0)*E152</x:f>
        <x:v>19000</x:v>
      </x:c>
      <x:c r="I152" s="38" t="n">
        <x:v>1</x:v>
      </x:c>
      <x:c r="J152" s="44" t="n">
        <x:v>6500</x:v>
      </x:c>
      <x:c r="K152" s="32" t="n">
        <x:v>1</x:v>
      </x:c>
      <x:c r="L152" s="50" t="n">
        <x:v>46098.57314814815</x:v>
      </x:c>
      <x:c r="M152" s="50" t="n">
        <x:v>46098.57314814815</x:v>
      </x:c>
      <x:c r="N152" s="32" t="n">
        <x:f>IF(M152="","",MAX(0,'Resumen'!$B$3-M152))</x:f>
        <x:v>168.4268518518511</x:v>
      </x:c>
      <x:c r="O152" s="38" t="n">
        <x:v>0</x:v>
      </x:c>
      <x:c r="P152" s="38" t="n">
        <x:v>0</x:v>
      </x:c>
      <x:c r="Q152" s="38" t="n">
        <x:v>1</x:v>
      </x:c>
      <x:c r="R152" s="38" t="n">
        <x:f>MIN(D152,I152)</x:f>
        <x:v>1</x:v>
      </x:c>
      <x:c r="S152" s="47" t="n">
        <x:f>IFERROR(R152/D152,0)</x:f>
        <x:v>0.16666666666666666</x:v>
      </x:c>
      <x:c r="T152" s="38" t="n">
        <x:f>MIN(MAX(G152,0),MAX(D152-I152,0))</x:f>
        <x:v>5</x:v>
      </x:c>
      <x:c r="U152" s="44" t="n">
        <x:f>T152*E152</x:f>
        <x:v>19000</x:v>
      </x:c>
      <x:c r="V152" s="38" t="n">
        <x:v>0</x:v>
      </x:c>
      <x:c r="W152" s="32" t="n">
        <x:v>0</x:v>
      </x:c>
      <x:c r="X152" s="50"/>
      <x:c r="Y152" s="44" t="n">
        <x:v>6500</x:v>
      </x:c>
      <x:c r="Z152" s="44" t="n">
        <x:f>IF(I152&gt;0,R152*(J152/I152),0)</x:f>
        <x:v>6500</x:v>
      </x:c>
      <x:c r="AA152" s="44" t="n">
        <x:f>Z152-(R152*E152)</x:f>
        <x:v>2700</x:v>
      </x:c>
      <x:c r="AB152" s="47" t="n">
        <x:f>IFERROR(AA152/Z152,0)</x:f>
        <x:v>0.4153846153846154</x:v>
      </x:c>
      <x:c r="AC152" s="32" t="str">
        <x:f>IF(S152=0,"0%",IF(S152&lt;0.5,"1-49%",IF(S152&lt;0.8,"50-79%",IF(S152&lt;1,"80-99%","100%"))))</x:f>
        <x:v>1-49%</x:v>
      </x:c>
      <x:c r="AD152" s="33" t="str">
        <x:f>IF(G152&lt;0,"Stock negativo",IF(G152&lt;=0,"Sin stock actual",IF(I152&lt;=0,"Sin ventas desde compra",IF(Q152&lt;=0,"Con stock, sin ventas 365d",IF(S152&lt;0.5,"Rotación baja",IF(S152&lt;1,"Rotación media","Compra absorbida; stock repuesto"))))))</x:f>
        <x:v>Rotación baja</x:v>
      </x:c>
    </x:row>
    <x:row r="153">
      <x:c r="A153" s="31" t="str">
        <x:v>4400</x:v>
      </x:c>
      <x:c r="B153" s="53" t="str">
        <x:v>CUNAS DIRECCION XL 125 / ECO 100 / TT 125 BALIN ARITA</x:v>
      </x:c>
      <x:c r="C153" s="32" t="n">
        <x:v>1</x:v>
      </x:c>
      <x:c r="D153" s="38" t="n">
        <x:v>3</x:v>
      </x:c>
      <x:c r="E153" s="44" t="n">
        <x:v>7500</x:v>
      </x:c>
      <x:c r="F153" s="44" t="n">
        <x:v>22500</x:v>
      </x:c>
      <x:c r="G153" s="41" t="n">
        <x:v>2</x:v>
      </x:c>
      <x:c r="H153" s="44" t="n">
        <x:f>MAX(G153,0)*E153</x:f>
        <x:v>15000</x:v>
      </x:c>
      <x:c r="I153" s="38" t="n">
        <x:v>1</x:v>
      </x:c>
      <x:c r="J153" s="44" t="n">
        <x:v>12500</x:v>
      </x:c>
      <x:c r="K153" s="32" t="n">
        <x:v>1</x:v>
      </x:c>
      <x:c r="L153" s="50" t="n">
        <x:v>45745.6081712963</x:v>
      </x:c>
      <x:c r="M153" s="50" t="n">
        <x:v>45745.6081712963</x:v>
      </x:c>
      <x:c r="N153" s="32" t="n">
        <x:f>IF(M153="","",MAX(0,'Resumen'!$B$3-M153))</x:f>
        <x:v>521.3918287037013</x:v>
      </x:c>
      <x:c r="O153" s="38" t="n">
        <x:v>0</x:v>
      </x:c>
      <x:c r="P153" s="38" t="n">
        <x:v>0</x:v>
      </x:c>
      <x:c r="Q153" s="38" t="n">
        <x:v>0</x:v>
      </x:c>
      <x:c r="R153" s="38" t="n">
        <x:f>MIN(D153,I153)</x:f>
        <x:v>1</x:v>
      </x:c>
      <x:c r="S153" s="47" t="n">
        <x:f>IFERROR(R153/D153,0)</x:f>
        <x:v>0.3333333333333333</x:v>
      </x:c>
      <x:c r="T153" s="38" t="n">
        <x:f>MIN(MAX(G153,0),MAX(D153-I153,0))</x:f>
        <x:v>2</x:v>
      </x:c>
      <x:c r="U153" s="44" t="n">
        <x:f>T153*E153</x:f>
        <x:v>15000</x:v>
      </x:c>
      <x:c r="V153" s="38" t="n">
        <x:v>0</x:v>
      </x:c>
      <x:c r="W153" s="32" t="n">
        <x:v>0</x:v>
      </x:c>
      <x:c r="X153" s="50"/>
      <x:c r="Y153" s="44" t="n">
        <x:v>12500</x:v>
      </x:c>
      <x:c r="Z153" s="44" t="n">
        <x:f>IF(I153&gt;0,R153*(J153/I153),0)</x:f>
        <x:v>12500</x:v>
      </x:c>
      <x:c r="AA153" s="44" t="n">
        <x:f>Z153-(R153*E153)</x:f>
        <x:v>5000</x:v>
      </x:c>
      <x:c r="AB153" s="47" t="n">
        <x:f>IFERROR(AA153/Z153,0)</x:f>
        <x:v>0.4</x:v>
      </x:c>
      <x:c r="AC153" s="32" t="str">
        <x:f>IF(S153=0,"0%",IF(S153&lt;0.5,"1-49%",IF(S153&lt;0.8,"50-79%",IF(S153&lt;1,"80-99%","100%"))))</x:f>
        <x:v>1-49%</x:v>
      </x:c>
      <x:c r="AD153" s="33" t="str">
        <x:f>IF(G153&lt;0,"Stock negativo",IF(G153&lt;=0,"Sin stock actual",IF(I153&lt;=0,"Sin ventas desde compra",IF(Q153&lt;=0,"Con stock, sin ventas 365d",IF(S153&lt;0.5,"Rotación baja",IF(S153&lt;1,"Rotación media","Compra absorbida; stock repuesto"))))))</x:f>
        <x:v>Con stock, sin ventas 365d</x:v>
      </x:c>
    </x:row>
    <x:row r="154">
      <x:c r="A154" s="31" t="str">
        <x:v>MOTS1238</x:v>
      </x:c>
      <x:c r="B154" s="53" t="str">
        <x:v>BALINERA 6001 2RS C3 RNV</x:v>
      </x:c>
      <x:c r="C154" s="32" t="n">
        <x:v>1</x:v>
      </x:c>
      <x:c r="D154" s="38" t="n">
        <x:v>5</x:v>
      </x:c>
      <x:c r="E154" s="44" t="n">
        <x:v>4500</x:v>
      </x:c>
      <x:c r="F154" s="44" t="n">
        <x:v>22500</x:v>
      </x:c>
      <x:c r="G154" s="41" t="n">
        <x:v>3</x:v>
      </x:c>
      <x:c r="H154" s="44" t="n">
        <x:f>MAX(G154,0)*E154</x:f>
        <x:v>13500</x:v>
      </x:c>
      <x:c r="I154" s="38" t="n">
        <x:v>2</x:v>
      </x:c>
      <x:c r="J154" s="44" t="n">
        <x:v>14500</x:v>
      </x:c>
      <x:c r="K154" s="32" t="n">
        <x:v>2</x:v>
      </x:c>
      <x:c r="L154" s="50" t="n">
        <x:v>45580.845613425925</x:v>
      </x:c>
      <x:c r="M154" s="50" t="n">
        <x:v>45700.938993055555</x:v>
      </x:c>
      <x:c r="N154" s="32" t="n">
        <x:f>IF(M154="","",MAX(0,'Resumen'!$B$3-M154))</x:f>
        <x:v>566.0610069444447</x:v>
      </x:c>
      <x:c r="O154" s="38" t="n">
        <x:v>0</x:v>
      </x:c>
      <x:c r="P154" s="38" t="n">
        <x:v>0</x:v>
      </x:c>
      <x:c r="Q154" s="38" t="n">
        <x:v>0</x:v>
      </x:c>
      <x:c r="R154" s="38" t="n">
        <x:f>MIN(D154,I154)</x:f>
        <x:v>2</x:v>
      </x:c>
      <x:c r="S154" s="47" t="n">
        <x:f>IFERROR(R154/D154,0)</x:f>
        <x:v>0.4</x:v>
      </x:c>
      <x:c r="T154" s="38" t="n">
        <x:f>MIN(MAX(G154,0),MAX(D154-I154,0))</x:f>
        <x:v>3</x:v>
      </x:c>
      <x:c r="U154" s="44" t="n">
        <x:f>T154*E154</x:f>
        <x:v>13500</x:v>
      </x:c>
      <x:c r="V154" s="38" t="n">
        <x:v>0</x:v>
      </x:c>
      <x:c r="W154" s="32" t="n">
        <x:v>0</x:v>
      </x:c>
      <x:c r="X154" s="50"/>
      <x:c r="Y154" s="44" t="n">
        <x:v>7500</x:v>
      </x:c>
      <x:c r="Z154" s="44" t="n">
        <x:f>IF(I154&gt;0,R154*(J154/I154),0)</x:f>
        <x:v>14500</x:v>
      </x:c>
      <x:c r="AA154" s="44" t="n">
        <x:f>Z154-(R154*E154)</x:f>
        <x:v>5500</x:v>
      </x:c>
      <x:c r="AB154" s="47" t="n">
        <x:f>IFERROR(AA154/Z154,0)</x:f>
        <x:v>0.3793103448275862</x:v>
      </x:c>
      <x:c r="AC154" s="32" t="str">
        <x:f>IF(S154=0,"0%",IF(S154&lt;0.5,"1-49%",IF(S154&lt;0.8,"50-79%",IF(S154&lt;1,"80-99%","100%"))))</x:f>
        <x:v>1-49%</x:v>
      </x:c>
      <x:c r="AD154" s="33" t="str">
        <x:f>IF(G154&lt;0,"Stock negativo",IF(G154&lt;=0,"Sin stock actual",IF(I154&lt;=0,"Sin ventas desde compra",IF(Q154&lt;=0,"Con stock, sin ventas 365d",IF(S154&lt;0.5,"Rotación baja",IF(S154&lt;1,"Rotación media","Compra absorbida; stock repuesto"))))))</x:f>
        <x:v>Con stock, sin ventas 365d</x:v>
      </x:c>
    </x:row>
    <x:row r="155">
      <x:c r="A155" s="31" t="str">
        <x:v>MOTS1244</x:v>
      </x:c>
      <x:c r="B155" s="53" t="str">
        <x:v>TAPA PRENSA CBF 125</x:v>
      </x:c>
      <x:c r="C155" s="32" t="n">
        <x:v>1</x:v>
      </x:c>
      <x:c r="D155" s="38" t="n">
        <x:v>1</x:v>
      </x:c>
      <x:c r="E155" s="44" t="n">
        <x:v>22500</x:v>
      </x:c>
      <x:c r="F155" s="44" t="n">
        <x:v>22500</x:v>
      </x:c>
      <x:c r="G155" s="41" t="n">
        <x:v>0</x:v>
      </x:c>
      <x:c r="H155" s="44" t="n">
        <x:f>MAX(G155,0)*E155</x:f>
        <x:v>0</x:v>
      </x:c>
      <x:c r="I155" s="38" t="n">
        <x:v>1</x:v>
      </x:c>
      <x:c r="J155" s="44" t="n">
        <x:v>37500</x:v>
      </x:c>
      <x:c r="K155" s="32" t="n">
        <x:v>1</x:v>
      </x:c>
      <x:c r="L155" s="50" t="n">
        <x:v>45551.67193287037</x:v>
      </x:c>
      <x:c r="M155" s="50" t="n">
        <x:v>45551.67193287037</x:v>
      </x:c>
      <x:c r="N155" s="32" t="n">
        <x:f>IF(M155="","",MAX(0,'Resumen'!$B$3-M155))</x:f>
        <x:v>715.3280671296307</x:v>
      </x:c>
      <x:c r="O155" s="38" t="n">
        <x:v>0</x:v>
      </x:c>
      <x:c r="P155" s="38" t="n">
        <x:v>0</x:v>
      </x:c>
      <x:c r="Q155" s="38" t="n">
        <x:v>0</x:v>
      </x:c>
      <x:c r="R155" s="38" t="n">
        <x:f>MIN(D155,I155)</x:f>
        <x:v>1</x:v>
      </x:c>
      <x:c r="S155" s="47" t="n">
        <x:f>IFERROR(R155/D155,0)</x:f>
        <x:v>1</x:v>
      </x:c>
      <x:c r="T155" s="38" t="n">
        <x:f>MIN(MAX(G155,0),MAX(D155-I155,0))</x:f>
        <x:v>0</x:v>
      </x:c>
      <x:c r="U155" s="44" t="n">
        <x:f>T155*E155</x:f>
        <x:v>0</x:v>
      </x:c>
      <x:c r="V155" s="38" t="n">
        <x:v>0</x:v>
      </x:c>
      <x:c r="W155" s="32" t="n">
        <x:v>0</x:v>
      </x:c>
      <x:c r="X155" s="50"/>
      <x:c r="Y155" s="44" t="n">
        <x:v>37500</x:v>
      </x:c>
      <x:c r="Z155" s="44" t="n">
        <x:f>IF(I155&gt;0,R155*(J155/I155),0)</x:f>
        <x:v>37500</x:v>
      </x:c>
      <x:c r="AA155" s="44" t="n">
        <x:f>Z155-(R155*E155)</x:f>
        <x:v>15000</x:v>
      </x:c>
      <x:c r="AB155" s="47" t="n">
        <x:f>IFERROR(AA155/Z155,0)</x:f>
        <x:v>0.4</x:v>
      </x:c>
      <x:c r="AC155" s="32" t="str">
        <x:f>IF(S155=0,"0%",IF(S155&lt;0.5,"1-49%",IF(S155&lt;0.8,"50-79%",IF(S155&lt;1,"80-99%","100%"))))</x:f>
        <x:v>100%</x:v>
      </x:c>
      <x:c r="AD155" s="33" t="str">
        <x:f>IF(G155&lt;0,"Stock negativo",IF(G155&lt;=0,"Sin stock actual",IF(I155&lt;=0,"Sin ventas desde compra",IF(Q155&lt;=0,"Con stock, sin ventas 365d",IF(S155&lt;0.5,"Rotación baja",IF(S155&lt;1,"Rotación media","Compra absorbida; stock repuesto"))))))</x:f>
        <x:v>Sin stock actual</x:v>
      </x:c>
    </x:row>
    <x:row r="156">
      <x:c r="A156" s="31" t="str">
        <x:v>KIT - 026</x:v>
      </x:c>
      <x:c r="B156" s="53" t="str">
        <x:v>KIT TORNILLOS CATALINA ECO DELUXE RACING</x:v>
      </x:c>
      <x:c r="C156" s="32" t="n">
        <x:v>1</x:v>
      </x:c>
      <x:c r="D156" s="38" t="n">
        <x:v>7</x:v>
      </x:c>
      <x:c r="E156" s="44" t="n">
        <x:v>3200</x:v>
      </x:c>
      <x:c r="F156" s="44" t="n">
        <x:v>22400</x:v>
      </x:c>
      <x:c r="G156" s="41" t="n">
        <x:v>0</x:v>
      </x:c>
      <x:c r="H156" s="44" t="n">
        <x:f>MAX(G156,0)*E156</x:f>
        <x:v>0</x:v>
      </x:c>
      <x:c r="I156" s="38" t="n">
        <x:v>7</x:v>
      </x:c>
      <x:c r="J156" s="44" t="n">
        <x:v>36500</x:v>
      </x:c>
      <x:c r="K156" s="32" t="n">
        <x:v>6</x:v>
      </x:c>
      <x:c r="L156" s="50" t="n">
        <x:v>45543.72221064815</x:v>
      </x:c>
      <x:c r="M156" s="50" t="n">
        <x:v>45727.69876157407</x:v>
      </x:c>
      <x:c r="N156" s="32" t="n">
        <x:f>IF(M156="","",MAX(0,'Resumen'!$B$3-M156))</x:f>
        <x:v>539.3012384259273</x:v>
      </x:c>
      <x:c r="O156" s="38" t="n">
        <x:v>0</x:v>
      </x:c>
      <x:c r="P156" s="38" t="n">
        <x:v>0</x:v>
      </x:c>
      <x:c r="Q156" s="38" t="n">
        <x:v>0</x:v>
      </x:c>
      <x:c r="R156" s="38" t="n">
        <x:f>MIN(D156,I156)</x:f>
        <x:v>7</x:v>
      </x:c>
      <x:c r="S156" s="47" t="n">
        <x:f>IFERROR(R156/D156,0)</x:f>
        <x:v>1</x:v>
      </x:c>
      <x:c r="T156" s="38" t="n">
        <x:f>MIN(MAX(G156,0),MAX(D156-I156,0))</x:f>
        <x:v>0</x:v>
      </x:c>
      <x:c r="U156" s="44" t="n">
        <x:f>T156*E156</x:f>
        <x:v>0</x:v>
      </x:c>
      <x:c r="V156" s="38" t="n">
        <x:v>0</x:v>
      </x:c>
      <x:c r="W156" s="32" t="n">
        <x:v>0</x:v>
      </x:c>
      <x:c r="X156" s="50"/>
      <x:c r="Y156" s="44" t="n">
        <x:v>5500</x:v>
      </x:c>
      <x:c r="Z156" s="44" t="n">
        <x:f>IF(I156&gt;0,R156*(J156/I156),0)</x:f>
        <x:v>36500</x:v>
      </x:c>
      <x:c r="AA156" s="44" t="n">
        <x:f>Z156-(R156*E156)</x:f>
        <x:v>14100</x:v>
      </x:c>
      <x:c r="AB156" s="47" t="n">
        <x:f>IFERROR(AA156/Z156,0)</x:f>
        <x:v>0.3863013698630137</x:v>
      </x:c>
      <x:c r="AC156" s="32" t="str">
        <x:f>IF(S156=0,"0%",IF(S156&lt;0.5,"1-49%",IF(S156&lt;0.8,"50-79%",IF(S156&lt;1,"80-99%","100%"))))</x:f>
        <x:v>100%</x:v>
      </x:c>
      <x:c r="AD156" s="33" t="str">
        <x:f>IF(G156&lt;0,"Stock negativo",IF(G156&lt;=0,"Sin stock actual",IF(I156&lt;=0,"Sin ventas desde compra",IF(Q156&lt;=0,"Con stock, sin ventas 365d",IF(S156&lt;0.5,"Rotación baja",IF(S156&lt;1,"Rotación media","Compra absorbida; stock repuesto"))))))</x:f>
        <x:v>Sin stock actual</x:v>
      </x:c>
    </x:row>
    <x:row r="157">
      <x:c r="A157" s="31" t="str">
        <x:v>KIT - 054949</x:v>
      </x:c>
      <x:c r="B157" s="53" t="str">
        <x:v>KIT VIELA HAYATE 115 IXUM</x:v>
      </x:c>
      <x:c r="C157" s="32" t="n">
        <x:v>1</x:v>
      </x:c>
      <x:c r="D157" s="38" t="n">
        <x:v>1</x:v>
      </x:c>
      <x:c r="E157" s="44" t="n">
        <x:v>22400</x:v>
      </x:c>
      <x:c r="F157" s="44" t="n">
        <x:v>22400</x:v>
      </x:c>
      <x:c r="G157" s="41" t="n">
        <x:v>0</x:v>
      </x:c>
      <x:c r="H157" s="44" t="n">
        <x:f>MAX(G157,0)*E157</x:f>
        <x:v>0</x:v>
      </x:c>
      <x:c r="I157" s="38" t="n">
        <x:v>1</x:v>
      </x:c>
      <x:c r="J157" s="44" t="n">
        <x:v>32000</x:v>
      </x:c>
      <x:c r="K157" s="32" t="n">
        <x:v>1</x:v>
      </x:c>
      <x:c r="L157" s="50" t="n">
        <x:v>45747.70179398148</x:v>
      </x:c>
      <x:c r="M157" s="50" t="n">
        <x:v>45747.70179398148</x:v>
      </x:c>
      <x:c r="N157" s="32" t="n">
        <x:f>IF(M157="","",MAX(0,'Resumen'!$B$3-M157))</x:f>
        <x:v>519.2982060185168</x:v>
      </x:c>
      <x:c r="O157" s="38" t="n">
        <x:v>0</x:v>
      </x:c>
      <x:c r="P157" s="38" t="n">
        <x:v>0</x:v>
      </x:c>
      <x:c r="Q157" s="38" t="n">
        <x:v>0</x:v>
      </x:c>
      <x:c r="R157" s="38" t="n">
        <x:f>MIN(D157,I157)</x:f>
        <x:v>1</x:v>
      </x:c>
      <x:c r="S157" s="47" t="n">
        <x:f>IFERROR(R157/D157,0)</x:f>
        <x:v>1</x:v>
      </x:c>
      <x:c r="T157" s="38" t="n">
        <x:f>MIN(MAX(G157,0),MAX(D157-I157,0))</x:f>
        <x:v>0</x:v>
      </x:c>
      <x:c r="U157" s="44" t="n">
        <x:f>T157*E157</x:f>
        <x:v>0</x:v>
      </x:c>
      <x:c r="V157" s="38" t="n">
        <x:v>0</x:v>
      </x:c>
      <x:c r="W157" s="32" t="n">
        <x:v>0</x:v>
      </x:c>
      <x:c r="X157" s="50"/>
      <x:c r="Y157" s="44" t="n">
        <x:v>37500</x:v>
      </x:c>
      <x:c r="Z157" s="44" t="n">
        <x:f>IF(I157&gt;0,R157*(J157/I157),0)</x:f>
        <x:v>32000</x:v>
      </x:c>
      <x:c r="AA157" s="44" t="n">
        <x:f>Z157-(R157*E157)</x:f>
        <x:v>9600</x:v>
      </x:c>
      <x:c r="AB157" s="47" t="n">
        <x:f>IFERROR(AA157/Z157,0)</x:f>
        <x:v>0.3</x:v>
      </x:c>
      <x:c r="AC157" s="32" t="str">
        <x:f>IF(S157=0,"0%",IF(S157&lt;0.5,"1-49%",IF(S157&lt;0.8,"50-79%",IF(S157&lt;1,"80-99%","100%"))))</x:f>
        <x:v>100%</x:v>
      </x:c>
      <x:c r="AD157" s="33" t="str">
        <x:f>IF(G157&lt;0,"Stock negativo",IF(G157&lt;=0,"Sin stock actual",IF(I157&lt;=0,"Sin ventas desde compra",IF(Q157&lt;=0,"Con stock, sin ventas 365d",IF(S157&lt;0.5,"Rotación baja",IF(S157&lt;1,"Rotación media","Compra absorbida; stock repuesto"))))))</x:f>
        <x:v>Sin stock actual</x:v>
      </x:c>
    </x:row>
    <x:row r="158">
      <x:c r="A158" s="31" t="str">
        <x:v>20149</x:v>
      </x:c>
      <x:c r="B158" s="53" t="str">
        <x:v>CADENA DORADA 420H - 122 L PUSH</x:v>
      </x:c>
      <x:c r="C158" s="32" t="n">
        <x:v>1</x:v>
      </x:c>
      <x:c r="D158" s="38" t="n">
        <x:v>1</x:v>
      </x:c>
      <x:c r="E158" s="44" t="n">
        <x:v>22300</x:v>
      </x:c>
      <x:c r="F158" s="44" t="n">
        <x:v>22300</x:v>
      </x:c>
      <x:c r="G158" s="41" t="n">
        <x:v>0</x:v>
      </x:c>
      <x:c r="H158" s="44" t="n">
        <x:f>MAX(G158,0)*E158</x:f>
        <x:v>0</x:v>
      </x:c>
      <x:c r="I158" s="38" t="n">
        <x:v>1</x:v>
      </x:c>
      <x:c r="J158" s="44" t="n">
        <x:v>22000</x:v>
      </x:c>
      <x:c r="K158" s="32" t="n">
        <x:v>1</x:v>
      </x:c>
      <x:c r="L158" s="50" t="n">
        <x:v>45670.552939814814</x:v>
      </x:c>
      <x:c r="M158" s="50" t="n">
        <x:v>45670.552939814814</x:v>
      </x:c>
      <x:c r="N158" s="32" t="n">
        <x:f>IF(M158="","",MAX(0,'Resumen'!$B$3-M158))</x:f>
        <x:v>596.4470601851863</x:v>
      </x:c>
      <x:c r="O158" s="38" t="n">
        <x:v>0</x:v>
      </x:c>
      <x:c r="P158" s="38" t="n">
        <x:v>0</x:v>
      </x:c>
      <x:c r="Q158" s="38" t="n">
        <x:v>0</x:v>
      </x:c>
      <x:c r="R158" s="38" t="n">
        <x:f>MIN(D158,I158)</x:f>
        <x:v>1</x:v>
      </x:c>
      <x:c r="S158" s="47" t="n">
        <x:f>IFERROR(R158/D158,0)</x:f>
        <x:v>1</x:v>
      </x:c>
      <x:c r="T158" s="38" t="n">
        <x:f>MIN(MAX(G158,0),MAX(D158-I158,0))</x:f>
        <x:v>0</x:v>
      </x:c>
      <x:c r="U158" s="44" t="n">
        <x:f>T158*E158</x:f>
        <x:v>0</x:v>
      </x:c>
      <x:c r="V158" s="38" t="n">
        <x:v>0</x:v>
      </x:c>
      <x:c r="W158" s="32" t="n">
        <x:v>0</x:v>
      </x:c>
      <x:c r="X158" s="50"/>
      <x:c r="Y158" s="44" t="n">
        <x:v>37500</x:v>
      </x:c>
      <x:c r="Z158" s="44" t="n">
        <x:f>IF(I158&gt;0,R158*(J158/I158),0)</x:f>
        <x:v>22000</x:v>
      </x:c>
      <x:c r="AA158" s="44" t="n">
        <x:f>Z158-(R158*E158)</x:f>
        <x:v>-300</x:v>
      </x:c>
      <x:c r="AB158" s="47" t="n">
        <x:f>IFERROR(AA158/Z158,0)</x:f>
        <x:v>-0.013636363636363636</x:v>
      </x:c>
      <x:c r="AC158" s="32" t="str">
        <x:f>IF(S158=0,"0%",IF(S158&lt;0.5,"1-49%",IF(S158&lt;0.8,"50-79%",IF(S158&lt;1,"80-99%","100%"))))</x:f>
        <x:v>100%</x:v>
      </x:c>
      <x:c r="AD158" s="33" t="str">
        <x:f>IF(G158&lt;0,"Stock negativo",IF(G158&lt;=0,"Sin stock actual",IF(I158&lt;=0,"Sin ventas desde compra",IF(Q158&lt;=0,"Con stock, sin ventas 365d",IF(S158&lt;0.5,"Rotación baja",IF(S158&lt;1,"Rotación media","Compra absorbida; stock repuesto"))))))</x:f>
        <x:v>Sin stock actual</x:v>
      </x:c>
    </x:row>
    <x:row r="159">
      <x:c r="A159" s="31" t="str">
        <x:v>1501002</x:v>
      </x:c>
      <x:c r="B159" s="53" t="str">
        <x:v>MANIGUETA IZQ DREAM NEO CB KANNL</x:v>
      </x:c>
      <x:c r="C159" s="32" t="n">
        <x:v>1</x:v>
      </x:c>
      <x:c r="D159" s="38" t="n">
        <x:v>4</x:v>
      </x:c>
      <x:c r="E159" s="44" t="n">
        <x:v>5500</x:v>
      </x:c>
      <x:c r="F159" s="44" t="n">
        <x:v>22000</x:v>
      </x:c>
      <x:c r="G159" s="41" t="n">
        <x:v>1</x:v>
      </x:c>
      <x:c r="H159" s="44" t="n">
        <x:f>MAX(G159,0)*E159</x:f>
        <x:v>5500</x:v>
      </x:c>
      <x:c r="I159" s="38" t="n">
        <x:v>3</x:v>
      </x:c>
      <x:c r="J159" s="44" t="n">
        <x:v>28000</x:v>
      </x:c>
      <x:c r="K159" s="32" t="n">
        <x:v>3</x:v>
      </x:c>
      <x:c r="L159" s="50" t="n">
        <x:v>45509.729363425926</x:v>
      </x:c>
      <x:c r="M159" s="50" t="n">
        <x:v>45542.58337962963</x:v>
      </x:c>
      <x:c r="N159" s="32" t="n">
        <x:f>IF(M159="","",MAX(0,'Resumen'!$B$3-M159))</x:f>
        <x:v>724.4166203703717</x:v>
      </x:c>
      <x:c r="O159" s="38" t="n">
        <x:v>0</x:v>
      </x:c>
      <x:c r="P159" s="38" t="n">
        <x:v>0</x:v>
      </x:c>
      <x:c r="Q159" s="38" t="n">
        <x:v>0</x:v>
      </x:c>
      <x:c r="R159" s="38" t="n">
        <x:f>MIN(D159,I159)</x:f>
        <x:v>3</x:v>
      </x:c>
      <x:c r="S159" s="47" t="n">
        <x:f>IFERROR(R159/D159,0)</x:f>
        <x:v>0.75</x:v>
      </x:c>
      <x:c r="T159" s="38" t="n">
        <x:f>MIN(MAX(G159,0),MAX(D159-I159,0))</x:f>
        <x:v>1</x:v>
      </x:c>
      <x:c r="U159" s="44" t="n">
        <x:f>T159*E159</x:f>
        <x:v>5500</x:v>
      </x:c>
      <x:c r="V159" s="38" t="n">
        <x:v>0</x:v>
      </x:c>
      <x:c r="W159" s="32" t="n">
        <x:v>0</x:v>
      </x:c>
      <x:c r="X159" s="50"/>
      <x:c r="Y159" s="44" t="n">
        <x:v>9500</x:v>
      </x:c>
      <x:c r="Z159" s="44" t="n">
        <x:f>IF(I159&gt;0,R159*(J159/I159),0)</x:f>
        <x:v>28000</x:v>
      </x:c>
      <x:c r="AA159" s="44" t="n">
        <x:f>Z159-(R159*E159)</x:f>
        <x:v>11500</x:v>
      </x:c>
      <x:c r="AB159" s="47" t="n">
        <x:f>IFERROR(AA159/Z159,0)</x:f>
        <x:v>0.4107142857142857</x:v>
      </x:c>
      <x:c r="AC159" s="32" t="str">
        <x:f>IF(S159=0,"0%",IF(S159&lt;0.5,"1-49%",IF(S159&lt;0.8,"50-79%",IF(S159&lt;1,"80-99%","100%"))))</x:f>
        <x:v>50-79%</x:v>
      </x:c>
      <x:c r="AD159" s="33" t="str">
        <x:f>IF(G159&lt;0,"Stock negativo",IF(G159&lt;=0,"Sin stock actual",IF(I159&lt;=0,"Sin ventas desde compra",IF(Q159&lt;=0,"Con stock, sin ventas 365d",IF(S159&lt;0.5,"Rotación baja",IF(S159&lt;1,"Rotación media","Compra absorbida; stock repuesto"))))))</x:f>
        <x:v>Con stock, sin ventas 365d</x:v>
      </x:c>
    </x:row>
    <x:row r="160">
      <x:c r="A160" s="31" t="str">
        <x:v>B2208559</x:v>
      </x:c>
      <x:c r="B160" s="53" t="str">
        <x:v>MANIGUETA DER CB 110 GOLIMPORTACIONES</x:v>
      </x:c>
      <x:c r="C160" s="32" t="n">
        <x:v>1</x:v>
      </x:c>
      <x:c r="D160" s="38" t="n">
        <x:v>4</x:v>
      </x:c>
      <x:c r="E160" s="44" t="n">
        <x:v>5500</x:v>
      </x:c>
      <x:c r="F160" s="44" t="n">
        <x:v>22000</x:v>
      </x:c>
      <x:c r="G160" s="41" t="n">
        <x:v>2</x:v>
      </x:c>
      <x:c r="H160" s="44" t="n">
        <x:f>MAX(G160,0)*E160</x:f>
        <x:v>11000</x:v>
      </x:c>
      <x:c r="I160" s="38" t="n">
        <x:v>2</x:v>
      </x:c>
      <x:c r="J160" s="44" t="n">
        <x:v>18500</x:v>
      </x:c>
      <x:c r="K160" s="32" t="n">
        <x:v>2</x:v>
      </x:c>
      <x:c r="L160" s="50" t="n">
        <x:v>45608.89666666667</x:v>
      </x:c>
      <x:c r="M160" s="50" t="n">
        <x:v>45784.84032407407</x:v>
      </x:c>
      <x:c r="N160" s="32" t="n">
        <x:f>IF(M160="","",MAX(0,'Resumen'!$B$3-M160))</x:f>
        <x:v>482.1596759259264</x:v>
      </x:c>
      <x:c r="O160" s="38" t="n">
        <x:v>0</x:v>
      </x:c>
      <x:c r="P160" s="38" t="n">
        <x:v>0</x:v>
      </x:c>
      <x:c r="Q160" s="38" t="n">
        <x:v>0</x:v>
      </x:c>
      <x:c r="R160" s="38" t="n">
        <x:f>MIN(D160,I160)</x:f>
        <x:v>2</x:v>
      </x:c>
      <x:c r="S160" s="47" t="n">
        <x:f>IFERROR(R160/D160,0)</x:f>
        <x:v>0.5</x:v>
      </x:c>
      <x:c r="T160" s="38" t="n">
        <x:f>MIN(MAX(G160,0),MAX(D160-I160,0))</x:f>
        <x:v>2</x:v>
      </x:c>
      <x:c r="U160" s="44" t="n">
        <x:f>T160*E160</x:f>
        <x:v>11000</x:v>
      </x:c>
      <x:c r="V160" s="38" t="n">
        <x:v>0</x:v>
      </x:c>
      <x:c r="W160" s="32" t="n">
        <x:v>0</x:v>
      </x:c>
      <x:c r="X160" s="50"/>
      <x:c r="Y160" s="44" t="n">
        <x:v>9500</x:v>
      </x:c>
      <x:c r="Z160" s="44" t="n">
        <x:f>IF(I160&gt;0,R160*(J160/I160),0)</x:f>
        <x:v>18500</x:v>
      </x:c>
      <x:c r="AA160" s="44" t="n">
        <x:f>Z160-(R160*E160)</x:f>
        <x:v>7500</x:v>
      </x:c>
      <x:c r="AB160" s="47" t="n">
        <x:f>IFERROR(AA160/Z160,0)</x:f>
        <x:v>0.40540540540540543</x:v>
      </x:c>
      <x:c r="AC160" s="32" t="str">
        <x:f>IF(S160=0,"0%",IF(S160&lt;0.5,"1-49%",IF(S160&lt;0.8,"50-79%",IF(S160&lt;1,"80-99%","100%"))))</x:f>
        <x:v>50-79%</x:v>
      </x:c>
      <x:c r="AD160" s="33" t="str">
        <x:f>IF(G160&lt;0,"Stock negativo",IF(G160&lt;=0,"Sin stock actual",IF(I160&lt;=0,"Sin ventas desde compra",IF(Q160&lt;=0,"Con stock, sin ventas 365d",IF(S160&lt;0.5,"Rotación baja",IF(S160&lt;1,"Rotación media","Compra absorbida; stock repuesto"))))))</x:f>
        <x:v>Con stock, sin ventas 365d</x:v>
      </x:c>
    </x:row>
    <x:row r="161">
      <x:c r="A161" s="31" t="str">
        <x:v>MOTS1098</x:v>
      </x:c>
      <x:c r="B161" s="53" t="str">
        <x:v>RETEN 15-26-6</x:v>
      </x:c>
      <x:c r="C161" s="32" t="n">
        <x:v>1</x:v>
      </x:c>
      <x:c r="D161" s="38" t="n">
        <x:v>11</x:v>
      </x:c>
      <x:c r="E161" s="44" t="n">
        <x:v>2000</x:v>
      </x:c>
      <x:c r="F161" s="44" t="n">
        <x:v>22000</x:v>
      </x:c>
      <x:c r="G161" s="41" t="n">
        <x:v>10</x:v>
      </x:c>
      <x:c r="H161" s="44" t="n">
        <x:f>MAX(G161,0)*E161</x:f>
        <x:v>20000</x:v>
      </x:c>
      <x:c r="I161" s="38" t="n">
        <x:v>1</x:v>
      </x:c>
      <x:c r="J161" s="44" t="n">
        <x:v>3500</x:v>
      </x:c>
      <x:c r="K161" s="32" t="n">
        <x:v>1</x:v>
      </x:c>
      <x:c r="L161" s="50" t="n">
        <x:v>46011.6791087963</x:v>
      </x:c>
      <x:c r="M161" s="50" t="n">
        <x:v>46011.6791087963</x:v>
      </x:c>
      <x:c r="N161" s="32" t="n">
        <x:f>IF(M161="","",MAX(0,'Resumen'!$B$3-M161))</x:f>
        <x:v>255.32089120370074</x:v>
      </x:c>
      <x:c r="O161" s="38" t="n">
        <x:v>0</x:v>
      </x:c>
      <x:c r="P161" s="38" t="n">
        <x:v>0</x:v>
      </x:c>
      <x:c r="Q161" s="38" t="n">
        <x:v>1</x:v>
      </x:c>
      <x:c r="R161" s="38" t="n">
        <x:f>MIN(D161,I161)</x:f>
        <x:v>1</x:v>
      </x:c>
      <x:c r="S161" s="47" t="n">
        <x:f>IFERROR(R161/D161,0)</x:f>
        <x:v>0.09090909090909091</x:v>
      </x:c>
      <x:c r="T161" s="38" t="n">
        <x:f>MIN(MAX(G161,0),MAX(D161-I161,0))</x:f>
        <x:v>10</x:v>
      </x:c>
      <x:c r="U161" s="44" t="n">
        <x:f>T161*E161</x:f>
        <x:v>20000</x:v>
      </x:c>
      <x:c r="V161" s="38" t="n">
        <x:v>0</x:v>
      </x:c>
      <x:c r="W161" s="32" t="n">
        <x:v>0</x:v>
      </x:c>
      <x:c r="X161" s="50"/>
      <x:c r="Y161" s="44" t="n">
        <x:v>3500</x:v>
      </x:c>
      <x:c r="Z161" s="44" t="n">
        <x:f>IF(I161&gt;0,R161*(J161/I161),0)</x:f>
        <x:v>3500</x:v>
      </x:c>
      <x:c r="AA161" s="44" t="n">
        <x:f>Z161-(R161*E161)</x:f>
        <x:v>1500</x:v>
      </x:c>
      <x:c r="AB161" s="47" t="n">
        <x:f>IFERROR(AA161/Z161,0)</x:f>
        <x:v>0.42857142857142855</x:v>
      </x:c>
      <x:c r="AC161" s="32" t="str">
        <x:f>IF(S161=0,"0%",IF(S161&lt;0.5,"1-49%",IF(S161&lt;0.8,"50-79%",IF(S161&lt;1,"80-99%","100%"))))</x:f>
        <x:v>1-49%</x:v>
      </x:c>
      <x:c r="AD161" s="33" t="str">
        <x:f>IF(G161&lt;0,"Stock negativo",IF(G161&lt;=0,"Sin stock actual",IF(I161&lt;=0,"Sin ventas desde compra",IF(Q161&lt;=0,"Con stock, sin ventas 365d",IF(S161&lt;0.5,"Rotación baja",IF(S161&lt;1,"Rotación media","Compra absorbida; stock repuesto"))))))</x:f>
        <x:v>Rotación baja</x:v>
      </x:c>
    </x:row>
    <x:row r="162">
      <x:c r="A162" s="31" t="str">
        <x:v>MOTS1212</x:v>
      </x:c>
      <x:c r="B162" s="53" t="str">
        <x:v>BANDA FRENO TRA  ECO DELUXE X MOTOS</x:v>
      </x:c>
      <x:c r="C162" s="32" t="n">
        <x:v>1</x:v>
      </x:c>
      <x:c r="D162" s="38" t="n">
        <x:v>2</x:v>
      </x:c>
      <x:c r="E162" s="44" t="n">
        <x:v>11000</x:v>
      </x:c>
      <x:c r="F162" s="44" t="n">
        <x:v>22000</x:v>
      </x:c>
      <x:c r="G162" s="41" t="n">
        <x:v>0</x:v>
      </x:c>
      <x:c r="H162" s="44" t="n">
        <x:f>MAX(G162,0)*E162</x:f>
        <x:v>0</x:v>
      </x:c>
      <x:c r="I162" s="38" t="n">
        <x:v>2</x:v>
      </x:c>
      <x:c r="J162" s="44" t="n">
        <x:v>30000</x:v>
      </x:c>
      <x:c r="K162" s="32" t="n">
        <x:v>1</x:v>
      </x:c>
      <x:c r="L162" s="50" t="n">
        <x:v>45606.63832175926</x:v>
      </x:c>
      <x:c r="M162" s="50" t="n">
        <x:v>45606.63832175926</x:v>
      </x:c>
      <x:c r="N162" s="32" t="n">
        <x:f>IF(M162="","",MAX(0,'Resumen'!$B$3-M162))</x:f>
        <x:v>660.3616782407407</x:v>
      </x:c>
      <x:c r="O162" s="38" t="n">
        <x:v>0</x:v>
      </x:c>
      <x:c r="P162" s="38" t="n">
        <x:v>0</x:v>
      </x:c>
      <x:c r="Q162" s="38" t="n">
        <x:v>0</x:v>
      </x:c>
      <x:c r="R162" s="38" t="n">
        <x:f>MIN(D162,I162)</x:f>
        <x:v>2</x:v>
      </x:c>
      <x:c r="S162" s="47" t="n">
        <x:f>IFERROR(R162/D162,0)</x:f>
        <x:v>1</x:v>
      </x:c>
      <x:c r="T162" s="38" t="n">
        <x:f>MIN(MAX(G162,0),MAX(D162-I162,0))</x:f>
        <x:v>0</x:v>
      </x:c>
      <x:c r="U162" s="44" t="n">
        <x:f>T162*E162</x:f>
        <x:v>0</x:v>
      </x:c>
      <x:c r="V162" s="38" t="n">
        <x:v>0</x:v>
      </x:c>
      <x:c r="W162" s="32" t="n">
        <x:v>0</x:v>
      </x:c>
      <x:c r="X162" s="50"/>
      <x:c r="Y162" s="44" t="n">
        <x:v>18500</x:v>
      </x:c>
      <x:c r="Z162" s="44" t="n">
        <x:f>IF(I162&gt;0,R162*(J162/I162),0)</x:f>
        <x:v>30000</x:v>
      </x:c>
      <x:c r="AA162" s="44" t="n">
        <x:f>Z162-(R162*E162)</x:f>
        <x:v>8000</x:v>
      </x:c>
      <x:c r="AB162" s="47" t="n">
        <x:f>IFERROR(AA162/Z162,0)</x:f>
        <x:v>0.26666666666666666</x:v>
      </x:c>
      <x:c r="AC162" s="32" t="str">
        <x:f>IF(S162=0,"0%",IF(S162&lt;0.5,"1-49%",IF(S162&lt;0.8,"50-79%",IF(S162&lt;1,"80-99%","100%"))))</x:f>
        <x:v>100%</x:v>
      </x:c>
      <x:c r="AD162" s="33" t="str">
        <x:f>IF(G162&lt;0,"Stock negativo",IF(G162&lt;=0,"Sin stock actual",IF(I162&lt;=0,"Sin ventas desde compra",IF(Q162&lt;=0,"Con stock, sin ventas 365d",IF(S162&lt;0.5,"Rotación baja",IF(S162&lt;1,"Rotación media","Compra absorbida; stock repuesto"))))))</x:f>
        <x:v>Sin stock actual</x:v>
      </x:c>
    </x:row>
    <x:row r="163">
      <x:c r="A163" s="31" t="str">
        <x:v>MOTS1237</x:v>
      </x:c>
      <x:c r="B163" s="53" t="str">
        <x:v>BALINERA 6303 2RS C3 PFI BEARING</x:v>
      </x:c>
      <x:c r="C163" s="32" t="n">
        <x:v>1</x:v>
      </x:c>
      <x:c r="D163" s="38" t="n">
        <x:v>4</x:v>
      </x:c>
      <x:c r="E163" s="44" t="n">
        <x:v>5500</x:v>
      </x:c>
      <x:c r="F163" s="44" t="n">
        <x:v>22000</x:v>
      </x:c>
      <x:c r="G163" s="41" t="n">
        <x:v>2</x:v>
      </x:c>
      <x:c r="H163" s="44" t="n">
        <x:f>MAX(G163,0)*E163</x:f>
        <x:v>11000</x:v>
      </x:c>
      <x:c r="I163" s="38" t="n">
        <x:v>4</x:v>
      </x:c>
      <x:c r="J163" s="44" t="n">
        <x:v>38000</x:v>
      </x:c>
      <x:c r="K163" s="32" t="n">
        <x:v>4</x:v>
      </x:c>
      <x:c r="L163" s="50" t="n">
        <x:v>45591.58458333334</x:v>
      </x:c>
      <x:c r="M163" s="50" t="n">
        <x:v>45827.78334490741</x:v>
      </x:c>
      <x:c r="N163" s="32" t="n">
        <x:f>IF(M163="","",MAX(0,'Resumen'!$B$3-M163))</x:f>
        <x:v>439.2166550925904</x:v>
      </x:c>
      <x:c r="O163" s="38" t="n">
        <x:v>0</x:v>
      </x:c>
      <x:c r="P163" s="38" t="n">
        <x:v>0</x:v>
      </x:c>
      <x:c r="Q163" s="38" t="n">
        <x:v>0</x:v>
      </x:c>
      <x:c r="R163" s="38" t="n">
        <x:f>MIN(D163,I163)</x:f>
        <x:v>4</x:v>
      </x:c>
      <x:c r="S163" s="47" t="n">
        <x:f>IFERROR(R163/D163,0)</x:f>
        <x:v>1</x:v>
      </x:c>
      <x:c r="T163" s="38" t="n">
        <x:f>MIN(MAX(G163,0),MAX(D163-I163,0))</x:f>
        <x:v>0</x:v>
      </x:c>
      <x:c r="U163" s="44" t="n">
        <x:f>T163*E163</x:f>
        <x:v>0</x:v>
      </x:c>
      <x:c r="V163" s="38" t="n">
        <x:v>2</x:v>
      </x:c>
      <x:c r="W163" s="32" t="n">
        <x:v>2</x:v>
      </x:c>
      <x:c r="X163" s="50" t="n">
        <x:v>45774</x:v>
      </x:c>
      <x:c r="Y163" s="44" t="n">
        <x:v>9500</x:v>
      </x:c>
      <x:c r="Z163" s="44" t="n">
        <x:f>IF(I163&gt;0,R163*(J163/I163),0)</x:f>
        <x:v>38000</x:v>
      </x:c>
      <x:c r="AA163" s="44" t="n">
        <x:f>Z163-(R163*E163)</x:f>
        <x:v>16000</x:v>
      </x:c>
      <x:c r="AB163" s="47" t="n">
        <x:f>IFERROR(AA163/Z163,0)</x:f>
        <x:v>0.42105263157894735</x:v>
      </x:c>
      <x:c r="AC163" s="32" t="str">
        <x:f>IF(S163=0,"0%",IF(S163&lt;0.5,"1-49%",IF(S163&lt;0.8,"50-79%",IF(S163&lt;1,"80-99%","100%"))))</x:f>
        <x:v>100%</x:v>
      </x:c>
      <x:c r="AD163" s="33" t="str">
        <x:f>IF(G163&lt;0,"Stock negativo",IF(G163&lt;=0,"Sin stock actual",IF(I163&lt;=0,"Sin ventas desde compra",IF(Q163&lt;=0,"Con stock, sin ventas 365d",IF(S163&lt;0.5,"Rotación baja",IF(S163&lt;1,"Rotación media","Compra absorbida; stock repuesto"))))))</x:f>
        <x:v>Con stock, sin ventas 365d</x:v>
      </x:c>
    </x:row>
    <x:row r="164">
      <x:c r="A164" s="31" t="str">
        <x:v>MOTS1290</x:v>
      </x:c>
      <x:c r="B164" s="53" t="str">
        <x:v>REPOSA PIE SCO HONDA DEI PAR</x:v>
      </x:c>
      <x:c r="C164" s="32" t="n">
        <x:v>1</x:v>
      </x:c>
      <x:c r="D164" s="38" t="n">
        <x:v>2</x:v>
      </x:c>
      <x:c r="E164" s="44" t="n">
        <x:v>11000</x:v>
      </x:c>
      <x:c r="F164" s="44" t="n">
        <x:v>22000</x:v>
      </x:c>
      <x:c r="G164" s="41" t="n">
        <x:v>0</x:v>
      </x:c>
      <x:c r="H164" s="44" t="n">
        <x:f>MAX(G164,0)*E164</x:f>
        <x:v>0</x:v>
      </x:c>
      <x:c r="I164" s="38" t="n">
        <x:v>2</x:v>
      </x:c>
      <x:c r="J164" s="44" t="n">
        <x:v>34500</x:v>
      </x:c>
      <x:c r="K164" s="32" t="n">
        <x:v>2</x:v>
      </x:c>
      <x:c r="L164" s="50" t="n">
        <x:v>45516.646469907406</x:v>
      </x:c>
      <x:c r="M164" s="50" t="n">
        <x:v>45572.91416666667</x:v>
      </x:c>
      <x:c r="N164" s="32" t="n">
        <x:f>IF(M164="","",MAX(0,'Resumen'!$B$3-M164))</x:f>
        <x:v>694.0858333333308</x:v>
      </x:c>
      <x:c r="O164" s="38" t="n">
        <x:v>0</x:v>
      </x:c>
      <x:c r="P164" s="38" t="n">
        <x:v>0</x:v>
      </x:c>
      <x:c r="Q164" s="38" t="n">
        <x:v>0</x:v>
      </x:c>
      <x:c r="R164" s="38" t="n">
        <x:f>MIN(D164,I164)</x:f>
        <x:v>2</x:v>
      </x:c>
      <x:c r="S164" s="47" t="n">
        <x:f>IFERROR(R164/D164,0)</x:f>
        <x:v>1</x:v>
      </x:c>
      <x:c r="T164" s="38" t="n">
        <x:f>MIN(MAX(G164,0),MAX(D164-I164,0))</x:f>
        <x:v>0</x:v>
      </x:c>
      <x:c r="U164" s="44" t="n">
        <x:f>T164*E164</x:f>
        <x:v>0</x:v>
      </x:c>
      <x:c r="V164" s="38" t="n">
        <x:v>0</x:v>
      </x:c>
      <x:c r="W164" s="32" t="n">
        <x:v>0</x:v>
      </x:c>
      <x:c r="X164" s="50"/>
      <x:c r="Y164" s="44" t="n">
        <x:v>18500</x:v>
      </x:c>
      <x:c r="Z164" s="44" t="n">
        <x:f>IF(I164&gt;0,R164*(J164/I164),0)</x:f>
        <x:v>34500</x:v>
      </x:c>
      <x:c r="AA164" s="44" t="n">
        <x:f>Z164-(R164*E164)</x:f>
        <x:v>12500</x:v>
      </x:c>
      <x:c r="AB164" s="47" t="n">
        <x:f>IFERROR(AA164/Z164,0)</x:f>
        <x:v>0.36231884057971014</x:v>
      </x:c>
      <x:c r="AC164" s="32" t="str">
        <x:f>IF(S164=0,"0%",IF(S164&lt;0.5,"1-49%",IF(S164&lt;0.8,"50-79%",IF(S164&lt;1,"80-99%","100%"))))</x:f>
        <x:v>100%</x:v>
      </x:c>
      <x:c r="AD164" s="33" t="str">
        <x:f>IF(G164&lt;0,"Stock negativo",IF(G164&lt;=0,"Sin stock actual",IF(I164&lt;=0,"Sin ventas desde compra",IF(Q164&lt;=0,"Con stock, sin ventas 365d",IF(S164&lt;0.5,"Rotación baja",IF(S164&lt;1,"Rotación media","Compra absorbida; stock repuesto"))))))</x:f>
        <x:v>Sin stock actual</x:v>
      </x:c>
    </x:row>
    <x:row r="165">
      <x:c r="A165" s="31" t="str">
        <x:v>LLA - 042455</x:v>
      </x:c>
      <x:c r="B165" s="53" t="str">
        <x:v>LLAVE GASOLINA BWS 125 4T 5YK</x:v>
      </x:c>
      <x:c r="C165" s="32" t="n">
        <x:v>1</x:v>
      </x:c>
      <x:c r="D165" s="38" t="n">
        <x:v>2</x:v>
      </x:c>
      <x:c r="E165" s="44" t="n">
        <x:v>10800</x:v>
      </x:c>
      <x:c r="F165" s="44" t="n">
        <x:v>21600</x:v>
      </x:c>
      <x:c r="G165" s="41" t="n">
        <x:v>0</x:v>
      </x:c>
      <x:c r="H165" s="44" t="n">
        <x:f>MAX(G165,0)*E165</x:f>
        <x:v>0</x:v>
      </x:c>
      <x:c r="I165" s="38" t="n">
        <x:v>2</x:v>
      </x:c>
      <x:c r="J165" s="44" t="n">
        <x:v>34000</x:v>
      </x:c>
      <x:c r="K165" s="32" t="n">
        <x:v>2</x:v>
      </x:c>
      <x:c r="L165" s="50" t="n">
        <x:v>45633.59454861111</x:v>
      </x:c>
      <x:c r="M165" s="50" t="n">
        <x:v>46014.95471064815</x:v>
      </x:c>
      <x:c r="N165" s="32" t="n">
        <x:f>IF(M165="","",MAX(0,'Resumen'!$B$3-M165))</x:f>
        <x:v>252.04528935185226</x:v>
      </x:c>
      <x:c r="O165" s="38" t="n">
        <x:v>0</x:v>
      </x:c>
      <x:c r="P165" s="38" t="n">
        <x:v>0</x:v>
      </x:c>
      <x:c r="Q165" s="38" t="n">
        <x:v>1</x:v>
      </x:c>
      <x:c r="R165" s="38" t="n">
        <x:f>MIN(D165,I165)</x:f>
        <x:v>2</x:v>
      </x:c>
      <x:c r="S165" s="47" t="n">
        <x:f>IFERROR(R165/D165,0)</x:f>
        <x:v>1</x:v>
      </x:c>
      <x:c r="T165" s="38" t="n">
        <x:f>MIN(MAX(G165,0),MAX(D165-I165,0))</x:f>
        <x:v>0</x:v>
      </x:c>
      <x:c r="U165" s="44" t="n">
        <x:f>T165*E165</x:f>
        <x:v>0</x:v>
      </x:c>
      <x:c r="V165" s="38" t="n">
        <x:v>0</x:v>
      </x:c>
      <x:c r="W165" s="32" t="n">
        <x:v>0</x:v>
      </x:c>
      <x:c r="X165" s="50"/>
      <x:c r="Y165" s="44" t="n">
        <x:v>18000</x:v>
      </x:c>
      <x:c r="Z165" s="44" t="n">
        <x:f>IF(I165&gt;0,R165*(J165/I165),0)</x:f>
        <x:v>34000</x:v>
      </x:c>
      <x:c r="AA165" s="44" t="n">
        <x:f>Z165-(R165*E165)</x:f>
        <x:v>12400</x:v>
      </x:c>
      <x:c r="AB165" s="47" t="n">
        <x:f>IFERROR(AA165/Z165,0)</x:f>
        <x:v>0.36470588235294116</x:v>
      </x:c>
      <x:c r="AC165" s="32" t="str">
        <x:f>IF(S165=0,"0%",IF(S165&lt;0.5,"1-49%",IF(S165&lt;0.8,"50-79%",IF(S165&lt;1,"80-99%","100%"))))</x:f>
        <x:v>100%</x:v>
      </x:c>
      <x:c r="AD165" s="33" t="str">
        <x:f>IF(G165&lt;0,"Stock negativo",IF(G165&lt;=0,"Sin stock actual",IF(I165&lt;=0,"Sin ventas desde compra",IF(Q165&lt;=0,"Con stock, sin ventas 365d",IF(S165&lt;0.5,"Rotación baja",IF(S165&lt;1,"Rotación media","Compra absorbida; stock repuesto"))))))</x:f>
        <x:v>Sin stock actual</x:v>
      </x:c>
    </x:row>
    <x:row r="166">
      <x:c r="A166" s="31" t="str">
        <x:v>MOTS1273</x:v>
      </x:c>
      <x:c r="B166" s="53" t="str">
        <x:v>GUAYA RETORNO BWS 125 No. 2 SUPRAPARTS</x:v>
      </x:c>
      <x:c r="C166" s="32" t="n">
        <x:v>1</x:v>
      </x:c>
      <x:c r="D166" s="38" t="n">
        <x:v>2</x:v>
      </x:c>
      <x:c r="E166" s="44" t="n">
        <x:v>10800</x:v>
      </x:c>
      <x:c r="F166" s="44" t="n">
        <x:v>21600</x:v>
      </x:c>
      <x:c r="G166" s="41" t="n">
        <x:v>0</x:v>
      </x:c>
      <x:c r="H166" s="44" t="n">
        <x:f>MAX(G166,0)*E166</x:f>
        <x:v>0</x:v>
      </x:c>
      <x:c r="I166" s="38" t="n">
        <x:v>2</x:v>
      </x:c>
      <x:c r="J166" s="44" t="n">
        <x:v>36000</x:v>
      </x:c>
      <x:c r="K166" s="32" t="n">
        <x:v>2</x:v>
      </x:c>
      <x:c r="L166" s="50" t="n">
        <x:v>45593.63251157408</x:v>
      </x:c>
      <x:c r="M166" s="50" t="n">
        <x:v>45665.635717592595</x:v>
      </x:c>
      <x:c r="N166" s="32" t="n">
        <x:f>IF(M166="","",MAX(0,'Resumen'!$B$3-M166))</x:f>
        <x:v>601.364282407405</x:v>
      </x:c>
      <x:c r="O166" s="38" t="n">
        <x:v>0</x:v>
      </x:c>
      <x:c r="P166" s="38" t="n">
        <x:v>0</x:v>
      </x:c>
      <x:c r="Q166" s="38" t="n">
        <x:v>0</x:v>
      </x:c>
      <x:c r="R166" s="38" t="n">
        <x:f>MIN(D166,I166)</x:f>
        <x:v>2</x:v>
      </x:c>
      <x:c r="S166" s="47" t="n">
        <x:f>IFERROR(R166/D166,0)</x:f>
        <x:v>1</x:v>
      </x:c>
      <x:c r="T166" s="38" t="n">
        <x:f>MIN(MAX(G166,0),MAX(D166-I166,0))</x:f>
        <x:v>0</x:v>
      </x:c>
      <x:c r="U166" s="44" t="n">
        <x:f>T166*E166</x:f>
        <x:v>0</x:v>
      </x:c>
      <x:c r="V166" s="38" t="n">
        <x:v>0</x:v>
      </x:c>
      <x:c r="W166" s="32" t="n">
        <x:v>0</x:v>
      </x:c>
      <x:c r="X166" s="50"/>
      <x:c r="Y166" s="44" t="n">
        <x:v>18000</x:v>
      </x:c>
      <x:c r="Z166" s="44" t="n">
        <x:f>IF(I166&gt;0,R166*(J166/I166),0)</x:f>
        <x:v>36000</x:v>
      </x:c>
      <x:c r="AA166" s="44" t="n">
        <x:f>Z166-(R166*E166)</x:f>
        <x:v>14400</x:v>
      </x:c>
      <x:c r="AB166" s="47" t="n">
        <x:f>IFERROR(AA166/Z166,0)</x:f>
        <x:v>0.4</x:v>
      </x:c>
      <x:c r="AC166" s="32" t="str">
        <x:f>IF(S166=0,"0%",IF(S166&lt;0.5,"1-49%",IF(S166&lt;0.8,"50-79%",IF(S166&lt;1,"80-99%","100%"))))</x:f>
        <x:v>100%</x:v>
      </x:c>
      <x:c r="AD166" s="33" t="str">
        <x:f>IF(G166&lt;0,"Stock negativo",IF(G166&lt;=0,"Sin stock actual",IF(I166&lt;=0,"Sin ventas desde compra",IF(Q166&lt;=0,"Con stock, sin ventas 365d",IF(S166&lt;0.5,"Rotación baja",IF(S166&lt;1,"Rotación media","Compra absorbida; stock repuesto"))))))</x:f>
        <x:v>Sin stock actual</x:v>
      </x:c>
    </x:row>
    <x:row r="167">
      <x:c r="A167" s="31" t="str">
        <x:v>11067142</x:v>
      </x:c>
      <x:c r="B167" s="53" t="str">
        <x:v>PASTILLA FRENO PULSAR BAJA 180 MARINO</x:v>
      </x:c>
      <x:c r="C167" s="32" t="n">
        <x:v>1</x:v>
      </x:c>
      <x:c r="D167" s="38" t="n">
        <x:v>2</x:v>
      </x:c>
      <x:c r="E167" s="44" t="n">
        <x:v>10500</x:v>
      </x:c>
      <x:c r="F167" s="44" t="n">
        <x:v>21000</x:v>
      </x:c>
      <x:c r="G167" s="41" t="n">
        <x:v>1</x:v>
      </x:c>
      <x:c r="H167" s="44" t="n">
        <x:f>MAX(G167,0)*E167</x:f>
        <x:v>10500</x:v>
      </x:c>
      <x:c r="I167" s="38" t="n">
        <x:v>2</x:v>
      </x:c>
      <x:c r="J167" s="44" t="n">
        <x:v>33500</x:v>
      </x:c>
      <x:c r="K167" s="32" t="n">
        <x:v>2</x:v>
      </x:c>
      <x:c r="L167" s="50" t="n">
        <x:v>45707.56998842592</x:v>
      </x:c>
      <x:c r="M167" s="50" t="n">
        <x:v>45748.982199074075</x:v>
      </x:c>
      <x:c r="N167" s="32" t="n">
        <x:f>IF(M167="","",MAX(0,'Resumen'!$B$3-M167))</x:f>
        <x:v>518.0178009259253</x:v>
      </x:c>
      <x:c r="O167" s="38" t="n">
        <x:v>0</x:v>
      </x:c>
      <x:c r="P167" s="38" t="n">
        <x:v>0</x:v>
      </x:c>
      <x:c r="Q167" s="38" t="n">
        <x:v>0</x:v>
      </x:c>
      <x:c r="R167" s="38" t="n">
        <x:f>MIN(D167,I167)</x:f>
        <x:v>2</x:v>
      </x:c>
      <x:c r="S167" s="47" t="n">
        <x:f>IFERROR(R167/D167,0)</x:f>
        <x:v>1</x:v>
      </x:c>
      <x:c r="T167" s="38" t="n">
        <x:f>MIN(MAX(G167,0),MAX(D167-I167,0))</x:f>
        <x:v>0</x:v>
      </x:c>
      <x:c r="U167" s="44" t="n">
        <x:f>T167*E167</x:f>
        <x:v>0</x:v>
      </x:c>
      <x:c r="V167" s="38" t="n">
        <x:v>1</x:v>
      </x:c>
      <x:c r="W167" s="32" t="n">
        <x:v>1</x:v>
      </x:c>
      <x:c r="X167" s="50" t="n">
        <x:v>45747</x:v>
      </x:c>
      <x:c r="Y167" s="44" t="n">
        <x:v>17500</x:v>
      </x:c>
      <x:c r="Z167" s="44" t="n">
        <x:f>IF(I167&gt;0,R167*(J167/I167),0)</x:f>
        <x:v>33500</x:v>
      </x:c>
      <x:c r="AA167" s="44" t="n">
        <x:f>Z167-(R167*E167)</x:f>
        <x:v>12500</x:v>
      </x:c>
      <x:c r="AB167" s="47" t="n">
        <x:f>IFERROR(AA167/Z167,0)</x:f>
        <x:v>0.373134328358209</x:v>
      </x:c>
      <x:c r="AC167" s="32" t="str">
        <x:f>IF(S167=0,"0%",IF(S167&lt;0.5,"1-49%",IF(S167&lt;0.8,"50-79%",IF(S167&lt;1,"80-99%","100%"))))</x:f>
        <x:v>100%</x:v>
      </x:c>
      <x:c r="AD167" s="33" t="str">
        <x:f>IF(G167&lt;0,"Stock negativo",IF(G167&lt;=0,"Sin stock actual",IF(I167&lt;=0,"Sin ventas desde compra",IF(Q167&lt;=0,"Con stock, sin ventas 365d",IF(S167&lt;0.5,"Rotación baja",IF(S167&lt;1,"Rotación media","Compra absorbida; stock repuesto"))))))</x:f>
        <x:v>Con stock, sin ventas 365d</x:v>
      </x:c>
    </x:row>
    <x:row r="168">
      <x:c r="A168" s="31" t="str">
        <x:v>BX22090013</x:v>
      </x:c>
      <x:c r="B168" s="53" t="str">
        <x:v>LEVA FRENO TFA - CONEJE ECO 100 / DELUXE GROWSUN</x:v>
      </x:c>
      <x:c r="C168" s="32" t="n">
        <x:v>1</x:v>
      </x:c>
      <x:c r="D168" s="38" t="n">
        <x:v>7</x:v>
      </x:c>
      <x:c r="E168" s="44" t="n">
        <x:v>3000</x:v>
      </x:c>
      <x:c r="F168" s="44" t="n">
        <x:v>21000</x:v>
      </x:c>
      <x:c r="G168" s="41" t="n">
        <x:v>1</x:v>
      </x:c>
      <x:c r="H168" s="44" t="n">
        <x:f>MAX(G168,0)*E168</x:f>
        <x:v>3000</x:v>
      </x:c>
      <x:c r="I168" s="38" t="n">
        <x:v>6</x:v>
      </x:c>
      <x:c r="J168" s="44" t="n">
        <x:v>30000</x:v>
      </x:c>
      <x:c r="K168" s="32" t="n">
        <x:v>5</x:v>
      </x:c>
      <x:c r="L168" s="50" t="n">
        <x:v>45534.64502314815</x:v>
      </x:c>
      <x:c r="M168" s="50" t="n">
        <x:v>45980.89265046296</x:v>
      </x:c>
      <x:c r="N168" s="32" t="n">
        <x:f>IF(M168="","",MAX(0,'Resumen'!$B$3-M168))</x:f>
        <x:v>286.1073495370365</x:v>
      </x:c>
      <x:c r="O168" s="38" t="n">
        <x:v>0</x:v>
      </x:c>
      <x:c r="P168" s="38" t="n">
        <x:v>0</x:v>
      </x:c>
      <x:c r="Q168" s="38" t="n">
        <x:v>4</x:v>
      </x:c>
      <x:c r="R168" s="38" t="n">
        <x:f>MIN(D168,I168)</x:f>
        <x:v>6</x:v>
      </x:c>
      <x:c r="S168" s="47" t="n">
        <x:f>IFERROR(R168/D168,0)</x:f>
        <x:v>0.8571428571428571</x:v>
      </x:c>
      <x:c r="T168" s="38" t="n">
        <x:f>MIN(MAX(G168,0),MAX(D168-I168,0))</x:f>
        <x:v>1</x:v>
      </x:c>
      <x:c r="U168" s="44" t="n">
        <x:f>T168*E168</x:f>
        <x:v>3000</x:v>
      </x:c>
      <x:c r="V168" s="38" t="n">
        <x:v>0</x:v>
      </x:c>
      <x:c r="W168" s="32" t="n">
        <x:v>0</x:v>
      </x:c>
      <x:c r="X168" s="50"/>
      <x:c r="Y168" s="44" t="n">
        <x:v>5000</x:v>
      </x:c>
      <x:c r="Z168" s="44" t="n">
        <x:f>IF(I168&gt;0,R168*(J168/I168),0)</x:f>
        <x:v>30000</x:v>
      </x:c>
      <x:c r="AA168" s="44" t="n">
        <x:f>Z168-(R168*E168)</x:f>
        <x:v>12000</x:v>
      </x:c>
      <x:c r="AB168" s="47" t="n">
        <x:f>IFERROR(AA168/Z168,0)</x:f>
        <x:v>0.4</x:v>
      </x:c>
      <x:c r="AC168" s="32" t="str">
        <x:f>IF(S168=0,"0%",IF(S168&lt;0.5,"1-49%",IF(S168&lt;0.8,"50-79%",IF(S168&lt;1,"80-99%","100%"))))</x:f>
        <x:v>80-99%</x:v>
      </x:c>
      <x:c r="AD168" s="33" t="str">
        <x:f>IF(G168&lt;0,"Stock negativo",IF(G168&lt;=0,"Sin stock actual",IF(I168&lt;=0,"Sin ventas desde compra",IF(Q168&lt;=0,"Con stock, sin ventas 365d",IF(S168&lt;0.5,"Rotación baja",IF(S168&lt;1,"Rotación media","Compra absorbida; stock repuesto"))))))</x:f>
        <x:v>Rotación media</x:v>
      </x:c>
    </x:row>
    <x:row r="169">
      <x:c r="A169" s="31" t="str">
        <x:v>CAD - 119</x:v>
      </x:c>
      <x:c r="B169" s="53" t="str">
        <x:v>CADENA 428H - 132 NITROX</x:v>
      </x:c>
      <x:c r="C169" s="32" t="n">
        <x:v>1</x:v>
      </x:c>
      <x:c r="D169" s="38" t="n">
        <x:v>1</x:v>
      </x:c>
      <x:c r="E169" s="44" t="n">
        <x:v>21000</x:v>
      </x:c>
      <x:c r="F169" s="44" t="n">
        <x:v>21000</x:v>
      </x:c>
      <x:c r="G169" s="41" t="n">
        <x:v>0</x:v>
      </x:c>
      <x:c r="H169" s="44" t="n">
        <x:f>MAX(G169,0)*E169</x:f>
        <x:v>0</x:v>
      </x:c>
      <x:c r="I169" s="38" t="n">
        <x:v>1</x:v>
      </x:c>
      <x:c r="J169" s="44" t="n">
        <x:v>35000</x:v>
      </x:c>
      <x:c r="K169" s="32" t="n">
        <x:v>1</x:v>
      </x:c>
      <x:c r="L169" s="50" t="n">
        <x:v>46002.85734953704</x:v>
      </x:c>
      <x:c r="M169" s="50" t="n">
        <x:v>46002.85734953704</x:v>
      </x:c>
      <x:c r="N169" s="32" t="n">
        <x:f>IF(M169="","",MAX(0,'Resumen'!$B$3-M169))</x:f>
        <x:v>264.1426504629635</x:v>
      </x:c>
      <x:c r="O169" s="38" t="n">
        <x:v>0</x:v>
      </x:c>
      <x:c r="P169" s="38" t="n">
        <x:v>0</x:v>
      </x:c>
      <x:c r="Q169" s="38" t="n">
        <x:v>1</x:v>
      </x:c>
      <x:c r="R169" s="38" t="n">
        <x:f>MIN(D169,I169)</x:f>
        <x:v>1</x:v>
      </x:c>
      <x:c r="S169" s="47" t="n">
        <x:f>IFERROR(R169/D169,0)</x:f>
        <x:v>1</x:v>
      </x:c>
      <x:c r="T169" s="38" t="n">
        <x:f>MIN(MAX(G169,0),MAX(D169-I169,0))</x:f>
        <x:v>0</x:v>
      </x:c>
      <x:c r="U169" s="44" t="n">
        <x:f>T169*E169</x:f>
        <x:v>0</x:v>
      </x:c>
      <x:c r="V169" s="38" t="n">
        <x:v>0</x:v>
      </x:c>
      <x:c r="W169" s="32" t="n">
        <x:v>0</x:v>
      </x:c>
      <x:c r="X169" s="50"/>
      <x:c r="Y169" s="44" t="n">
        <x:v>35000</x:v>
      </x:c>
      <x:c r="Z169" s="44" t="n">
        <x:f>IF(I169&gt;0,R169*(J169/I169),0)</x:f>
        <x:v>35000</x:v>
      </x:c>
      <x:c r="AA169" s="44" t="n">
        <x:f>Z169-(R169*E169)</x:f>
        <x:v>14000</x:v>
      </x:c>
      <x:c r="AB169" s="47" t="n">
        <x:f>IFERROR(AA169/Z169,0)</x:f>
        <x:v>0.4</x:v>
      </x:c>
      <x:c r="AC169" s="32" t="str">
        <x:f>IF(S169=0,"0%",IF(S169&lt;0.5,"1-49%",IF(S169&lt;0.8,"50-79%",IF(S169&lt;1,"80-99%","100%"))))</x:f>
        <x:v>100%</x:v>
      </x:c>
      <x:c r="AD169" s="33" t="str">
        <x:f>IF(G169&lt;0,"Stock negativo",IF(G169&lt;=0,"Sin stock actual",IF(I169&lt;=0,"Sin ventas desde compra",IF(Q169&lt;=0,"Con stock, sin ventas 365d",IF(S169&lt;0.5,"Rotación baja",IF(S169&lt;1,"Rotación media","Compra absorbida; stock repuesto"))))))</x:f>
        <x:v>Sin stock actual</x:v>
      </x:c>
    </x:row>
    <x:row r="170">
      <x:c r="A170" s="31" t="str">
        <x:v>CDIR-ECO</x:v>
      </x:c>
      <x:c r="B170" s="53" t="str">
        <x:v>CAUCHOS DIRECCION ECO/BOXER CAU PLAST</x:v>
      </x:c>
      <x:c r="C170" s="32" t="n">
        <x:v>1</x:v>
      </x:c>
      <x:c r="D170" s="38" t="n">
        <x:v>7</x:v>
      </x:c>
      <x:c r="E170" s="44" t="n">
        <x:v>3000</x:v>
      </x:c>
      <x:c r="F170" s="44" t="n">
        <x:v>21000</x:v>
      </x:c>
      <x:c r="G170" s="41" t="n">
        <x:v>1</x:v>
      </x:c>
      <x:c r="H170" s="44" t="n">
        <x:f>MAX(G170,0)*E170</x:f>
        <x:v>3000</x:v>
      </x:c>
      <x:c r="I170" s="38" t="n">
        <x:v>7</x:v>
      </x:c>
      <x:c r="J170" s="44" t="n">
        <x:v>34000</x:v>
      </x:c>
      <x:c r="K170" s="32" t="n">
        <x:v>7</x:v>
      </x:c>
      <x:c r="L170" s="50" t="n">
        <x:v>45538.58168981481</x:v>
      </x:c>
      <x:c r="M170" s="50" t="n">
        <x:v>45708.91709490741</x:v>
      </x:c>
      <x:c r="N170" s="32" t="n">
        <x:f>IF(M170="","",MAX(0,'Resumen'!$B$3-M170))</x:f>
        <x:v>558.0829050925895</x:v>
      </x:c>
      <x:c r="O170" s="38" t="n">
        <x:v>0</x:v>
      </x:c>
      <x:c r="P170" s="38" t="n">
        <x:v>0</x:v>
      </x:c>
      <x:c r="Q170" s="38" t="n">
        <x:v>0</x:v>
      </x:c>
      <x:c r="R170" s="38" t="n">
        <x:f>MIN(D170,I170)</x:f>
        <x:v>7</x:v>
      </x:c>
      <x:c r="S170" s="47" t="n">
        <x:f>IFERROR(R170/D170,0)</x:f>
        <x:v>1</x:v>
      </x:c>
      <x:c r="T170" s="38" t="n">
        <x:f>MIN(MAX(G170,0),MAX(D170-I170,0))</x:f>
        <x:v>0</x:v>
      </x:c>
      <x:c r="U170" s="44" t="n">
        <x:f>T170*E170</x:f>
        <x:v>0</x:v>
      </x:c>
      <x:c r="V170" s="38" t="n">
        <x:v>1</x:v>
      </x:c>
      <x:c r="W170" s="32" t="n">
        <x:v>1</x:v>
      </x:c>
      <x:c r="X170" s="50" t="n">
        <x:v>45665</x:v>
      </x:c>
      <x:c r="Y170" s="44" t="n">
        <x:v>5000</x:v>
      </x:c>
      <x:c r="Z170" s="44" t="n">
        <x:f>IF(I170&gt;0,R170*(J170/I170),0)</x:f>
        <x:v>34000</x:v>
      </x:c>
      <x:c r="AA170" s="44" t="n">
        <x:f>Z170-(R170*E170)</x:f>
        <x:v>13000</x:v>
      </x:c>
      <x:c r="AB170" s="47" t="n">
        <x:f>IFERROR(AA170/Z170,0)</x:f>
        <x:v>0.38235294117647056</x:v>
      </x:c>
      <x:c r="AC170" s="32" t="str">
        <x:f>IF(S170=0,"0%",IF(S170&lt;0.5,"1-49%",IF(S170&lt;0.8,"50-79%",IF(S170&lt;1,"80-99%","100%"))))</x:f>
        <x:v>100%</x:v>
      </x:c>
      <x:c r="AD170" s="33" t="str">
        <x:f>IF(G170&lt;0,"Stock negativo",IF(G170&lt;=0,"Sin stock actual",IF(I170&lt;=0,"Sin ventas desde compra",IF(Q170&lt;=0,"Con stock, sin ventas 365d",IF(S170&lt;0.5,"Rotación baja",IF(S170&lt;1,"Rotación media","Compra absorbida; stock repuesto"))))))</x:f>
        <x:v>Con stock, sin ventas 365d</x:v>
      </x:c>
    </x:row>
    <x:row r="171">
      <x:c r="A171" s="31" t="str">
        <x:v>MOTS1082</x:v>
      </x:c>
      <x:c r="B171" s="53" t="str">
        <x:v>RETEN 32-44-70-5</x:v>
      </x:c>
      <x:c r="C171" s="32" t="n">
        <x:v>1</x:v>
      </x:c>
      <x:c r="D171" s="38" t="n">
        <x:v>7</x:v>
      </x:c>
      <x:c r="E171" s="44" t="n">
        <x:v>3000</x:v>
      </x:c>
      <x:c r="F171" s="44" t="n">
        <x:v>21000</x:v>
      </x:c>
      <x:c r="G171" s="41" t="n">
        <x:v>3</x:v>
      </x:c>
      <x:c r="H171" s="44" t="n">
        <x:f>MAX(G171,0)*E171</x:f>
        <x:v>9000</x:v>
      </x:c>
      <x:c r="I171" s="38" t="n">
        <x:v>4</x:v>
      </x:c>
      <x:c r="J171" s="44" t="n">
        <x:v>20000</x:v>
      </x:c>
      <x:c r="K171" s="32" t="n">
        <x:v>2</x:v>
      </x:c>
      <x:c r="L171" s="50" t="n">
        <x:v>45983.03025462963</x:v>
      </x:c>
      <x:c r="M171" s="50" t="n">
        <x:v>46144.837175925924</x:v>
      </x:c>
      <x:c r="N171" s="32" t="n">
        <x:f>IF(M171="","",MAX(0,'Resumen'!$B$3-M171))</x:f>
        <x:v>122.16282407407562</x:v>
      </x:c>
      <x:c r="O171" s="38" t="n">
        <x:v>0</x:v>
      </x:c>
      <x:c r="P171" s="38" t="n">
        <x:v>0</x:v>
      </x:c>
      <x:c r="Q171" s="38" t="n">
        <x:v>4</x:v>
      </x:c>
      <x:c r="R171" s="38" t="n">
        <x:f>MIN(D171,I171)</x:f>
        <x:v>4</x:v>
      </x:c>
      <x:c r="S171" s="47" t="n">
        <x:f>IFERROR(R171/D171,0)</x:f>
        <x:v>0.5714285714285714</x:v>
      </x:c>
      <x:c r="T171" s="38" t="n">
        <x:f>MIN(MAX(G171,0),MAX(D171-I171,0))</x:f>
        <x:v>3</x:v>
      </x:c>
      <x:c r="U171" s="44" t="n">
        <x:f>T171*E171</x:f>
        <x:v>9000</x:v>
      </x:c>
      <x:c r="V171" s="38" t="n">
        <x:v>0</x:v>
      </x:c>
      <x:c r="W171" s="32" t="n">
        <x:v>0</x:v>
      </x:c>
      <x:c r="X171" s="50"/>
      <x:c r="Y171" s="44" t="n">
        <x:v>5000</x:v>
      </x:c>
      <x:c r="Z171" s="44" t="n">
        <x:f>IF(I171&gt;0,R171*(J171/I171),0)</x:f>
        <x:v>20000</x:v>
      </x:c>
      <x:c r="AA171" s="44" t="n">
        <x:f>Z171-(R171*E171)</x:f>
        <x:v>8000</x:v>
      </x:c>
      <x:c r="AB171" s="47" t="n">
        <x:f>IFERROR(AA171/Z171,0)</x:f>
        <x:v>0.4</x:v>
      </x:c>
      <x:c r="AC171" s="32" t="str">
        <x:f>IF(S171=0,"0%",IF(S171&lt;0.5,"1-49%",IF(S171&lt;0.8,"50-79%",IF(S171&lt;1,"80-99%","100%"))))</x:f>
        <x:v>50-79%</x:v>
      </x:c>
      <x:c r="AD171" s="33" t="str">
        <x:f>IF(G171&lt;0,"Stock negativo",IF(G171&lt;=0,"Sin stock actual",IF(I171&lt;=0,"Sin ventas desde compra",IF(Q171&lt;=0,"Con stock, sin ventas 365d",IF(S171&lt;0.5,"Rotación baja",IF(S171&lt;1,"Rotación media","Compra absorbida; stock repuesto"))))))</x:f>
        <x:v>Rotación media</x:v>
      </x:c>
    </x:row>
    <x:row r="172">
      <x:c r="A172" s="31" t="str">
        <x:v>MOTS1094</x:v>
      </x:c>
      <x:c r="B172" s="53" t="str">
        <x:v>RETEN 4.8-22-7</x:v>
      </x:c>
      <x:c r="C172" s="32" t="n">
        <x:v>1</x:v>
      </x:c>
      <x:c r="D172" s="38" t="n">
        <x:v>14</x:v>
      </x:c>
      <x:c r="E172" s="44" t="n">
        <x:v>1500</x:v>
      </x:c>
      <x:c r="F172" s="44" t="n">
        <x:v>21000</x:v>
      </x:c>
      <x:c r="G172" s="41" t="n">
        <x:v>14</x:v>
      </x:c>
      <x:c r="H172" s="44" t="n">
        <x:f>MAX(G172,0)*E172</x:f>
        <x:v>21000</x:v>
      </x:c>
      <x:c r="I172" s="38" t="n">
        <x:v>0</x:v>
      </x:c>
      <x:c r="J172" s="44" t="n">
        <x:v>0</x:v>
      </x:c>
      <x:c r="K172" s="32" t="n">
        <x:v>0</x:v>
      </x:c>
      <x:c r="L172" s="50"/>
      <x:c r="M172" s="50"/>
      <x:c r="N172" s="32" t="str">
        <x:f>IF(M172="","",MAX(0,'Resumen'!$B$3-M172))</x:f>
      </x:c>
      <x:c r="O172" s="38" t="n">
        <x:v>0</x:v>
      </x:c>
      <x:c r="P172" s="38" t="n">
        <x:v>0</x:v>
      </x:c>
      <x:c r="Q172" s="38" t="n">
        <x:v>0</x:v>
      </x:c>
      <x:c r="R172" s="38" t="n">
        <x:f>MIN(D172,I172)</x:f>
        <x:v>0</x:v>
      </x:c>
      <x:c r="S172" s="47" t="n">
        <x:f>IFERROR(R172/D172,0)</x:f>
        <x:v>0</x:v>
      </x:c>
      <x:c r="T172" s="38" t="n">
        <x:f>MIN(MAX(G172,0),MAX(D172-I172,0))</x:f>
        <x:v>14</x:v>
      </x:c>
      <x:c r="U172" s="44" t="n">
        <x:f>T172*E172</x:f>
        <x:v>21000</x:v>
      </x:c>
      <x:c r="V172" s="38" t="n">
        <x:v>0</x:v>
      </x:c>
      <x:c r="W172" s="32" t="n">
        <x:v>0</x:v>
      </x:c>
      <x:c r="X172" s="50"/>
      <x:c r="Y172" s="44" t="n">
        <x:v>2500</x:v>
      </x:c>
      <x:c r="Z172" s="44" t="n">
        <x:f>IF(I172&gt;0,R172*(J172/I172),0)</x:f>
        <x:v>0</x:v>
      </x:c>
      <x:c r="AA172" s="44" t="n">
        <x:f>Z172-(R172*E172)</x:f>
        <x:v>0</x:v>
      </x:c>
      <x:c r="AB172" s="47" t="n">
        <x:f>IFERROR(AA172/Z172,0)</x:f>
        <x:v>0</x:v>
      </x:c>
      <x:c r="AC172" s="32" t="str">
        <x:f>IF(S172=0,"0%",IF(S172&lt;0.5,"1-49%",IF(S172&lt;0.8,"50-79%",IF(S172&lt;1,"80-99%","100%"))))</x:f>
        <x:v>0%</x:v>
      </x:c>
      <x:c r="AD172" s="33" t="str">
        <x:f>IF(G172&lt;0,"Stock negativo",IF(G172&lt;=0,"Sin stock actual",IF(I172&lt;=0,"Sin ventas desde compra",IF(Q172&lt;=0,"Con stock, sin ventas 365d",IF(S172&lt;0.5,"Rotación baja",IF(S172&lt;1,"Rotación media","Compra absorbida; stock repuesto"))))))</x:f>
        <x:v>Sin ventas desde compra</x:v>
      </x:c>
    </x:row>
    <x:row r="173">
      <x:c r="A173" s="31" t="str">
        <x:v>MOTS1141</x:v>
      </x:c>
      <x:c r="B173" s="53" t="str">
        <x:v>DONAS MOFLE VARIAS</x:v>
      </x:c>
      <x:c r="C173" s="32" t="n">
        <x:v>1</x:v>
      </x:c>
      <x:c r="D173" s="38" t="n">
        <x:v>6</x:v>
      </x:c>
      <x:c r="E173" s="44" t="n">
        <x:v>3500</x:v>
      </x:c>
      <x:c r="F173" s="44" t="n">
        <x:v>21000</x:v>
      </x:c>
      <x:c r="G173" s="41" t="n">
        <x:v>6</x:v>
      </x:c>
      <x:c r="H173" s="44" t="n">
        <x:f>MAX(G173,0)*E173</x:f>
        <x:v>21000</x:v>
      </x:c>
      <x:c r="I173" s="38" t="n">
        <x:v>0</x:v>
      </x:c>
      <x:c r="J173" s="44" t="n">
        <x:v>0</x:v>
      </x:c>
      <x:c r="K173" s="32" t="n">
        <x:v>0</x:v>
      </x:c>
      <x:c r="L173" s="50"/>
      <x:c r="M173" s="50"/>
      <x:c r="N173" s="32" t="str">
        <x:f>IF(M173="","",MAX(0,'Resumen'!$B$3-M173))</x:f>
      </x:c>
      <x:c r="O173" s="38" t="n">
        <x:v>0</x:v>
      </x:c>
      <x:c r="P173" s="38" t="n">
        <x:v>0</x:v>
      </x:c>
      <x:c r="Q173" s="38" t="n">
        <x:v>0</x:v>
      </x:c>
      <x:c r="R173" s="38" t="n">
        <x:f>MIN(D173,I173)</x:f>
        <x:v>0</x:v>
      </x:c>
      <x:c r="S173" s="47" t="n">
        <x:f>IFERROR(R173/D173,0)</x:f>
        <x:v>0</x:v>
      </x:c>
      <x:c r="T173" s="38" t="n">
        <x:f>MIN(MAX(G173,0),MAX(D173-I173,0))</x:f>
        <x:v>6</x:v>
      </x:c>
      <x:c r="U173" s="44" t="n">
        <x:f>T173*E173</x:f>
        <x:v>21000</x:v>
      </x:c>
      <x:c r="V173" s="38" t="n">
        <x:v>0</x:v>
      </x:c>
      <x:c r="W173" s="32" t="n">
        <x:v>0</x:v>
      </x:c>
      <x:c r="X173" s="50"/>
      <x:c r="Y173" s="44" t="n">
        <x:v>600</x:v>
      </x:c>
      <x:c r="Z173" s="44" t="n">
        <x:f>IF(I173&gt;0,R173*(J173/I173),0)</x:f>
        <x:v>0</x:v>
      </x:c>
      <x:c r="AA173" s="44" t="n">
        <x:f>Z173-(R173*E173)</x:f>
        <x:v>0</x:v>
      </x:c>
      <x:c r="AB173" s="47" t="n">
        <x:f>IFERROR(AA173/Z173,0)</x:f>
        <x:v>0</x:v>
      </x:c>
      <x:c r="AC173" s="32" t="str">
        <x:f>IF(S173=0,"0%",IF(S173&lt;0.5,"1-49%",IF(S173&lt;0.8,"50-79%",IF(S173&lt;1,"80-99%","100%"))))</x:f>
        <x:v>0%</x:v>
      </x:c>
      <x:c r="AD173" s="33" t="str">
        <x:f>IF(G173&lt;0,"Stock negativo",IF(G173&lt;=0,"Sin stock actual",IF(I173&lt;=0,"Sin ventas desde compra",IF(Q173&lt;=0,"Con stock, sin ventas 365d",IF(S173&lt;0.5,"Rotación baja",IF(S173&lt;1,"Rotación media","Compra absorbida; stock repuesto"))))))</x:f>
        <x:v>Sin ventas desde compra</x:v>
      </x:c>
    </x:row>
    <x:row r="174">
      <x:c r="A174" s="31" t="str">
        <x:v>MOTS1179</x:v>
      </x:c>
      <x:c r="B174" s="53" t="str">
        <x:v>MANIGUETA DER CB 110 SAI MOTOR CYCLE</x:v>
      </x:c>
      <x:c r="C174" s="32" t="n">
        <x:v>1</x:v>
      </x:c>
      <x:c r="D174" s="38" t="n">
        <x:v>6</x:v>
      </x:c>
      <x:c r="E174" s="44" t="n">
        <x:v>3500</x:v>
      </x:c>
      <x:c r="F174" s="44" t="n">
        <x:v>21000</x:v>
      </x:c>
      <x:c r="G174" s="41" t="n">
        <x:v>6</x:v>
      </x:c>
      <x:c r="H174" s="44" t="n">
        <x:f>MAX(G174,0)*E174</x:f>
        <x:v>21000</x:v>
      </x:c>
      <x:c r="I174" s="38" t="n">
        <x:v>0</x:v>
      </x:c>
      <x:c r="J174" s="44" t="n">
        <x:v>0</x:v>
      </x:c>
      <x:c r="K174" s="32" t="n">
        <x:v>0</x:v>
      </x:c>
      <x:c r="L174" s="50"/>
      <x:c r="M174" s="50"/>
      <x:c r="N174" s="32" t="str">
        <x:f>IF(M174="","",MAX(0,'Resumen'!$B$3-M174))</x:f>
      </x:c>
      <x:c r="O174" s="38" t="n">
        <x:v>0</x:v>
      </x:c>
      <x:c r="P174" s="38" t="n">
        <x:v>0</x:v>
      </x:c>
      <x:c r="Q174" s="38" t="n">
        <x:v>0</x:v>
      </x:c>
      <x:c r="R174" s="38" t="n">
        <x:f>MIN(D174,I174)</x:f>
        <x:v>0</x:v>
      </x:c>
      <x:c r="S174" s="47" t="n">
        <x:f>IFERROR(R174/D174,0)</x:f>
        <x:v>0</x:v>
      </x:c>
      <x:c r="T174" s="38" t="n">
        <x:f>MIN(MAX(G174,0),MAX(D174-I174,0))</x:f>
        <x:v>6</x:v>
      </x:c>
      <x:c r="U174" s="44" t="n">
        <x:f>T174*E174</x:f>
        <x:v>21000</x:v>
      </x:c>
      <x:c r="V174" s="38" t="n">
        <x:v>0</x:v>
      </x:c>
      <x:c r="W174" s="32" t="n">
        <x:v>0</x:v>
      </x:c>
      <x:c r="X174" s="50"/>
      <x:c r="Y174" s="44" t="n">
        <x:v>6000</x:v>
      </x:c>
      <x:c r="Z174" s="44" t="n">
        <x:f>IF(I174&gt;0,R174*(J174/I174),0)</x:f>
        <x:v>0</x:v>
      </x:c>
      <x:c r="AA174" s="44" t="n">
        <x:f>Z174-(R174*E174)</x:f>
        <x:v>0</x:v>
      </x:c>
      <x:c r="AB174" s="47" t="n">
        <x:f>IFERROR(AA174/Z174,0)</x:f>
        <x:v>0</x:v>
      </x:c>
      <x:c r="AC174" s="32" t="str">
        <x:f>IF(S174=0,"0%",IF(S174&lt;0.5,"1-49%",IF(S174&lt;0.8,"50-79%",IF(S174&lt;1,"80-99%","100%"))))</x:f>
        <x:v>0%</x:v>
      </x:c>
      <x:c r="AD174" s="33" t="str">
        <x:f>IF(G174&lt;0,"Stock negativo",IF(G174&lt;=0,"Sin stock actual",IF(I174&lt;=0,"Sin ventas desde compra",IF(Q174&lt;=0,"Con stock, sin ventas 365d",IF(S174&lt;0.5,"Rotación baja",IF(S174&lt;1,"Rotación media","Compra absorbida; stock repuesto"))))))</x:f>
        <x:v>Sin ventas desde compra</x:v>
      </x:c>
    </x:row>
    <x:row r="175">
      <x:c r="A175" s="31" t="str">
        <x:v>MOTS1312</x:v>
      </x:c>
      <x:c r="B175" s="53" t="str">
        <x:v>BOMBA ACEITE ECO HERO</x:v>
      </x:c>
      <x:c r="C175" s="32" t="n">
        <x:v>1</x:v>
      </x:c>
      <x:c r="D175" s="38" t="n">
        <x:v>2</x:v>
      </x:c>
      <x:c r="E175" s="44" t="n">
        <x:v>10500</x:v>
      </x:c>
      <x:c r="F175" s="44" t="n">
        <x:v>21000</x:v>
      </x:c>
      <x:c r="G175" s="41" t="n">
        <x:v>1</x:v>
      </x:c>
      <x:c r="H175" s="44" t="n">
        <x:f>MAX(G175,0)*E175</x:f>
        <x:v>10500</x:v>
      </x:c>
      <x:c r="I175" s="38" t="n">
        <x:v>2</x:v>
      </x:c>
      <x:c r="J175" s="44" t="n">
        <x:v>30000</x:v>
      </x:c>
      <x:c r="K175" s="32" t="n">
        <x:v>2</x:v>
      </x:c>
      <x:c r="L175" s="50" t="n">
        <x:v>45617.876435185186</x:v>
      </x:c>
      <x:c r="M175" s="50" t="n">
        <x:v>45623.79584490741</x:v>
      </x:c>
      <x:c r="N175" s="32" t="n">
        <x:f>IF(M175="","",MAX(0,'Resumen'!$B$3-M175))</x:f>
        <x:v>643.2041550925933</x:v>
      </x:c>
      <x:c r="O175" s="38" t="n">
        <x:v>0</x:v>
      </x:c>
      <x:c r="P175" s="38" t="n">
        <x:v>0</x:v>
      </x:c>
      <x:c r="Q175" s="38" t="n">
        <x:v>0</x:v>
      </x:c>
      <x:c r="R175" s="38" t="n">
        <x:f>MIN(D175,I175)</x:f>
        <x:v>2</x:v>
      </x:c>
      <x:c r="S175" s="47" t="n">
        <x:f>IFERROR(R175/D175,0)</x:f>
        <x:v>1</x:v>
      </x:c>
      <x:c r="T175" s="38" t="n">
        <x:f>MIN(MAX(G175,0),MAX(D175-I175,0))</x:f>
        <x:v>0</x:v>
      </x:c>
      <x:c r="U175" s="44" t="n">
        <x:f>T175*E175</x:f>
        <x:v>0</x:v>
      </x:c>
      <x:c r="V175" s="38" t="n">
        <x:v>1</x:v>
      </x:c>
      <x:c r="W175" s="32" t="n">
        <x:v>1</x:v>
      </x:c>
      <x:c r="X175" s="50" t="n">
        <x:v>45617</x:v>
      </x:c>
      <x:c r="Y175" s="44" t="n">
        <x:v>17500</x:v>
      </x:c>
      <x:c r="Z175" s="44" t="n">
        <x:f>IF(I175&gt;0,R175*(J175/I175),0)</x:f>
        <x:v>30000</x:v>
      </x:c>
      <x:c r="AA175" s="44" t="n">
        <x:f>Z175-(R175*E175)</x:f>
        <x:v>9000</x:v>
      </x:c>
      <x:c r="AB175" s="47" t="n">
        <x:f>IFERROR(AA175/Z175,0)</x:f>
        <x:v>0.3</x:v>
      </x:c>
      <x:c r="AC175" s="32" t="str">
        <x:f>IF(S175=0,"0%",IF(S175&lt;0.5,"1-49%",IF(S175&lt;0.8,"50-79%",IF(S175&lt;1,"80-99%","100%"))))</x:f>
        <x:v>100%</x:v>
      </x:c>
      <x:c r="AD175" s="33" t="str">
        <x:f>IF(G175&lt;0,"Stock negativo",IF(G175&lt;=0,"Sin stock actual",IF(I175&lt;=0,"Sin ventas desde compra",IF(Q175&lt;=0,"Con stock, sin ventas 365d",IF(S175&lt;0.5,"Rotación baja",IF(S175&lt;1,"Rotación media","Compra absorbida; stock repuesto"))))))</x:f>
        <x:v>Con stock, sin ventas 365d</x:v>
      </x:c>
    </x:row>
    <x:row r="176">
      <x:c r="A176" s="31" t="str">
        <x:v>TAP-005</x:v>
      </x:c>
      <x:c r="B176" s="53" t="str">
        <x:v>TAPON CARTER # 12</x:v>
      </x:c>
      <x:c r="C176" s="32" t="n">
        <x:v>1</x:v>
      </x:c>
      <x:c r="D176" s="38" t="n">
        <x:v>10</x:v>
      </x:c>
      <x:c r="E176" s="44" t="n">
        <x:v>2100</x:v>
      </x:c>
      <x:c r="F176" s="44" t="n">
        <x:v>21000</x:v>
      </x:c>
      <x:c r="G176" s="41" t="n">
        <x:v>8</x:v>
      </x:c>
      <x:c r="H176" s="44" t="n">
        <x:f>MAX(G176,0)*E176</x:f>
        <x:v>16800</x:v>
      </x:c>
      <x:c r="I176" s="38" t="n">
        <x:v>2</x:v>
      </x:c>
      <x:c r="J176" s="44" t="n">
        <x:v>7000</x:v>
      </x:c>
      <x:c r="K176" s="32" t="n">
        <x:v>2</x:v>
      </x:c>
      <x:c r="L176" s="50" t="n">
        <x:v>45556.711689814816</x:v>
      </x:c>
      <x:c r="M176" s="50" t="n">
        <x:v>45587.58479166667</x:v>
      </x:c>
      <x:c r="N176" s="32" t="n">
        <x:f>IF(M176="","",MAX(0,'Resumen'!$B$3-M176))</x:f>
        <x:v>679.415208333332</x:v>
      </x:c>
      <x:c r="O176" s="38" t="n">
        <x:v>0</x:v>
      </x:c>
      <x:c r="P176" s="38" t="n">
        <x:v>0</x:v>
      </x:c>
      <x:c r="Q176" s="38" t="n">
        <x:v>0</x:v>
      </x:c>
      <x:c r="R176" s="38" t="n">
        <x:f>MIN(D176,I176)</x:f>
        <x:v>2</x:v>
      </x:c>
      <x:c r="S176" s="47" t="n">
        <x:f>IFERROR(R176/D176,0)</x:f>
        <x:v>0.2</x:v>
      </x:c>
      <x:c r="T176" s="38" t="n">
        <x:f>MIN(MAX(G176,0),MAX(D176-I176,0))</x:f>
        <x:v>8</x:v>
      </x:c>
      <x:c r="U176" s="44" t="n">
        <x:f>T176*E176</x:f>
        <x:v>16800</x:v>
      </x:c>
      <x:c r="V176" s="38" t="n">
        <x:v>0</x:v>
      </x:c>
      <x:c r="W176" s="32" t="n">
        <x:v>0</x:v>
      </x:c>
      <x:c r="X176" s="50"/>
      <x:c r="Y176" s="44" t="n">
        <x:v>3500</x:v>
      </x:c>
      <x:c r="Z176" s="44" t="n">
        <x:f>IF(I176&gt;0,R176*(J176/I176),0)</x:f>
        <x:v>7000</x:v>
      </x:c>
      <x:c r="AA176" s="44" t="n">
        <x:f>Z176-(R176*E176)</x:f>
        <x:v>2800</x:v>
      </x:c>
      <x:c r="AB176" s="47" t="n">
        <x:f>IFERROR(AA176/Z176,0)</x:f>
        <x:v>0.4</x:v>
      </x:c>
      <x:c r="AC176" s="32" t="str">
        <x:f>IF(S176=0,"0%",IF(S176&lt;0.5,"1-49%",IF(S176&lt;0.8,"50-79%",IF(S176&lt;1,"80-99%","100%"))))</x:f>
        <x:v>1-49%</x:v>
      </x:c>
      <x:c r="AD176" s="33" t="str">
        <x:f>IF(G176&lt;0,"Stock negativo",IF(G176&lt;=0,"Sin stock actual",IF(I176&lt;=0,"Sin ventas desde compra",IF(Q176&lt;=0,"Con stock, sin ventas 365d",IF(S176&lt;0.5,"Rotación baja",IF(S176&lt;1,"Rotación media","Compra absorbida; stock repuesto"))))))</x:f>
        <x:v>Con stock, sin ventas 365d</x:v>
      </x:c>
    </x:row>
    <x:row r="177">
      <x:c r="A177" s="31" t="str">
        <x:v>TAP-006</x:v>
      </x:c>
      <x:c r="B177" s="53" t="str">
        <x:v>TAPON CARTER # 14</x:v>
      </x:c>
      <x:c r="C177" s="32" t="n">
        <x:v>1</x:v>
      </x:c>
      <x:c r="D177" s="38" t="n">
        <x:v>11</x:v>
      </x:c>
      <x:c r="E177" s="44" t="n">
        <x:v>1900</x:v>
      </x:c>
      <x:c r="F177" s="44" t="n">
        <x:v>20900</x:v>
      </x:c>
      <x:c r="G177" s="41" t="n">
        <x:v>11</x:v>
      </x:c>
      <x:c r="H177" s="44" t="n">
        <x:f>MAX(G177,0)*E177</x:f>
        <x:v>20900</x:v>
      </x:c>
      <x:c r="I177" s="38" t="n">
        <x:v>0</x:v>
      </x:c>
      <x:c r="J177" s="44" t="n">
        <x:v>0</x:v>
      </x:c>
      <x:c r="K177" s="32" t="n">
        <x:v>0</x:v>
      </x:c>
      <x:c r="L177" s="50"/>
      <x:c r="M177" s="50"/>
      <x:c r="N177" s="32" t="str">
        <x:f>IF(M177="","",MAX(0,'Resumen'!$B$3-M177))</x:f>
      </x:c>
      <x:c r="O177" s="38" t="n">
        <x:v>0</x:v>
      </x:c>
      <x:c r="P177" s="38" t="n">
        <x:v>0</x:v>
      </x:c>
      <x:c r="Q177" s="38" t="n">
        <x:v>0</x:v>
      </x:c>
      <x:c r="R177" s="38" t="n">
        <x:f>MIN(D177,I177)</x:f>
        <x:v>0</x:v>
      </x:c>
      <x:c r="S177" s="47" t="n">
        <x:f>IFERROR(R177/D177,0)</x:f>
        <x:v>0</x:v>
      </x:c>
      <x:c r="T177" s="38" t="n">
        <x:f>MIN(MAX(G177,0),MAX(D177-I177,0))</x:f>
        <x:v>11</x:v>
      </x:c>
      <x:c r="U177" s="44" t="n">
        <x:f>T177*E177</x:f>
        <x:v>20900</x:v>
      </x:c>
      <x:c r="V177" s="38" t="n">
        <x:v>0</x:v>
      </x:c>
      <x:c r="W177" s="32" t="n">
        <x:v>0</x:v>
      </x:c>
      <x:c r="X177" s="50"/>
      <x:c r="Y177" s="44" t="n">
        <x:v>3500</x:v>
      </x:c>
      <x:c r="Z177" s="44" t="n">
        <x:f>IF(I177&gt;0,R177*(J177/I177),0)</x:f>
        <x:v>0</x:v>
      </x:c>
      <x:c r="AA177" s="44" t="n">
        <x:f>Z177-(R177*E177)</x:f>
        <x:v>0</x:v>
      </x:c>
      <x:c r="AB177" s="47" t="n">
        <x:f>IFERROR(AA177/Z177,0)</x:f>
        <x:v>0</x:v>
      </x:c>
      <x:c r="AC177" s="32" t="str">
        <x:f>IF(S177=0,"0%",IF(S177&lt;0.5,"1-49%",IF(S177&lt;0.8,"50-79%",IF(S177&lt;1,"80-99%","100%"))))</x:f>
        <x:v>0%</x:v>
      </x:c>
      <x:c r="AD177" s="33" t="str">
        <x:f>IF(G177&lt;0,"Stock negativo",IF(G177&lt;=0,"Sin stock actual",IF(I177&lt;=0,"Sin ventas desde compra",IF(Q177&lt;=0,"Con stock, sin ventas 365d",IF(S177&lt;0.5,"Rotación baja",IF(S177&lt;1,"Rotación media","Compra absorbida; stock repuesto"))))))</x:f>
        <x:v>Sin ventas desde compra</x:v>
      </x:c>
    </x:row>
    <x:row r="178">
      <x:c r="A178" s="31" t="str">
        <x:v>5110</x:v>
      </x:c>
      <x:c r="B178" s="53" t="str">
        <x:v>BUJIA B7HS NGK</x:v>
      </x:c>
      <x:c r="C178" s="32" t="n">
        <x:v>1</x:v>
      </x:c>
      <x:c r="D178" s="38" t="n">
        <x:v>4</x:v>
      </x:c>
      <x:c r="E178" s="44" t="n">
        <x:v>5200</x:v>
      </x:c>
      <x:c r="F178" s="44" t="n">
        <x:v>20800</x:v>
      </x:c>
      <x:c r="G178" s="41" t="n">
        <x:v>3</x:v>
      </x:c>
      <x:c r="H178" s="44" t="n">
        <x:f>MAX(G178,0)*E178</x:f>
        <x:v>15600</x:v>
      </x:c>
      <x:c r="I178" s="38" t="n">
        <x:v>1</x:v>
      </x:c>
      <x:c r="J178" s="44" t="n">
        <x:v>9000</x:v>
      </x:c>
      <x:c r="K178" s="32" t="n">
        <x:v>1</x:v>
      </x:c>
      <x:c r="L178" s="50" t="n">
        <x:v>45563.97025462963</x:v>
      </x:c>
      <x:c r="M178" s="50" t="n">
        <x:v>45563.97025462963</x:v>
      </x:c>
      <x:c r="N178" s="32" t="n">
        <x:f>IF(M178="","",MAX(0,'Resumen'!$B$3-M178))</x:f>
        <x:v>703.0297453703679</x:v>
      </x:c>
      <x:c r="O178" s="38" t="n">
        <x:v>0</x:v>
      </x:c>
      <x:c r="P178" s="38" t="n">
        <x:v>0</x:v>
      </x:c>
      <x:c r="Q178" s="38" t="n">
        <x:v>0</x:v>
      </x:c>
      <x:c r="R178" s="38" t="n">
        <x:f>MIN(D178,I178)</x:f>
        <x:v>1</x:v>
      </x:c>
      <x:c r="S178" s="47" t="n">
        <x:f>IFERROR(R178/D178,0)</x:f>
        <x:v>0.25</x:v>
      </x:c>
      <x:c r="T178" s="38" t="n">
        <x:f>MIN(MAX(G178,0),MAX(D178-I178,0))</x:f>
        <x:v>3</x:v>
      </x:c>
      <x:c r="U178" s="44" t="n">
        <x:f>T178*E178</x:f>
        <x:v>15600</x:v>
      </x:c>
      <x:c r="V178" s="38" t="n">
        <x:v>0</x:v>
      </x:c>
      <x:c r="W178" s="32" t="n">
        <x:v>0</x:v>
      </x:c>
      <x:c r="X178" s="50"/>
      <x:c r="Y178" s="44" t="n">
        <x:v>9000</x:v>
      </x:c>
      <x:c r="Z178" s="44" t="n">
        <x:f>IF(I178&gt;0,R178*(J178/I178),0)</x:f>
        <x:v>9000</x:v>
      </x:c>
      <x:c r="AA178" s="44" t="n">
        <x:f>Z178-(R178*E178)</x:f>
        <x:v>3800</x:v>
      </x:c>
      <x:c r="AB178" s="47" t="n">
        <x:f>IFERROR(AA178/Z178,0)</x:f>
        <x:v>0.4222222222222222</x:v>
      </x:c>
      <x:c r="AC178" s="32" t="str">
        <x:f>IF(S178=0,"0%",IF(S178&lt;0.5,"1-49%",IF(S178&lt;0.8,"50-79%",IF(S178&lt;1,"80-99%","100%"))))</x:f>
        <x:v>1-49%</x:v>
      </x:c>
      <x:c r="AD178" s="33" t="str">
        <x:f>IF(G178&lt;0,"Stock negativo",IF(G178&lt;=0,"Sin stock actual",IF(I178&lt;=0,"Sin ventas desde compra",IF(Q178&lt;=0,"Con stock, sin ventas 365d",IF(S178&lt;0.5,"Rotación baja",IF(S178&lt;1,"Rotación media","Compra absorbida; stock repuesto"))))))</x:f>
        <x:v>Con stock, sin ventas 365d</x:v>
      </x:c>
    </x:row>
    <x:row r="179">
      <x:c r="A179" s="31" t="str">
        <x:v>RET-154</x:v>
      </x:c>
      <x:c r="B179" s="53" t="str">
        <x:v>37-49-8/10.5 BARAI</x:v>
      </x:c>
      <x:c r="C179" s="32" t="n">
        <x:v>1</x:v>
      </x:c>
      <x:c r="D179" s="38" t="n">
        <x:v>8</x:v>
      </x:c>
      <x:c r="E179" s="44" t="n">
        <x:v>2600</x:v>
      </x:c>
      <x:c r="F179" s="44" t="n">
        <x:v>20800</x:v>
      </x:c>
      <x:c r="G179" s="41" t="n">
        <x:v>2</x:v>
      </x:c>
      <x:c r="H179" s="44" t="n">
        <x:f>MAX(G179,0)*E179</x:f>
        <x:v>5200</x:v>
      </x:c>
      <x:c r="I179" s="38" t="n">
        <x:v>8</x:v>
      </x:c>
      <x:c r="J179" s="44" t="n">
        <x:v>37000</x:v>
      </x:c>
      <x:c r="K179" s="32" t="n">
        <x:v>6</x:v>
      </x:c>
      <x:c r="L179" s="50" t="n">
        <x:v>45597.555925925924</x:v>
      </x:c>
      <x:c r="M179" s="50" t="n">
        <x:v>45894.899722222224</x:v>
      </x:c>
      <x:c r="N179" s="32" t="n">
        <x:f>IF(M179="","",MAX(0,'Resumen'!$B$3-M179))</x:f>
        <x:v>372.1002777777758</x:v>
      </x:c>
      <x:c r="O179" s="38" t="n">
        <x:v>0</x:v>
      </x:c>
      <x:c r="P179" s="38" t="n">
        <x:v>0</x:v>
      </x:c>
      <x:c r="Q179" s="38" t="n">
        <x:v>0</x:v>
      </x:c>
      <x:c r="R179" s="38" t="n">
        <x:f>MIN(D179,I179)</x:f>
        <x:v>8</x:v>
      </x:c>
      <x:c r="S179" s="47" t="n">
        <x:f>IFERROR(R179/D179,0)</x:f>
        <x:v>1</x:v>
      </x:c>
      <x:c r="T179" s="38" t="n">
        <x:f>MIN(MAX(G179,0),MAX(D179-I179,0))</x:f>
        <x:v>0</x:v>
      </x:c>
      <x:c r="U179" s="44" t="n">
        <x:f>T179*E179</x:f>
        <x:v>0</x:v>
      </x:c>
      <x:c r="V179" s="38" t="n">
        <x:v>2</x:v>
      </x:c>
      <x:c r="W179" s="32" t="n">
        <x:v>1</x:v>
      </x:c>
      <x:c r="X179" s="50" t="n">
        <x:v>45843</x:v>
      </x:c>
      <x:c r="Y179" s="44" t="n">
        <x:v>4500</x:v>
      </x:c>
      <x:c r="Z179" s="44" t="n">
        <x:f>IF(I179&gt;0,R179*(J179/I179),0)</x:f>
        <x:v>37000</x:v>
      </x:c>
      <x:c r="AA179" s="44" t="n">
        <x:f>Z179-(R179*E179)</x:f>
        <x:v>16200</x:v>
      </x:c>
      <x:c r="AB179" s="47" t="n">
        <x:f>IFERROR(AA179/Z179,0)</x:f>
        <x:v>0.43783783783783786</x:v>
      </x:c>
      <x:c r="AC179" s="32" t="str">
        <x:f>IF(S179=0,"0%",IF(S179&lt;0.5,"1-49%",IF(S179&lt;0.8,"50-79%",IF(S179&lt;1,"80-99%","100%"))))</x:f>
        <x:v>100%</x:v>
      </x:c>
      <x:c r="AD179" s="33" t="str">
        <x:f>IF(G179&lt;0,"Stock negativo",IF(G179&lt;=0,"Sin stock actual",IF(I179&lt;=0,"Sin ventas desde compra",IF(Q179&lt;=0,"Con stock, sin ventas 365d",IF(S179&lt;0.5,"Rotación baja",IF(S179&lt;1,"Rotación media","Compra absorbida; stock repuesto"))))))</x:f>
        <x:v>Con stock, sin ventas 365d</x:v>
      </x:c>
    </x:row>
    <x:row r="180">
      <x:c r="A180" s="31" t="str">
        <x:v>14401178000</x:v>
      </x:c>
      <x:c r="B180" s="53" t="str">
        <x:v>CADENILLA ECO 100 GENZO</x:v>
      </x:c>
      <x:c r="C180" s="32" t="n">
        <x:v>1</x:v>
      </x:c>
      <x:c r="D180" s="38" t="n">
        <x:v>2</x:v>
      </x:c>
      <x:c r="E180" s="44" t="n">
        <x:v>10000</x:v>
      </x:c>
      <x:c r="F180" s="44" t="n">
        <x:v>20000</x:v>
      </x:c>
      <x:c r="G180" s="41" t="n">
        <x:v>0</x:v>
      </x:c>
      <x:c r="H180" s="44" t="n">
        <x:f>MAX(G180,0)*E180</x:f>
        <x:v>0</x:v>
      </x:c>
      <x:c r="I180" s="38" t="n">
        <x:v>2</x:v>
      </x:c>
      <x:c r="J180" s="44" t="n">
        <x:v>32000</x:v>
      </x:c>
      <x:c r="K180" s="32" t="n">
        <x:v>2</x:v>
      </x:c>
      <x:c r="L180" s="50" t="n">
        <x:v>45542.925</x:v>
      </x:c>
      <x:c r="M180" s="50" t="n">
        <x:v>45769.836168981485</x:v>
      </x:c>
      <x:c r="N180" s="32" t="n">
        <x:f>IF(M180="","",MAX(0,'Resumen'!$B$3-M180))</x:f>
        <x:v>497.16383101851534</x:v>
      </x:c>
      <x:c r="O180" s="38" t="n">
        <x:v>0</x:v>
      </x:c>
      <x:c r="P180" s="38" t="n">
        <x:v>0</x:v>
      </x:c>
      <x:c r="Q180" s="38" t="n">
        <x:v>0</x:v>
      </x:c>
      <x:c r="R180" s="38" t="n">
        <x:f>MIN(D180,I180)</x:f>
        <x:v>2</x:v>
      </x:c>
      <x:c r="S180" s="47" t="n">
        <x:f>IFERROR(R180/D180,0)</x:f>
        <x:v>1</x:v>
      </x:c>
      <x:c r="T180" s="38" t="n">
        <x:f>MIN(MAX(G180,0),MAX(D180-I180,0))</x:f>
        <x:v>0</x:v>
      </x:c>
      <x:c r="U180" s="44" t="n">
        <x:f>T180*E180</x:f>
        <x:v>0</x:v>
      </x:c>
      <x:c r="V180" s="38" t="n">
        <x:v>0</x:v>
      </x:c>
      <x:c r="W180" s="32" t="n">
        <x:v>0</x:v>
      </x:c>
      <x:c r="X180" s="50"/>
      <x:c r="Y180" s="44" t="n">
        <x:v>17000</x:v>
      </x:c>
      <x:c r="Z180" s="44" t="n">
        <x:f>IF(I180&gt;0,R180*(J180/I180),0)</x:f>
        <x:v>32000</x:v>
      </x:c>
      <x:c r="AA180" s="44" t="n">
        <x:f>Z180-(R180*E180)</x:f>
        <x:v>12000</x:v>
      </x:c>
      <x:c r="AB180" s="47" t="n">
        <x:f>IFERROR(AA180/Z180,0)</x:f>
        <x:v>0.375</x:v>
      </x:c>
      <x:c r="AC180" s="32" t="str">
        <x:f>IF(S180=0,"0%",IF(S180&lt;0.5,"1-49%",IF(S180&lt;0.8,"50-79%",IF(S180&lt;1,"80-99%","100%"))))</x:f>
        <x:v>100%</x:v>
      </x:c>
      <x:c r="AD180" s="33" t="str">
        <x:f>IF(G180&lt;0,"Stock negativo",IF(G180&lt;=0,"Sin stock actual",IF(I180&lt;=0,"Sin ventas desde compra",IF(Q180&lt;=0,"Con stock, sin ventas 365d",IF(S180&lt;0.5,"Rotación baja",IF(S180&lt;1,"Rotación media","Compra absorbida; stock repuesto"))))))</x:f>
        <x:v>Sin stock actual</x:v>
      </x:c>
    </x:row>
    <x:row r="181">
      <x:c r="A181" s="31" t="str">
        <x:v>4141011</x:v>
      </x:c>
      <x:c r="B181" s="53" t="str">
        <x:v>REPOSA PIE TRA ECO / SPLENDOR PAR FABRIPARTES</x:v>
      </x:c>
      <x:c r="C181" s="32" t="n">
        <x:v>1</x:v>
      </x:c>
      <x:c r="D181" s="38" t="n">
        <x:v>2</x:v>
      </x:c>
      <x:c r="E181" s="44" t="n">
        <x:v>10000</x:v>
      </x:c>
      <x:c r="F181" s="44" t="n">
        <x:v>20000</x:v>
      </x:c>
      <x:c r="G181" s="41" t="n">
        <x:v>1</x:v>
      </x:c>
      <x:c r="H181" s="44" t="n">
        <x:f>MAX(G181,0)*E181</x:f>
        <x:v>10000</x:v>
      </x:c>
      <x:c r="I181" s="38" t="n">
        <x:v>1</x:v>
      </x:c>
      <x:c r="J181" s="44" t="n">
        <x:v>12000</x:v>
      </x:c>
      <x:c r="K181" s="32" t="n">
        <x:v>1</x:v>
      </x:c>
      <x:c r="L181" s="50" t="n">
        <x:v>45588.72069444445</x:v>
      </x:c>
      <x:c r="M181" s="50" t="n">
        <x:v>45588.72069444445</x:v>
      </x:c>
      <x:c r="N181" s="32" t="n">
        <x:f>IF(M181="","",MAX(0,'Resumen'!$B$3-M181))</x:f>
        <x:v>678.2793055555521</x:v>
      </x:c>
      <x:c r="O181" s="38" t="n">
        <x:v>0</x:v>
      </x:c>
      <x:c r="P181" s="38" t="n">
        <x:v>0</x:v>
      </x:c>
      <x:c r="Q181" s="38" t="n">
        <x:v>0</x:v>
      </x:c>
      <x:c r="R181" s="38" t="n">
        <x:f>MIN(D181,I181)</x:f>
        <x:v>1</x:v>
      </x:c>
      <x:c r="S181" s="47" t="n">
        <x:f>IFERROR(R181/D181,0)</x:f>
        <x:v>0.5</x:v>
      </x:c>
      <x:c r="T181" s="38" t="n">
        <x:f>MIN(MAX(G181,0),MAX(D181-I181,0))</x:f>
        <x:v>1</x:v>
      </x:c>
      <x:c r="U181" s="44" t="n">
        <x:f>T181*E181</x:f>
        <x:v>10000</x:v>
      </x:c>
      <x:c r="V181" s="38" t="n">
        <x:v>0</x:v>
      </x:c>
      <x:c r="W181" s="32" t="n">
        <x:v>0</x:v>
      </x:c>
      <x:c r="X181" s="50"/>
      <x:c r="Y181" s="44" t="n">
        <x:v>17000</x:v>
      </x:c>
      <x:c r="Z181" s="44" t="n">
        <x:f>IF(I181&gt;0,R181*(J181/I181),0)</x:f>
        <x:v>12000</x:v>
      </x:c>
      <x:c r="AA181" s="44" t="n">
        <x:f>Z181-(R181*E181)</x:f>
        <x:v>2000</x:v>
      </x:c>
      <x:c r="AB181" s="47" t="n">
        <x:f>IFERROR(AA181/Z181,0)</x:f>
        <x:v>0.16666666666666666</x:v>
      </x:c>
      <x:c r="AC181" s="32" t="str">
        <x:f>IF(S181=0,"0%",IF(S181&lt;0.5,"1-49%",IF(S181&lt;0.8,"50-79%",IF(S181&lt;1,"80-99%","100%"))))</x:f>
        <x:v>50-79%</x:v>
      </x:c>
      <x:c r="AD181" s="33" t="str">
        <x:f>IF(G181&lt;0,"Stock negativo",IF(G181&lt;=0,"Sin stock actual",IF(I181&lt;=0,"Sin ventas desde compra",IF(Q181&lt;=0,"Con stock, sin ventas 365d",IF(S181&lt;0.5,"Rotación baja",IF(S181&lt;1,"Rotación media","Compra absorbida; stock repuesto"))))))</x:f>
        <x:v>Con stock, sin ventas 365d</x:v>
      </x:c>
    </x:row>
    <x:row r="182">
      <x:c r="A182" s="31" t="str">
        <x:v>600010500</x:v>
      </x:c>
      <x:c r="B182" s="53" t="str">
        <x:v>BUJE PORTA CATALINA C/TUERCA X2 PCS ECO GENINEPARTS</x:v>
      </x:c>
      <x:c r="C182" s="32" t="n">
        <x:v>1</x:v>
      </x:c>
      <x:c r="D182" s="38" t="n">
        <x:v>4</x:v>
      </x:c>
      <x:c r="E182" s="44" t="n">
        <x:v>5000</x:v>
      </x:c>
      <x:c r="F182" s="44" t="n">
        <x:v>20000</x:v>
      </x:c>
      <x:c r="G182" s="41" t="n">
        <x:v>0</x:v>
      </x:c>
      <x:c r="H182" s="44" t="n">
        <x:f>MAX(G182,0)*E182</x:f>
        <x:v>0</x:v>
      </x:c>
      <x:c r="I182" s="38" t="n">
        <x:v>4</x:v>
      </x:c>
      <x:c r="J182" s="44" t="n">
        <x:v>33500</x:v>
      </x:c>
      <x:c r="K182" s="32" t="n">
        <x:v>4</x:v>
      </x:c>
      <x:c r="L182" s="50" t="n">
        <x:v>45597.555925925924</x:v>
      </x:c>
      <x:c r="M182" s="50" t="n">
        <x:v>45696.63246527778</x:v>
      </x:c>
      <x:c r="N182" s="32" t="n">
        <x:f>IF(M182="","",MAX(0,'Resumen'!$B$3-M182))</x:f>
        <x:v>570.3675347222234</x:v>
      </x:c>
      <x:c r="O182" s="38" t="n">
        <x:v>0</x:v>
      </x:c>
      <x:c r="P182" s="38" t="n">
        <x:v>0</x:v>
      </x:c>
      <x:c r="Q182" s="38" t="n">
        <x:v>0</x:v>
      </x:c>
      <x:c r="R182" s="38" t="n">
        <x:f>MIN(D182,I182)</x:f>
        <x:v>4</x:v>
      </x:c>
      <x:c r="S182" s="47" t="n">
        <x:f>IFERROR(R182/D182,0)</x:f>
        <x:v>1</x:v>
      </x:c>
      <x:c r="T182" s="38" t="n">
        <x:f>MIN(MAX(G182,0),MAX(D182-I182,0))</x:f>
        <x:v>0</x:v>
      </x:c>
      <x:c r="U182" s="44" t="n">
        <x:f>T182*E182</x:f>
        <x:v>0</x:v>
      </x:c>
      <x:c r="V182" s="38" t="n">
        <x:v>0</x:v>
      </x:c>
      <x:c r="W182" s="32" t="n">
        <x:v>0</x:v>
      </x:c>
      <x:c r="X182" s="50"/>
      <x:c r="Y182" s="44" t="n">
        <x:v>8500</x:v>
      </x:c>
      <x:c r="Z182" s="44" t="n">
        <x:f>IF(I182&gt;0,R182*(J182/I182),0)</x:f>
        <x:v>33500</x:v>
      </x:c>
      <x:c r="AA182" s="44" t="n">
        <x:f>Z182-(R182*E182)</x:f>
        <x:v>13500</x:v>
      </x:c>
      <x:c r="AB182" s="47" t="n">
        <x:f>IFERROR(AA182/Z182,0)</x:f>
        <x:v>0.40298507462686567</x:v>
      </x:c>
      <x:c r="AC182" s="32" t="str">
        <x:f>IF(S182=0,"0%",IF(S182&lt;0.5,"1-49%",IF(S182&lt;0.8,"50-79%",IF(S182&lt;1,"80-99%","100%"))))</x:f>
        <x:v>100%</x:v>
      </x:c>
      <x:c r="AD182" s="33" t="str">
        <x:f>IF(G182&lt;0,"Stock negativo",IF(G182&lt;=0,"Sin stock actual",IF(I182&lt;=0,"Sin ventas desde compra",IF(Q182&lt;=0,"Con stock, sin ventas 365d",IF(S182&lt;0.5,"Rotación baja",IF(S182&lt;1,"Rotación media","Compra absorbida; stock repuesto"))))))</x:f>
        <x:v>Sin stock actual</x:v>
      </x:c>
    </x:row>
    <x:row r="183">
      <x:c r="A183" s="31" t="str">
        <x:v>60187</x:v>
      </x:c>
      <x:c r="B183" s="53" t="str">
        <x:v>GUAYA ACELERADOR XLR 125 GUAYAS Y PARTES</x:v>
      </x:c>
      <x:c r="C183" s="32" t="n">
        <x:v>1</x:v>
      </x:c>
      <x:c r="D183" s="38" t="n">
        <x:v>4</x:v>
      </x:c>
      <x:c r="E183" s="44" t="n">
        <x:v>5000</x:v>
      </x:c>
      <x:c r="F183" s="44" t="n">
        <x:v>20000</x:v>
      </x:c>
      <x:c r="G183" s="41" t="n">
        <x:v>4</x:v>
      </x:c>
      <x:c r="H183" s="44" t="n">
        <x:f>MAX(G183,0)*E183</x:f>
        <x:v>20000</x:v>
      </x:c>
      <x:c r="I183" s="38" t="n">
        <x:v>0</x:v>
      </x:c>
      <x:c r="J183" s="44" t="n">
        <x:v>0</x:v>
      </x:c>
      <x:c r="K183" s="32" t="n">
        <x:v>0</x:v>
      </x:c>
      <x:c r="L183" s="50"/>
      <x:c r="M183" s="50"/>
      <x:c r="N183" s="32" t="str">
        <x:f>IF(M183="","",MAX(0,'Resumen'!$B$3-M183))</x:f>
      </x:c>
      <x:c r="O183" s="38" t="n">
        <x:v>0</x:v>
      </x:c>
      <x:c r="P183" s="38" t="n">
        <x:v>0</x:v>
      </x:c>
      <x:c r="Q183" s="38" t="n">
        <x:v>0</x:v>
      </x:c>
      <x:c r="R183" s="38" t="n">
        <x:f>MIN(D183,I183)</x:f>
        <x:v>0</x:v>
      </x:c>
      <x:c r="S183" s="47" t="n">
        <x:f>IFERROR(R183/D183,0)</x:f>
        <x:v>0</x:v>
      </x:c>
      <x:c r="T183" s="38" t="n">
        <x:f>MIN(MAX(G183,0),MAX(D183-I183,0))</x:f>
        <x:v>4</x:v>
      </x:c>
      <x:c r="U183" s="44" t="n">
        <x:f>T183*E183</x:f>
        <x:v>20000</x:v>
      </x:c>
      <x:c r="V183" s="38" t="n">
        <x:v>0</x:v>
      </x:c>
      <x:c r="W183" s="32" t="n">
        <x:v>0</x:v>
      </x:c>
      <x:c r="X183" s="50"/>
      <x:c r="Y183" s="44" t="n">
        <x:v>8500</x:v>
      </x:c>
      <x:c r="Z183" s="44" t="n">
        <x:f>IF(I183&gt;0,R183*(J183/I183),0)</x:f>
        <x:v>0</x:v>
      </x:c>
      <x:c r="AA183" s="44" t="n">
        <x:f>Z183-(R183*E183)</x:f>
        <x:v>0</x:v>
      </x:c>
      <x:c r="AB183" s="47" t="n">
        <x:f>IFERROR(AA183/Z183,0)</x:f>
        <x:v>0</x:v>
      </x:c>
      <x:c r="AC183" s="32" t="str">
        <x:f>IF(S183=0,"0%",IF(S183&lt;0.5,"1-49%",IF(S183&lt;0.8,"50-79%",IF(S183&lt;1,"80-99%","100%"))))</x:f>
        <x:v>0%</x:v>
      </x:c>
      <x:c r="AD183" s="33" t="str">
        <x:f>IF(G183&lt;0,"Stock negativo",IF(G183&lt;=0,"Sin stock actual",IF(I183&lt;=0,"Sin ventas desde compra",IF(Q183&lt;=0,"Con stock, sin ventas 365d",IF(S183&lt;0.5,"Rotación baja",IF(S183&lt;1,"Rotación media","Compra absorbida; stock repuesto"))))))</x:f>
        <x:v>Sin ventas desde compra</x:v>
      </x:c>
    </x:row>
    <x:row r="184">
      <x:c r="A184" s="31" t="str">
        <x:v>A181B</x:v>
      </x:c>
      <x:c r="B184" s="53" t="str">
        <x:v>EMPAQUE TAPA CLUCTH CLUCTH FZ 16 EMP AMERICA</x:v>
      </x:c>
      <x:c r="C184" s="32" t="n">
        <x:v>1</x:v>
      </x:c>
      <x:c r="D184" s="38" t="n">
        <x:v>10</x:v>
      </x:c>
      <x:c r="E184" s="44" t="n">
        <x:v>2000</x:v>
      </x:c>
      <x:c r="F184" s="44" t="n">
        <x:v>20000</x:v>
      </x:c>
      <x:c r="G184" s="41" t="n">
        <x:v>3</x:v>
      </x:c>
      <x:c r="H184" s="44" t="n">
        <x:f>MAX(G184,0)*E184</x:f>
        <x:v>6000</x:v>
      </x:c>
      <x:c r="I184" s="38" t="n">
        <x:v>7</x:v>
      </x:c>
      <x:c r="J184" s="44" t="n">
        <x:v>24500</x:v>
      </x:c>
      <x:c r="K184" s="32" t="n">
        <x:v>7</x:v>
      </x:c>
      <x:c r="L184" s="50" t="n">
        <x:v>45505.57177083333</x:v>
      </x:c>
      <x:c r="M184" s="50" t="n">
        <x:v>46027.7977662037</x:v>
      </x:c>
      <x:c r="N184" s="32" t="n">
        <x:f>IF(M184="","",MAX(0,'Resumen'!$B$3-M184))</x:f>
        <x:v>239.20223379629897</x:v>
      </x:c>
      <x:c r="O184" s="38" t="n">
        <x:v>0</x:v>
      </x:c>
      <x:c r="P184" s="38" t="n">
        <x:v>0</x:v>
      </x:c>
      <x:c r="Q184" s="38" t="n">
        <x:v>2</x:v>
      </x:c>
      <x:c r="R184" s="38" t="n">
        <x:f>MIN(D184,I184)</x:f>
        <x:v>7</x:v>
      </x:c>
      <x:c r="S184" s="47" t="n">
        <x:f>IFERROR(R184/D184,0)</x:f>
        <x:v>0.7</x:v>
      </x:c>
      <x:c r="T184" s="38" t="n">
        <x:f>MIN(MAX(G184,0),MAX(D184-I184,0))</x:f>
        <x:v>3</x:v>
      </x:c>
      <x:c r="U184" s="44" t="n">
        <x:f>T184*E184</x:f>
        <x:v>6000</x:v>
      </x:c>
      <x:c r="V184" s="38" t="n">
        <x:v>0</x:v>
      </x:c>
      <x:c r="W184" s="32" t="n">
        <x:v>0</x:v>
      </x:c>
      <x:c r="X184" s="50"/>
      <x:c r="Y184" s="44" t="n">
        <x:v>3500</x:v>
      </x:c>
      <x:c r="Z184" s="44" t="n">
        <x:f>IF(I184&gt;0,R184*(J184/I184),0)</x:f>
        <x:v>24500</x:v>
      </x:c>
      <x:c r="AA184" s="44" t="n">
        <x:f>Z184-(R184*E184)</x:f>
        <x:v>10500</x:v>
      </x:c>
      <x:c r="AB184" s="47" t="n">
        <x:f>IFERROR(AA184/Z184,0)</x:f>
        <x:v>0.42857142857142855</x:v>
      </x:c>
      <x:c r="AC184" s="32" t="str">
        <x:f>IF(S184=0,"0%",IF(S184&lt;0.5,"1-49%",IF(S184&lt;0.8,"50-79%",IF(S184&lt;1,"80-99%","100%"))))</x:f>
        <x:v>50-79%</x:v>
      </x:c>
      <x:c r="AD184" s="33" t="str">
        <x:f>IF(G184&lt;0,"Stock negativo",IF(G184&lt;=0,"Sin stock actual",IF(I184&lt;=0,"Sin ventas desde compra",IF(Q184&lt;=0,"Con stock, sin ventas 365d",IF(S184&lt;0.5,"Rotación baja",IF(S184&lt;1,"Rotación media","Compra absorbida; stock repuesto"))))))</x:f>
        <x:v>Rotación media</x:v>
      </x:c>
    </x:row>
    <x:row r="185">
      <x:c r="A185" s="31" t="str">
        <x:v>CAD-041</x:v>
      </x:c>
      <x:c r="B185" s="53" t="str">
        <x:v>CADENILLA CB 110X88 HONDA</x:v>
      </x:c>
      <x:c r="C185" s="32" t="n">
        <x:v>1</x:v>
      </x:c>
      <x:c r="D185" s="38" t="n">
        <x:v>2</x:v>
      </x:c>
      <x:c r="E185" s="44" t="n">
        <x:v>10000</x:v>
      </x:c>
      <x:c r="F185" s="44" t="n">
        <x:v>20000</x:v>
      </x:c>
      <x:c r="G185" s="41" t="n">
        <x:v>2</x:v>
      </x:c>
      <x:c r="H185" s="44" t="n">
        <x:f>MAX(G185,0)*E185</x:f>
        <x:v>20000</x:v>
      </x:c>
      <x:c r="I185" s="38" t="n">
        <x:v>1</x:v>
      </x:c>
      <x:c r="J185" s="44" t="n">
        <x:v>17000</x:v>
      </x:c>
      <x:c r="K185" s="32" t="n">
        <x:v>1</x:v>
      </x:c>
      <x:c r="L185" s="50" t="n">
        <x:v>45631.585277777776</x:v>
      </x:c>
      <x:c r="M185" s="50" t="n">
        <x:v>45631.585277777776</x:v>
      </x:c>
      <x:c r="N185" s="32" t="n">
        <x:f>IF(M185="","",MAX(0,'Resumen'!$B$3-M185))</x:f>
        <x:v>635.4147222222236</x:v>
      </x:c>
      <x:c r="O185" s="38" t="n">
        <x:v>0</x:v>
      </x:c>
      <x:c r="P185" s="38" t="n">
        <x:v>0</x:v>
      </x:c>
      <x:c r="Q185" s="38" t="n">
        <x:v>0</x:v>
      </x:c>
      <x:c r="R185" s="38" t="n">
        <x:f>MIN(D185,I185)</x:f>
        <x:v>1</x:v>
      </x:c>
      <x:c r="S185" s="47" t="n">
        <x:f>IFERROR(R185/D185,0)</x:f>
        <x:v>0.5</x:v>
      </x:c>
      <x:c r="T185" s="38" t="n">
        <x:f>MIN(MAX(G185,0),MAX(D185-I185,0))</x:f>
        <x:v>1</x:v>
      </x:c>
      <x:c r="U185" s="44" t="n">
        <x:f>T185*E185</x:f>
        <x:v>10000</x:v>
      </x:c>
      <x:c r="V185" s="38" t="n">
        <x:v>1</x:v>
      </x:c>
      <x:c r="W185" s="32" t="n">
        <x:v>1</x:v>
      </x:c>
      <x:c r="X185" s="50" t="n">
        <x:v>45671</x:v>
      </x:c>
      <x:c r="Y185" s="44" t="n">
        <x:v>17000</x:v>
      </x:c>
      <x:c r="Z185" s="44" t="n">
        <x:f>IF(I185&gt;0,R185*(J185/I185),0)</x:f>
        <x:v>17000</x:v>
      </x:c>
      <x:c r="AA185" s="44" t="n">
        <x:f>Z185-(R185*E185)</x:f>
        <x:v>7000</x:v>
      </x:c>
      <x:c r="AB185" s="47" t="n">
        <x:f>IFERROR(AA185/Z185,0)</x:f>
        <x:v>0.4117647058823529</x:v>
      </x:c>
      <x:c r="AC185" s="32" t="str">
        <x:f>IF(S185=0,"0%",IF(S185&lt;0.5,"1-49%",IF(S185&lt;0.8,"50-79%",IF(S185&lt;1,"80-99%","100%"))))</x:f>
        <x:v>50-79%</x:v>
      </x:c>
      <x:c r="AD185" s="33" t="str">
        <x:f>IF(G185&lt;0,"Stock negativo",IF(G185&lt;=0,"Sin stock actual",IF(I185&lt;=0,"Sin ventas desde compra",IF(Q185&lt;=0,"Con stock, sin ventas 365d",IF(S185&lt;0.5,"Rotación baja",IF(S185&lt;1,"Rotación media","Compra absorbida; stock repuesto"))))))</x:f>
        <x:v>Con stock, sin ventas 365d</x:v>
      </x:c>
    </x:row>
    <x:row r="186">
      <x:c r="A186" s="31" t="str">
        <x:v>MOTS1058</x:v>
      </x:c>
      <x:c r="B186" s="53" t="str">
        <x:v>RETEN 30-44-7</x:v>
      </x:c>
      <x:c r="C186" s="32" t="n">
        <x:v>1</x:v>
      </x:c>
      <x:c r="D186" s="38" t="n">
        <x:v>5</x:v>
      </x:c>
      <x:c r="E186" s="44" t="n">
        <x:v>4000</x:v>
      </x:c>
      <x:c r="F186" s="44" t="n">
        <x:v>20000</x:v>
      </x:c>
      <x:c r="G186" s="41" t="n">
        <x:v>5</x:v>
      </x:c>
      <x:c r="H186" s="44" t="n">
        <x:f>MAX(G186,0)*E186</x:f>
        <x:v>20000</x:v>
      </x:c>
      <x:c r="I186" s="38" t="n">
        <x:v>0</x:v>
      </x:c>
      <x:c r="J186" s="44" t="n">
        <x:v>0</x:v>
      </x:c>
      <x:c r="K186" s="32" t="n">
        <x:v>0</x:v>
      </x:c>
      <x:c r="L186" s="50"/>
      <x:c r="M186" s="50"/>
      <x:c r="N186" s="32" t="str">
        <x:f>IF(M186="","",MAX(0,'Resumen'!$B$3-M186))</x:f>
      </x:c>
      <x:c r="O186" s="38" t="n">
        <x:v>0</x:v>
      </x:c>
      <x:c r="P186" s="38" t="n">
        <x:v>0</x:v>
      </x:c>
      <x:c r="Q186" s="38" t="n">
        <x:v>0</x:v>
      </x:c>
      <x:c r="R186" s="38" t="n">
        <x:f>MIN(D186,I186)</x:f>
        <x:v>0</x:v>
      </x:c>
      <x:c r="S186" s="47" t="n">
        <x:f>IFERROR(R186/D186,0)</x:f>
        <x:v>0</x:v>
      </x:c>
      <x:c r="T186" s="38" t="n">
        <x:f>MIN(MAX(G186,0),MAX(D186-I186,0))</x:f>
        <x:v>5</x:v>
      </x:c>
      <x:c r="U186" s="44" t="n">
        <x:f>T186*E186</x:f>
        <x:v>20000</x:v>
      </x:c>
      <x:c r="V186" s="38" t="n">
        <x:v>0</x:v>
      </x:c>
      <x:c r="W186" s="32" t="n">
        <x:v>0</x:v>
      </x:c>
      <x:c r="X186" s="50"/>
      <x:c r="Y186" s="44" t="n">
        <x:v>7000</x:v>
      </x:c>
      <x:c r="Z186" s="44" t="n">
        <x:f>IF(I186&gt;0,R186*(J186/I186),0)</x:f>
        <x:v>0</x:v>
      </x:c>
      <x:c r="AA186" s="44" t="n">
        <x:f>Z186-(R186*E186)</x:f>
        <x:v>0</x:v>
      </x:c>
      <x:c r="AB186" s="47" t="n">
        <x:f>IFERROR(AA186/Z186,0)</x:f>
        <x:v>0</x:v>
      </x:c>
      <x:c r="AC186" s="32" t="str">
        <x:f>IF(S186=0,"0%",IF(S186&lt;0.5,"1-49%",IF(S186&lt;0.8,"50-79%",IF(S186&lt;1,"80-99%","100%"))))</x:f>
        <x:v>0%</x:v>
      </x:c>
      <x:c r="AD186" s="33" t="str">
        <x:f>IF(G186&lt;0,"Stock negativo",IF(G186&lt;=0,"Sin stock actual",IF(I186&lt;=0,"Sin ventas desde compra",IF(Q186&lt;=0,"Con stock, sin ventas 365d",IF(S186&lt;0.5,"Rotación baja",IF(S186&lt;1,"Rotación media","Compra absorbida; stock repuesto"))))))</x:f>
        <x:v>Sin ventas desde compra</x:v>
      </x:c>
    </x:row>
    <x:row r="187">
      <x:c r="A187" s="31" t="str">
        <x:v>MOTS1080</x:v>
      </x:c>
      <x:c r="B187" s="53" t="str">
        <x:v>RETEN 7-26-5-5</x:v>
      </x:c>
      <x:c r="C187" s="32" t="n">
        <x:v>1</x:v>
      </x:c>
      <x:c r="D187" s="38" t="n">
        <x:v>10</x:v>
      </x:c>
      <x:c r="E187" s="44" t="n">
        <x:v>2000</x:v>
      </x:c>
      <x:c r="F187" s="44" t="n">
        <x:v>20000</x:v>
      </x:c>
      <x:c r="G187" s="41" t="n">
        <x:v>10</x:v>
      </x:c>
      <x:c r="H187" s="44" t="n">
        <x:f>MAX(G187,0)*E187</x:f>
        <x:v>20000</x:v>
      </x:c>
      <x:c r="I187" s="38" t="n">
        <x:v>0</x:v>
      </x:c>
      <x:c r="J187" s="44" t="n">
        <x:v>0</x:v>
      </x:c>
      <x:c r="K187" s="32" t="n">
        <x:v>0</x:v>
      </x:c>
      <x:c r="L187" s="50"/>
      <x:c r="M187" s="50"/>
      <x:c r="N187" s="32" t="str">
        <x:f>IF(M187="","",MAX(0,'Resumen'!$B$3-M187))</x:f>
      </x:c>
      <x:c r="O187" s="38" t="n">
        <x:v>0</x:v>
      </x:c>
      <x:c r="P187" s="38" t="n">
        <x:v>0</x:v>
      </x:c>
      <x:c r="Q187" s="38" t="n">
        <x:v>0</x:v>
      </x:c>
      <x:c r="R187" s="38" t="n">
        <x:f>MIN(D187,I187)</x:f>
        <x:v>0</x:v>
      </x:c>
      <x:c r="S187" s="47" t="n">
        <x:f>IFERROR(R187/D187,0)</x:f>
        <x:v>0</x:v>
      </x:c>
      <x:c r="T187" s="38" t="n">
        <x:f>MIN(MAX(G187,0),MAX(D187-I187,0))</x:f>
        <x:v>10</x:v>
      </x:c>
      <x:c r="U187" s="44" t="n">
        <x:f>T187*E187</x:f>
        <x:v>20000</x:v>
      </x:c>
      <x:c r="V187" s="38" t="n">
        <x:v>0</x:v>
      </x:c>
      <x:c r="W187" s="32" t="n">
        <x:v>0</x:v>
      </x:c>
      <x:c r="X187" s="50"/>
      <x:c r="Y187" s="44" t="n">
        <x:v>3500</x:v>
      </x:c>
      <x:c r="Z187" s="44" t="n">
        <x:f>IF(I187&gt;0,R187*(J187/I187),0)</x:f>
        <x:v>0</x:v>
      </x:c>
      <x:c r="AA187" s="44" t="n">
        <x:f>Z187-(R187*E187)</x:f>
        <x:v>0</x:v>
      </x:c>
      <x:c r="AB187" s="47" t="n">
        <x:f>IFERROR(AA187/Z187,0)</x:f>
        <x:v>0</x:v>
      </x:c>
      <x:c r="AC187" s="32" t="str">
        <x:f>IF(S187=0,"0%",IF(S187&lt;0.5,"1-49%",IF(S187&lt;0.8,"50-79%",IF(S187&lt;1,"80-99%","100%"))))</x:f>
        <x:v>0%</x:v>
      </x:c>
      <x:c r="AD187" s="33" t="str">
        <x:f>IF(G187&lt;0,"Stock negativo",IF(G187&lt;=0,"Sin stock actual",IF(I187&lt;=0,"Sin ventas desde compra",IF(Q187&lt;=0,"Con stock, sin ventas 365d",IF(S187&lt;0.5,"Rotación baja",IF(S187&lt;1,"Rotación media","Compra absorbida; stock repuesto"))))))</x:f>
        <x:v>Sin ventas desde compra</x:v>
      </x:c>
    </x:row>
    <x:row r="188">
      <x:c r="A188" s="31" t="str">
        <x:v>MOTS1096</x:v>
      </x:c>
      <x:c r="B188" s="53" t="str">
        <x:v>RETEN 15-28-7</x:v>
      </x:c>
      <x:c r="C188" s="32" t="n">
        <x:v>1</x:v>
      </x:c>
      <x:c r="D188" s="38" t="n">
        <x:v>10</x:v>
      </x:c>
      <x:c r="E188" s="44" t="n">
        <x:v>2000</x:v>
      </x:c>
      <x:c r="F188" s="44" t="n">
        <x:v>20000</x:v>
      </x:c>
      <x:c r="G188" s="41" t="n">
        <x:v>10</x:v>
      </x:c>
      <x:c r="H188" s="44" t="n">
        <x:f>MAX(G188,0)*E188</x:f>
        <x:v>20000</x:v>
      </x:c>
      <x:c r="I188" s="38" t="n">
        <x:v>0</x:v>
      </x:c>
      <x:c r="J188" s="44" t="n">
        <x:v>0</x:v>
      </x:c>
      <x:c r="K188" s="32" t="n">
        <x:v>0</x:v>
      </x:c>
      <x:c r="L188" s="50"/>
      <x:c r="M188" s="50"/>
      <x:c r="N188" s="32" t="str">
        <x:f>IF(M188="","",MAX(0,'Resumen'!$B$3-M188))</x:f>
      </x:c>
      <x:c r="O188" s="38" t="n">
        <x:v>0</x:v>
      </x:c>
      <x:c r="P188" s="38" t="n">
        <x:v>0</x:v>
      </x:c>
      <x:c r="Q188" s="38" t="n">
        <x:v>0</x:v>
      </x:c>
      <x:c r="R188" s="38" t="n">
        <x:f>MIN(D188,I188)</x:f>
        <x:v>0</x:v>
      </x:c>
      <x:c r="S188" s="47" t="n">
        <x:f>IFERROR(R188/D188,0)</x:f>
        <x:v>0</x:v>
      </x:c>
      <x:c r="T188" s="38" t="n">
        <x:f>MIN(MAX(G188,0),MAX(D188-I188,0))</x:f>
        <x:v>10</x:v>
      </x:c>
      <x:c r="U188" s="44" t="n">
        <x:f>T188*E188</x:f>
        <x:v>20000</x:v>
      </x:c>
      <x:c r="V188" s="38" t="n">
        <x:v>0</x:v>
      </x:c>
      <x:c r="W188" s="32" t="n">
        <x:v>0</x:v>
      </x:c>
      <x:c r="X188" s="50"/>
      <x:c r="Y188" s="44" t="n">
        <x:v>3500</x:v>
      </x:c>
      <x:c r="Z188" s="44" t="n">
        <x:f>IF(I188&gt;0,R188*(J188/I188),0)</x:f>
        <x:v>0</x:v>
      </x:c>
      <x:c r="AA188" s="44" t="n">
        <x:f>Z188-(R188*E188)</x:f>
        <x:v>0</x:v>
      </x:c>
      <x:c r="AB188" s="47" t="n">
        <x:f>IFERROR(AA188/Z188,0)</x:f>
        <x:v>0</x:v>
      </x:c>
      <x:c r="AC188" s="32" t="str">
        <x:f>IF(S188=0,"0%",IF(S188&lt;0.5,"1-49%",IF(S188&lt;0.8,"50-79%",IF(S188&lt;1,"80-99%","100%"))))</x:f>
        <x:v>0%</x:v>
      </x:c>
      <x:c r="AD188" s="33" t="str">
        <x:f>IF(G188&lt;0,"Stock negativo",IF(G188&lt;=0,"Sin stock actual",IF(I188&lt;=0,"Sin ventas desde compra",IF(Q188&lt;=0,"Con stock, sin ventas 365d",IF(S188&lt;0.5,"Rotación baja",IF(S188&lt;1,"Rotación media","Compra absorbida; stock repuesto"))))))</x:f>
        <x:v>Sin ventas desde compra</x:v>
      </x:c>
    </x:row>
    <x:row r="189">
      <x:c r="A189" s="31" t="str">
        <x:v>MOTS1155</x:v>
      </x:c>
      <x:c r="B189" s="53" t="str">
        <x:v>CAUCHOS PATADACARIOS</x:v>
      </x:c>
      <x:c r="C189" s="32" t="n">
        <x:v>1</x:v>
      </x:c>
      <x:c r="D189" s="38" t="n">
        <x:v>20</x:v>
      </x:c>
      <x:c r="E189" s="44" t="n">
        <x:v>1000</x:v>
      </x:c>
      <x:c r="F189" s="44" t="n">
        <x:v>20000</x:v>
      </x:c>
      <x:c r="G189" s="41" t="n">
        <x:v>13</x:v>
      </x:c>
      <x:c r="H189" s="44" t="n">
        <x:f>MAX(G189,0)*E189</x:f>
        <x:v>13000</x:v>
      </x:c>
      <x:c r="I189" s="38" t="n">
        <x:v>7</x:v>
      </x:c>
      <x:c r="J189" s="44" t="n">
        <x:v>14000</x:v>
      </x:c>
      <x:c r="K189" s="32" t="n">
        <x:v>6</x:v>
      </x:c>
      <x:c r="L189" s="50" t="n">
        <x:v>45522.59364583333</x:v>
      </x:c>
      <x:c r="M189" s="50" t="n">
        <x:v>45682.693333333336</x:v>
      </x:c>
      <x:c r="N189" s="32" t="n">
        <x:f>IF(M189="","",MAX(0,'Resumen'!$B$3-M189))</x:f>
        <x:v>584.3066666666637</x:v>
      </x:c>
      <x:c r="O189" s="38" t="n">
        <x:v>0</x:v>
      </x:c>
      <x:c r="P189" s="38" t="n">
        <x:v>0</x:v>
      </x:c>
      <x:c r="Q189" s="38" t="n">
        <x:v>0</x:v>
      </x:c>
      <x:c r="R189" s="38" t="n">
        <x:f>MIN(D189,I189)</x:f>
        <x:v>7</x:v>
      </x:c>
      <x:c r="S189" s="47" t="n">
        <x:f>IFERROR(R189/D189,0)</x:f>
        <x:v>0.35</x:v>
      </x:c>
      <x:c r="T189" s="38" t="n">
        <x:f>MIN(MAX(G189,0),MAX(D189-I189,0))</x:f>
        <x:v>13</x:v>
      </x:c>
      <x:c r="U189" s="44" t="n">
        <x:f>T189*E189</x:f>
        <x:v>13000</x:v>
      </x:c>
      <x:c r="V189" s="38" t="n">
        <x:v>0</x:v>
      </x:c>
      <x:c r="W189" s="32" t="n">
        <x:v>0</x:v>
      </x:c>
      <x:c r="X189" s="50"/>
      <x:c r="Y189" s="44" t="n">
        <x:v>2000</x:v>
      </x:c>
      <x:c r="Z189" s="44" t="n">
        <x:f>IF(I189&gt;0,R189*(J189/I189),0)</x:f>
        <x:v>14000</x:v>
      </x:c>
      <x:c r="AA189" s="44" t="n">
        <x:f>Z189-(R189*E189)</x:f>
        <x:v>7000</x:v>
      </x:c>
      <x:c r="AB189" s="47" t="n">
        <x:f>IFERROR(AA189/Z189,0)</x:f>
        <x:v>0.5</x:v>
      </x:c>
      <x:c r="AC189" s="32" t="str">
        <x:f>IF(S189=0,"0%",IF(S189&lt;0.5,"1-49%",IF(S189&lt;0.8,"50-79%",IF(S189&lt;1,"80-99%","100%"))))</x:f>
        <x:v>1-49%</x:v>
      </x:c>
      <x:c r="AD189" s="33" t="str">
        <x:f>IF(G189&lt;0,"Stock negativo",IF(G189&lt;=0,"Sin stock actual",IF(I189&lt;=0,"Sin ventas desde compra",IF(Q189&lt;=0,"Con stock, sin ventas 365d",IF(S189&lt;0.5,"Rotación baja",IF(S189&lt;1,"Rotación media","Compra absorbida; stock repuesto"))))))</x:f>
        <x:v>Con stock, sin ventas 365d</x:v>
      </x:c>
    </x:row>
    <x:row r="190">
      <x:c r="A190" s="31" t="str">
        <x:v>MOTS1161</x:v>
      </x:c>
      <x:c r="B190" s="53" t="str">
        <x:v>ESPEJOS BWS ROSCA No. 10 PAR VEKTRA</x:v>
      </x:c>
      <x:c r="C190" s="32" t="n">
        <x:v>1</x:v>
      </x:c>
      <x:c r="D190" s="38" t="n">
        <x:v>2</x:v>
      </x:c>
      <x:c r="E190" s="44" t="n">
        <x:v>10000</x:v>
      </x:c>
      <x:c r="F190" s="44" t="n">
        <x:v>20000</x:v>
      </x:c>
      <x:c r="G190" s="41" t="n">
        <x:v>0</x:v>
      </x:c>
      <x:c r="H190" s="44" t="n">
        <x:f>MAX(G190,0)*E190</x:f>
        <x:v>0</x:v>
      </x:c>
      <x:c r="I190" s="38" t="n">
        <x:v>2</x:v>
      </x:c>
      <x:c r="J190" s="44" t="n">
        <x:v>34000</x:v>
      </x:c>
      <x:c r="K190" s="32" t="n">
        <x:v>2</x:v>
      </x:c>
      <x:c r="L190" s="50" t="n">
        <x:v>45529.019328703704</x:v>
      </x:c>
      <x:c r="M190" s="50" t="n">
        <x:v>45842.79628472222</x:v>
      </x:c>
      <x:c r="N190" s="32" t="n">
        <x:f>IF(M190="","",MAX(0,'Resumen'!$B$3-M190))</x:f>
        <x:v>424.2037152777775</x:v>
      </x:c>
      <x:c r="O190" s="38" t="n">
        <x:v>0</x:v>
      </x:c>
      <x:c r="P190" s="38" t="n">
        <x:v>0</x:v>
      </x:c>
      <x:c r="Q190" s="38" t="n">
        <x:v>0</x:v>
      </x:c>
      <x:c r="R190" s="38" t="n">
        <x:f>MIN(D190,I190)</x:f>
        <x:v>2</x:v>
      </x:c>
      <x:c r="S190" s="47" t="n">
        <x:f>IFERROR(R190/D190,0)</x:f>
        <x:v>1</x:v>
      </x:c>
      <x:c r="T190" s="38" t="n">
        <x:f>MIN(MAX(G190,0),MAX(D190-I190,0))</x:f>
        <x:v>0</x:v>
      </x:c>
      <x:c r="U190" s="44" t="n">
        <x:f>T190*E190</x:f>
        <x:v>0</x:v>
      </x:c>
      <x:c r="V190" s="38" t="n">
        <x:v>0</x:v>
      </x:c>
      <x:c r="W190" s="32" t="n">
        <x:v>0</x:v>
      </x:c>
      <x:c r="X190" s="50"/>
      <x:c r="Y190" s="44" t="n">
        <x:v>17000</x:v>
      </x:c>
      <x:c r="Z190" s="44" t="n">
        <x:f>IF(I190&gt;0,R190*(J190/I190),0)</x:f>
        <x:v>34000</x:v>
      </x:c>
      <x:c r="AA190" s="44" t="n">
        <x:f>Z190-(R190*E190)</x:f>
        <x:v>14000</x:v>
      </x:c>
      <x:c r="AB190" s="47" t="n">
        <x:f>IFERROR(AA190/Z190,0)</x:f>
        <x:v>0.4117647058823529</x:v>
      </x:c>
      <x:c r="AC190" s="32" t="str">
        <x:f>IF(S190=0,"0%",IF(S190&lt;0.5,"1-49%",IF(S190&lt;0.8,"50-79%",IF(S190&lt;1,"80-99%","100%"))))</x:f>
        <x:v>100%</x:v>
      </x:c>
      <x:c r="AD190" s="33" t="str">
        <x:f>IF(G190&lt;0,"Stock negativo",IF(G190&lt;=0,"Sin stock actual",IF(I190&lt;=0,"Sin ventas desde compra",IF(Q190&lt;=0,"Con stock, sin ventas 365d",IF(S190&lt;0.5,"Rotación baja",IF(S190&lt;1,"Rotación media","Compra absorbida; stock repuesto"))))))</x:f>
        <x:v>Sin stock actual</x:v>
      </x:c>
    </x:row>
    <x:row r="191">
      <x:c r="A191" s="31" t="str">
        <x:v>MOTS1233</x:v>
      </x:c>
      <x:c r="B191" s="53" t="str">
        <x:v>BALINERA 6000 2RS C3 KOYO</x:v>
      </x:c>
      <x:c r="C191" s="32" t="n">
        <x:v>1</x:v>
      </x:c>
      <x:c r="D191" s="38" t="n">
        <x:v>4</x:v>
      </x:c>
      <x:c r="E191" s="44" t="n">
        <x:v>5000</x:v>
      </x:c>
      <x:c r="F191" s="44" t="n">
        <x:v>20000</x:v>
      </x:c>
      <x:c r="G191" s="41" t="n">
        <x:v>0</x:v>
      </x:c>
      <x:c r="H191" s="44" t="n">
        <x:f>MAX(G191,0)*E191</x:f>
        <x:v>0</x:v>
      </x:c>
      <x:c r="I191" s="38" t="n">
        <x:v>4</x:v>
      </x:c>
      <x:c r="J191" s="44" t="n">
        <x:v>29000</x:v>
      </x:c>
      <x:c r="K191" s="32" t="n">
        <x:v>3</x:v>
      </x:c>
      <x:c r="L191" s="50" t="n">
        <x:v>45577.575</x:v>
      </x:c>
      <x:c r="M191" s="50" t="n">
        <x:v>46105.77429398148</x:v>
      </x:c>
      <x:c r="N191" s="32" t="n">
        <x:f>IF(M191="","",MAX(0,'Resumen'!$B$3-M191))</x:f>
        <x:v>161.22570601852203</x:v>
      </x:c>
      <x:c r="O191" s="38" t="n">
        <x:v>0</x:v>
      </x:c>
      <x:c r="P191" s="38" t="n">
        <x:v>0</x:v>
      </x:c>
      <x:c r="Q191" s="38" t="n">
        <x:v>1</x:v>
      </x:c>
      <x:c r="R191" s="38" t="n">
        <x:f>MIN(D191,I191)</x:f>
        <x:v>4</x:v>
      </x:c>
      <x:c r="S191" s="47" t="n">
        <x:f>IFERROR(R191/D191,0)</x:f>
        <x:v>1</x:v>
      </x:c>
      <x:c r="T191" s="38" t="n">
        <x:f>MIN(MAX(G191,0),MAX(D191-I191,0))</x:f>
        <x:v>0</x:v>
      </x:c>
      <x:c r="U191" s="44" t="n">
        <x:f>T191*E191</x:f>
        <x:v>0</x:v>
      </x:c>
      <x:c r="V191" s="38" t="n">
        <x:v>0</x:v>
      </x:c>
      <x:c r="W191" s="32" t="n">
        <x:v>0</x:v>
      </x:c>
      <x:c r="X191" s="50"/>
      <x:c r="Y191" s="44" t="n">
        <x:v>8500</x:v>
      </x:c>
      <x:c r="Z191" s="44" t="n">
        <x:f>IF(I191&gt;0,R191*(J191/I191),0)</x:f>
        <x:v>29000</x:v>
      </x:c>
      <x:c r="AA191" s="44" t="n">
        <x:f>Z191-(R191*E191)</x:f>
        <x:v>9000</x:v>
      </x:c>
      <x:c r="AB191" s="47" t="n">
        <x:f>IFERROR(AA191/Z191,0)</x:f>
        <x:v>0.3103448275862069</x:v>
      </x:c>
      <x:c r="AC191" s="32" t="str">
        <x:f>IF(S191=0,"0%",IF(S191&lt;0.5,"1-49%",IF(S191&lt;0.8,"50-79%",IF(S191&lt;1,"80-99%","100%"))))</x:f>
        <x:v>100%</x:v>
      </x:c>
      <x:c r="AD191" s="33" t="str">
        <x:f>IF(G191&lt;0,"Stock negativo",IF(G191&lt;=0,"Sin stock actual",IF(I191&lt;=0,"Sin ventas desde compra",IF(Q191&lt;=0,"Con stock, sin ventas 365d",IF(S191&lt;0.5,"Rotación baja",IF(S191&lt;1,"Rotación media","Compra absorbida; stock repuesto"))))))</x:f>
        <x:v>Sin stock actual</x:v>
      </x:c>
    </x:row>
    <x:row r="192">
      <x:c r="A192" s="31" t="str">
        <x:v>MOTS1296</x:v>
      </x:c>
      <x:c r="B192" s="53" t="str">
        <x:v>CABLE ALTA METRO</x:v>
      </x:c>
      <x:c r="C192" s="32" t="n">
        <x:v>1</x:v>
      </x:c>
      <x:c r="D192" s="38" t="n">
        <x:v>32</x:v>
      </x:c>
      <x:c r="E192" s="44" t="n">
        <x:v>620</x:v>
      </x:c>
      <x:c r="F192" s="44" t="n">
        <x:v>19840</x:v>
      </x:c>
      <x:c r="G192" s="41" t="n">
        <x:v>7</x:v>
      </x:c>
      <x:c r="H192" s="44" t="n">
        <x:f>MAX(G192,0)*E192</x:f>
        <x:v>4340</x:v>
      </x:c>
      <x:c r="I192" s="38" t="n">
        <x:v>32</x:v>
      </x:c>
      <x:c r="J192" s="44" t="n">
        <x:v>77000</x:v>
      </x:c>
      <x:c r="K192" s="32" t="n">
        <x:v>20</x:v>
      </x:c>
      <x:c r="L192" s="50" t="n">
        <x:v>45518.70736111111</x:v>
      </x:c>
      <x:c r="M192" s="50" t="n">
        <x:v>46065.93635416667</x:v>
      </x:c>
      <x:c r="N192" s="32" t="n">
        <x:f>IF(M192="","",MAX(0,'Resumen'!$B$3-M192))</x:f>
        <x:v>201.06364583333198</x:v>
      </x:c>
      <x:c r="O192" s="38" t="n">
        <x:v>0</x:v>
      </x:c>
      <x:c r="P192" s="38" t="n">
        <x:v>0</x:v>
      </x:c>
      <x:c r="Q192" s="38" t="n">
        <x:v>5</x:v>
      </x:c>
      <x:c r="R192" s="38" t="n">
        <x:f>MIN(D192,I192)</x:f>
        <x:v>32</x:v>
      </x:c>
      <x:c r="S192" s="47" t="n">
        <x:f>IFERROR(R192/D192,0)</x:f>
        <x:v>1</x:v>
      </x:c>
      <x:c r="T192" s="38" t="n">
        <x:f>MIN(MAX(G192,0),MAX(D192-I192,0))</x:f>
        <x:v>0</x:v>
      </x:c>
      <x:c r="U192" s="44" t="n">
        <x:f>T192*E192</x:f>
        <x:v>0</x:v>
      </x:c>
      <x:c r="V192" s="38" t="n">
        <x:v>7</x:v>
      </x:c>
      <x:c r="W192" s="32" t="n">
        <x:v>5</x:v>
      </x:c>
      <x:c r="X192" s="50" t="n">
        <x:v>46065</x:v>
      </x:c>
      <x:c r="Y192" s="44" t="n">
        <x:v>2500</x:v>
      </x:c>
      <x:c r="Z192" s="44" t="n">
        <x:f>IF(I192&gt;0,R192*(J192/I192),0)</x:f>
        <x:v>77000</x:v>
      </x:c>
      <x:c r="AA192" s="44" t="n">
        <x:f>Z192-(R192*E192)</x:f>
        <x:v>57160</x:v>
      </x:c>
      <x:c r="AB192" s="47" t="n">
        <x:f>IFERROR(AA192/Z192,0)</x:f>
        <x:v>0.7423376623376623</x:v>
      </x:c>
      <x:c r="AC192" s="32" t="str">
        <x:f>IF(S192=0,"0%",IF(S192&lt;0.5,"1-49%",IF(S192&lt;0.8,"50-79%",IF(S192&lt;1,"80-99%","100%"))))</x:f>
        <x:v>100%</x:v>
      </x:c>
      <x:c r="AD192" s="33" t="str">
        <x:f>IF(G192&lt;0,"Stock negativo",IF(G192&lt;=0,"Sin stock actual",IF(I192&lt;=0,"Sin ventas desde compra",IF(Q192&lt;=0,"Con stock, sin ventas 365d",IF(S192&lt;0.5,"Rotación baja",IF(S192&lt;1,"Rotación media","Compra absorbida; stock repuesto"))))))</x:f>
        <x:v>Compra absorbida; stock repuesto</x:v>
      </x:c>
    </x:row>
    <x:row r="193">
      <x:c r="A193" s="31" t="str">
        <x:v>MOTS1202</x:v>
      </x:c>
      <x:c r="B193" s="53" t="str">
        <x:v>CADENA 420 -1/2 X 1/4 TECCHAM</x:v>
      </x:c>
      <x:c r="C193" s="32" t="n">
        <x:v>1</x:v>
      </x:c>
      <x:c r="D193" s="38" t="n">
        <x:v>1</x:v>
      </x:c>
      <x:c r="E193" s="44" t="n">
        <x:v>19800</x:v>
      </x:c>
      <x:c r="F193" s="44" t="n">
        <x:v>19800</x:v>
      </x:c>
      <x:c r="G193" s="41" t="n">
        <x:v>1</x:v>
      </x:c>
      <x:c r="H193" s="44" t="n">
        <x:f>MAX(G193,0)*E193</x:f>
        <x:v>19800</x:v>
      </x:c>
      <x:c r="I193" s="38" t="n">
        <x:v>0</x:v>
      </x:c>
      <x:c r="J193" s="44" t="n">
        <x:v>0</x:v>
      </x:c>
      <x:c r="K193" s="32" t="n">
        <x:v>0</x:v>
      </x:c>
      <x:c r="L193" s="50"/>
      <x:c r="M193" s="50"/>
      <x:c r="N193" s="32" t="str">
        <x:f>IF(M193="","",MAX(0,'Resumen'!$B$3-M193))</x:f>
      </x:c>
      <x:c r="O193" s="38" t="n">
        <x:v>0</x:v>
      </x:c>
      <x:c r="P193" s="38" t="n">
        <x:v>0</x:v>
      </x:c>
      <x:c r="Q193" s="38" t="n">
        <x:v>0</x:v>
      </x:c>
      <x:c r="R193" s="38" t="n">
        <x:f>MIN(D193,I193)</x:f>
        <x:v>0</x:v>
      </x:c>
      <x:c r="S193" s="47" t="n">
        <x:f>IFERROR(R193/D193,0)</x:f>
        <x:v>0</x:v>
      </x:c>
      <x:c r="T193" s="38" t="n">
        <x:f>MIN(MAX(G193,0),MAX(D193-I193,0))</x:f>
        <x:v>1</x:v>
      </x:c>
      <x:c r="U193" s="44" t="n">
        <x:f>T193*E193</x:f>
        <x:v>19800</x:v>
      </x:c>
      <x:c r="V193" s="38" t="n">
        <x:v>0</x:v>
      </x:c>
      <x:c r="W193" s="32" t="n">
        <x:v>0</x:v>
      </x:c>
      <x:c r="X193" s="50"/>
      <x:c r="Y193" s="44" t="n">
        <x:v>33000</x:v>
      </x:c>
      <x:c r="Z193" s="44" t="n">
        <x:f>IF(I193&gt;0,R193*(J193/I193),0)</x:f>
        <x:v>0</x:v>
      </x:c>
      <x:c r="AA193" s="44" t="n">
        <x:f>Z193-(R193*E193)</x:f>
        <x:v>0</x:v>
      </x:c>
      <x:c r="AB193" s="47" t="n">
        <x:f>IFERROR(AA193/Z193,0)</x:f>
        <x:v>0</x:v>
      </x:c>
      <x:c r="AC193" s="32" t="str">
        <x:f>IF(S193=0,"0%",IF(S193&lt;0.5,"1-49%",IF(S193&lt;0.8,"50-79%",IF(S193&lt;1,"80-99%","100%"))))</x:f>
        <x:v>0%</x:v>
      </x:c>
      <x:c r="AD193" s="33" t="str">
        <x:f>IF(G193&lt;0,"Stock negativo",IF(G193&lt;=0,"Sin stock actual",IF(I193&lt;=0,"Sin ventas desde compra",IF(Q193&lt;=0,"Con stock, sin ventas 365d",IF(S193&lt;0.5,"Rotación baja",IF(S193&lt;1,"Rotación media","Compra absorbida; stock repuesto"))))))</x:f>
        <x:v>Sin ventas desde compra</x:v>
      </x:c>
    </x:row>
    <x:row r="194">
      <x:c r="A194" s="31" t="str">
        <x:v>F211A</x:v>
      </x:c>
      <x:c r="B194" s="53" t="str">
        <x:v>KIT EMPAQUE COMPLETO ECO CON STAR GPP</x:v>
      </x:c>
      <x:c r="C194" s="32" t="n">
        <x:v>1</x:v>
      </x:c>
      <x:c r="D194" s="38" t="n">
        <x:v>1</x:v>
      </x:c>
      <x:c r="E194" s="44" t="n">
        <x:v>19500</x:v>
      </x:c>
      <x:c r="F194" s="44" t="n">
        <x:v>19500</x:v>
      </x:c>
      <x:c r="G194" s="41" t="n">
        <x:v>2</x:v>
      </x:c>
      <x:c r="H194" s="44" t="n">
        <x:f>MAX(G194,0)*E194</x:f>
        <x:v>39000</x:v>
      </x:c>
      <x:c r="I194" s="38" t="n">
        <x:v>1</x:v>
      </x:c>
      <x:c r="J194" s="44" t="n">
        <x:v>32500</x:v>
      </x:c>
      <x:c r="K194" s="32" t="n">
        <x:v>1</x:v>
      </x:c>
      <x:c r="L194" s="50" t="n">
        <x:v>45511.625231481485</x:v>
      </x:c>
      <x:c r="M194" s="50" t="n">
        <x:v>45511.625231481485</x:v>
      </x:c>
      <x:c r="N194" s="32" t="n">
        <x:f>IF(M194="","",MAX(0,'Resumen'!$B$3-M194))</x:f>
        <x:v>755.3747685185153</x:v>
      </x:c>
      <x:c r="O194" s="38" t="n">
        <x:v>0</x:v>
      </x:c>
      <x:c r="P194" s="38" t="n">
        <x:v>0</x:v>
      </x:c>
      <x:c r="Q194" s="38" t="n">
        <x:v>0</x:v>
      </x:c>
      <x:c r="R194" s="38" t="n">
        <x:f>MIN(D194,I194)</x:f>
        <x:v>1</x:v>
      </x:c>
      <x:c r="S194" s="47" t="n">
        <x:f>IFERROR(R194/D194,0)</x:f>
        <x:v>1</x:v>
      </x:c>
      <x:c r="T194" s="38" t="n">
        <x:f>MIN(MAX(G194,0),MAX(D194-I194,0))</x:f>
        <x:v>0</x:v>
      </x:c>
      <x:c r="U194" s="44" t="n">
        <x:f>T194*E194</x:f>
        <x:v>0</x:v>
      </x:c>
      <x:c r="V194" s="38" t="n">
        <x:v>2</x:v>
      </x:c>
      <x:c r="W194" s="32" t="n">
        <x:v>2</x:v>
      </x:c>
      <x:c r="X194" s="50" t="n">
        <x:v>45608</x:v>
      </x:c>
      <x:c r="Y194" s="44" t="n">
        <x:v>32500</x:v>
      </x:c>
      <x:c r="Z194" s="44" t="n">
        <x:f>IF(I194&gt;0,R194*(J194/I194),0)</x:f>
        <x:v>32500</x:v>
      </x:c>
      <x:c r="AA194" s="44" t="n">
        <x:f>Z194-(R194*E194)</x:f>
        <x:v>13000</x:v>
      </x:c>
      <x:c r="AB194" s="47" t="n">
        <x:f>IFERROR(AA194/Z194,0)</x:f>
        <x:v>0.4</x:v>
      </x:c>
      <x:c r="AC194" s="32" t="str">
        <x:f>IF(S194=0,"0%",IF(S194&lt;0.5,"1-49%",IF(S194&lt;0.8,"50-79%",IF(S194&lt;1,"80-99%","100%"))))</x:f>
        <x:v>100%</x:v>
      </x:c>
      <x:c r="AD194" s="33" t="str">
        <x:f>IF(G194&lt;0,"Stock negativo",IF(G194&lt;=0,"Sin stock actual",IF(I194&lt;=0,"Sin ventas desde compra",IF(Q194&lt;=0,"Con stock, sin ventas 365d",IF(S194&lt;0.5,"Rotación baja",IF(S194&lt;1,"Rotación media","Compra absorbida; stock repuesto"))))))</x:f>
        <x:v>Con stock, sin ventas 365d</x:v>
      </x:c>
    </x:row>
    <x:row r="195">
      <x:c r="A195" s="31" t="str">
        <x:v>87737025</x:v>
      </x:c>
      <x:c r="B195" s="53" t="str">
        <x:v>ESCOBILLAS ARRANQUE XR 150 L / CB 125 ROCHIN</x:v>
      </x:c>
      <x:c r="C195" s="32" t="n">
        <x:v>1</x:v>
      </x:c>
      <x:c r="D195" s="38" t="n">
        <x:v>2</x:v>
      </x:c>
      <x:c r="E195" s="44" t="n">
        <x:v>9600</x:v>
      </x:c>
      <x:c r="F195" s="44" t="n">
        <x:v>19200</x:v>
      </x:c>
      <x:c r="G195" s="41" t="n">
        <x:v>2</x:v>
      </x:c>
      <x:c r="H195" s="44" t="n">
        <x:f>MAX(G195,0)*E195</x:f>
        <x:v>19200</x:v>
      </x:c>
      <x:c r="I195" s="38" t="n">
        <x:v>0</x:v>
      </x:c>
      <x:c r="J195" s="44" t="n">
        <x:v>0</x:v>
      </x:c>
      <x:c r="K195" s="32" t="n">
        <x:v>0</x:v>
      </x:c>
      <x:c r="L195" s="50"/>
      <x:c r="M195" s="50"/>
      <x:c r="N195" s="32" t="str">
        <x:f>IF(M195="","",MAX(0,'Resumen'!$B$3-M195))</x:f>
      </x:c>
      <x:c r="O195" s="38" t="n">
        <x:v>0</x:v>
      </x:c>
      <x:c r="P195" s="38" t="n">
        <x:v>0</x:v>
      </x:c>
      <x:c r="Q195" s="38" t="n">
        <x:v>0</x:v>
      </x:c>
      <x:c r="R195" s="38" t="n">
        <x:f>MIN(D195,I195)</x:f>
        <x:v>0</x:v>
      </x:c>
      <x:c r="S195" s="47" t="n">
        <x:f>IFERROR(R195/D195,0)</x:f>
        <x:v>0</x:v>
      </x:c>
      <x:c r="T195" s="38" t="n">
        <x:f>MIN(MAX(G195,0),MAX(D195-I195,0))</x:f>
        <x:v>2</x:v>
      </x:c>
      <x:c r="U195" s="44" t="n">
        <x:f>T195*E195</x:f>
        <x:v>19200</x:v>
      </x:c>
      <x:c r="V195" s="38" t="n">
        <x:v>0</x:v>
      </x:c>
      <x:c r="W195" s="32" t="n">
        <x:v>0</x:v>
      </x:c>
      <x:c r="X195" s="50"/>
      <x:c r="Y195" s="44" t="n">
        <x:v>16000</x:v>
      </x:c>
      <x:c r="Z195" s="44" t="n">
        <x:f>IF(I195&gt;0,R195*(J195/I195),0)</x:f>
        <x:v>0</x:v>
      </x:c>
      <x:c r="AA195" s="44" t="n">
        <x:f>Z195-(R195*E195)</x:f>
        <x:v>0</x:v>
      </x:c>
      <x:c r="AB195" s="47" t="n">
        <x:f>IFERROR(AA195/Z195,0)</x:f>
        <x:v>0</x:v>
      </x:c>
      <x:c r="AC195" s="32" t="str">
        <x:f>IF(S195=0,"0%",IF(S195&lt;0.5,"1-49%",IF(S195&lt;0.8,"50-79%",IF(S195&lt;1,"80-99%","100%"))))</x:f>
        <x:v>0%</x:v>
      </x:c>
      <x:c r="AD195" s="33" t="str">
        <x:f>IF(G195&lt;0,"Stock negativo",IF(G195&lt;=0,"Sin stock actual",IF(I195&lt;=0,"Sin ventas desde compra",IF(Q195&lt;=0,"Con stock, sin ventas 365d",IF(S195&lt;0.5,"Rotación baja",IF(S195&lt;1,"Rotación media","Compra absorbida; stock repuesto"))))))</x:f>
        <x:v>Sin ventas desde compra</x:v>
      </x:c>
    </x:row>
    <x:row r="196">
      <x:c r="A196" s="31" t="str">
        <x:v>MOTS1032</x:v>
      </x:c>
      <x:c r="B196" s="53" t="str">
        <x:v>COMANDO IZQ XTZ 125 MOTOTEC</x:v>
      </x:c>
      <x:c r="C196" s="32" t="n">
        <x:v>1</x:v>
      </x:c>
      <x:c r="D196" s="38" t="n">
        <x:v>1</x:v>
      </x:c>
      <x:c r="E196" s="44" t="n">
        <x:v>19200</x:v>
      </x:c>
      <x:c r="F196" s="44" t="n">
        <x:v>19200</x:v>
      </x:c>
      <x:c r="G196" s="41" t="n">
        <x:v>0</x:v>
      </x:c>
      <x:c r="H196" s="44" t="n">
        <x:f>MAX(G196,0)*E196</x:f>
        <x:v>0</x:v>
      </x:c>
      <x:c r="I196" s="38" t="n">
        <x:v>1</x:v>
      </x:c>
      <x:c r="J196" s="44" t="n">
        <x:v>28000</x:v>
      </x:c>
      <x:c r="K196" s="32" t="n">
        <x:v>1</x:v>
      </x:c>
      <x:c r="L196" s="50" t="n">
        <x:v>45597.555925925924</x:v>
      </x:c>
      <x:c r="M196" s="50" t="n">
        <x:v>45597.555925925924</x:v>
      </x:c>
      <x:c r="N196" s="32" t="n">
        <x:f>IF(M196="","",MAX(0,'Resumen'!$B$3-M196))</x:f>
        <x:v>669.4440740740756</x:v>
      </x:c>
      <x:c r="O196" s="38" t="n">
        <x:v>0</x:v>
      </x:c>
      <x:c r="P196" s="38" t="n">
        <x:v>0</x:v>
      </x:c>
      <x:c r="Q196" s="38" t="n">
        <x:v>0</x:v>
      </x:c>
      <x:c r="R196" s="38" t="n">
        <x:f>MIN(D196,I196)</x:f>
        <x:v>1</x:v>
      </x:c>
      <x:c r="S196" s="47" t="n">
        <x:f>IFERROR(R196/D196,0)</x:f>
        <x:v>1</x:v>
      </x:c>
      <x:c r="T196" s="38" t="n">
        <x:f>MIN(MAX(G196,0),MAX(D196-I196,0))</x:f>
        <x:v>0</x:v>
      </x:c>
      <x:c r="U196" s="44" t="n">
        <x:f>T196*E196</x:f>
        <x:v>0</x:v>
      </x:c>
      <x:c r="V196" s="38" t="n">
        <x:v>0</x:v>
      </x:c>
      <x:c r="W196" s="32" t="n">
        <x:v>0</x:v>
      </x:c>
      <x:c r="X196" s="50"/>
      <x:c r="Y196" s="44" t="n">
        <x:v>32000</x:v>
      </x:c>
      <x:c r="Z196" s="44" t="n">
        <x:f>IF(I196&gt;0,R196*(J196/I196),0)</x:f>
        <x:v>28000</x:v>
      </x:c>
      <x:c r="AA196" s="44" t="n">
        <x:f>Z196-(R196*E196)</x:f>
        <x:v>8800</x:v>
      </x:c>
      <x:c r="AB196" s="47" t="n">
        <x:f>IFERROR(AA196/Z196,0)</x:f>
        <x:v>0.3142857142857143</x:v>
      </x:c>
      <x:c r="AC196" s="32" t="str">
        <x:f>IF(S196=0,"0%",IF(S196&lt;0.5,"1-49%",IF(S196&lt;0.8,"50-79%",IF(S196&lt;1,"80-99%","100%"))))</x:f>
        <x:v>100%</x:v>
      </x:c>
      <x:c r="AD196" s="33" t="str">
        <x:f>IF(G196&lt;0,"Stock negativo",IF(G196&lt;=0,"Sin stock actual",IF(I196&lt;=0,"Sin ventas desde compra",IF(Q196&lt;=0,"Con stock, sin ventas 365d",IF(S196&lt;0.5,"Rotación baja",IF(S196&lt;1,"Rotación media","Compra absorbida; stock repuesto"))))))</x:f>
        <x:v>Sin stock actual</x:v>
      </x:c>
    </x:row>
    <x:row r="197">
      <x:c r="A197" s="31" t="str">
        <x:v>27278</x:v>
      </x:c>
      <x:c r="B197" s="53" t="str">
        <x:v>CADENILLA CB 110 ANANT</x:v>
      </x:c>
      <x:c r="C197" s="32" t="n">
        <x:v>1</x:v>
      </x:c>
      <x:c r="D197" s="38" t="n">
        <x:v>2</x:v>
      </x:c>
      <x:c r="E197" s="44" t="n">
        <x:v>9500</x:v>
      </x:c>
      <x:c r="F197" s="44" t="n">
        <x:v>19000</x:v>
      </x:c>
      <x:c r="G197" s="41" t="n">
        <x:v>2</x:v>
      </x:c>
      <x:c r="H197" s="44" t="n">
        <x:f>MAX(G197,0)*E197</x:f>
        <x:v>19000</x:v>
      </x:c>
      <x:c r="I197" s="38" t="n">
        <x:v>0</x:v>
      </x:c>
      <x:c r="J197" s="44" t="n">
        <x:v>0</x:v>
      </x:c>
      <x:c r="K197" s="32" t="n">
        <x:v>0</x:v>
      </x:c>
      <x:c r="L197" s="50"/>
      <x:c r="M197" s="50"/>
      <x:c r="N197" s="32" t="str">
        <x:f>IF(M197="","",MAX(0,'Resumen'!$B$3-M197))</x:f>
      </x:c>
      <x:c r="O197" s="38" t="n">
        <x:v>0</x:v>
      </x:c>
      <x:c r="P197" s="38" t="n">
        <x:v>0</x:v>
      </x:c>
      <x:c r="Q197" s="38" t="n">
        <x:v>0</x:v>
      </x:c>
      <x:c r="R197" s="38" t="n">
        <x:f>MIN(D197,I197)</x:f>
        <x:v>0</x:v>
      </x:c>
      <x:c r="S197" s="47" t="n">
        <x:f>IFERROR(R197/D197,0)</x:f>
        <x:v>0</x:v>
      </x:c>
      <x:c r="T197" s="38" t="n">
        <x:f>MIN(MAX(G197,0),MAX(D197-I197,0))</x:f>
        <x:v>2</x:v>
      </x:c>
      <x:c r="U197" s="44" t="n">
        <x:f>T197*E197</x:f>
        <x:v>19000</x:v>
      </x:c>
      <x:c r="V197" s="38" t="n">
        <x:v>0</x:v>
      </x:c>
      <x:c r="W197" s="32" t="n">
        <x:v>0</x:v>
      </x:c>
      <x:c r="X197" s="50"/>
      <x:c r="Y197" s="44" t="n">
        <x:v>16000</x:v>
      </x:c>
      <x:c r="Z197" s="44" t="n">
        <x:f>IF(I197&gt;0,R197*(J197/I197),0)</x:f>
        <x:v>0</x:v>
      </x:c>
      <x:c r="AA197" s="44" t="n">
        <x:f>Z197-(R197*E197)</x:f>
        <x:v>0</x:v>
      </x:c>
      <x:c r="AB197" s="47" t="n">
        <x:f>IFERROR(AA197/Z197,0)</x:f>
        <x:v>0</x:v>
      </x:c>
      <x:c r="AC197" s="32" t="str">
        <x:f>IF(S197=0,"0%",IF(S197&lt;0.5,"1-49%",IF(S197&lt;0.8,"50-79%",IF(S197&lt;1,"80-99%","100%"))))</x:f>
        <x:v>0%</x:v>
      </x:c>
      <x:c r="AD197" s="33" t="str">
        <x:f>IF(G197&lt;0,"Stock negativo",IF(G197&lt;=0,"Sin stock actual",IF(I197&lt;=0,"Sin ventas desde compra",IF(Q197&lt;=0,"Con stock, sin ventas 365d",IF(S197&lt;0.5,"Rotación baja",IF(S197&lt;1,"Rotación media","Compra absorbida; stock repuesto"))))))</x:f>
        <x:v>Sin ventas desde compra</x:v>
      </x:c>
    </x:row>
    <x:row r="198">
      <x:c r="A198" s="31" t="str">
        <x:v>COM - O96</x:v>
      </x:c>
      <x:c r="B198" s="53" t="str">
        <x:v>COMANDO IZQUIERDO ECO HONDA</x:v>
      </x:c>
      <x:c r="C198" s="32" t="n">
        <x:v>1</x:v>
      </x:c>
      <x:c r="D198" s="38" t="n">
        <x:v>1</x:v>
      </x:c>
      <x:c r="E198" s="44" t="n">
        <x:v>19000</x:v>
      </x:c>
      <x:c r="F198" s="44" t="n">
        <x:v>19000</x:v>
      </x:c>
      <x:c r="G198" s="41" t="n">
        <x:v>1</x:v>
      </x:c>
      <x:c r="H198" s="44" t="n">
        <x:f>MAX(G198,0)*E198</x:f>
        <x:v>19000</x:v>
      </x:c>
      <x:c r="I198" s="38" t="n">
        <x:v>0</x:v>
      </x:c>
      <x:c r="J198" s="44" t="n">
        <x:v>0</x:v>
      </x:c>
      <x:c r="K198" s="32" t="n">
        <x:v>0</x:v>
      </x:c>
      <x:c r="L198" s="50"/>
      <x:c r="M198" s="50"/>
      <x:c r="N198" s="32" t="str">
        <x:f>IF(M198="","",MAX(0,'Resumen'!$B$3-M198))</x:f>
      </x:c>
      <x:c r="O198" s="38" t="n">
        <x:v>0</x:v>
      </x:c>
      <x:c r="P198" s="38" t="n">
        <x:v>0</x:v>
      </x:c>
      <x:c r="Q198" s="38" t="n">
        <x:v>0</x:v>
      </x:c>
      <x:c r="R198" s="38" t="n">
        <x:f>MIN(D198,I198)</x:f>
        <x:v>0</x:v>
      </x:c>
      <x:c r="S198" s="47" t="n">
        <x:f>IFERROR(R198/D198,0)</x:f>
        <x:v>0</x:v>
      </x:c>
      <x:c r="T198" s="38" t="n">
        <x:f>MIN(MAX(G198,0),MAX(D198-I198,0))</x:f>
        <x:v>1</x:v>
      </x:c>
      <x:c r="U198" s="44" t="n">
        <x:f>T198*E198</x:f>
        <x:v>19000</x:v>
      </x:c>
      <x:c r="V198" s="38" t="n">
        <x:v>0</x:v>
      </x:c>
      <x:c r="W198" s="32" t="n">
        <x:v>0</x:v>
      </x:c>
      <x:c r="X198" s="50"/>
      <x:c r="Y198" s="44" t="n">
        <x:v>32000</x:v>
      </x:c>
      <x:c r="Z198" s="44" t="n">
        <x:f>IF(I198&gt;0,R198*(J198/I198),0)</x:f>
        <x:v>0</x:v>
      </x:c>
      <x:c r="AA198" s="44" t="n">
        <x:f>Z198-(R198*E198)</x:f>
        <x:v>0</x:v>
      </x:c>
      <x:c r="AB198" s="47" t="n">
        <x:f>IFERROR(AA198/Z198,0)</x:f>
        <x:v>0</x:v>
      </x:c>
      <x:c r="AC198" s="32" t="str">
        <x:f>IF(S198=0,"0%",IF(S198&lt;0.5,"1-49%",IF(S198&lt;0.8,"50-79%",IF(S198&lt;1,"80-99%","100%"))))</x:f>
        <x:v>0%</x:v>
      </x:c>
      <x:c r="AD198" s="33" t="str">
        <x:f>IF(G198&lt;0,"Stock negativo",IF(G198&lt;=0,"Sin stock actual",IF(I198&lt;=0,"Sin ventas desde compra",IF(Q198&lt;=0,"Con stock, sin ventas 365d",IF(S198&lt;0.5,"Rotación baja",IF(S198&lt;1,"Rotación media","Compra absorbida; stock repuesto"))))))</x:f>
        <x:v>Sin ventas desde compra</x:v>
      </x:c>
    </x:row>
    <x:row r="199">
      <x:c r="A199" s="31" t="str">
        <x:v>MAR - 040</x:v>
      </x:c>
      <x:c r="B199" s="53" t="str">
        <x:v>RELAY ENCENDIDO UNIVERSAL BARAI</x:v>
      </x:c>
      <x:c r="C199" s="32" t="n">
        <x:v>1</x:v>
      </x:c>
      <x:c r="D199" s="38" t="n">
        <x:v>1</x:v>
      </x:c>
      <x:c r="E199" s="44" t="n">
        <x:v>19000</x:v>
      </x:c>
      <x:c r="F199" s="44" t="n">
        <x:v>19000</x:v>
      </x:c>
      <x:c r="G199" s="41" t="n">
        <x:v>0</x:v>
      </x:c>
      <x:c r="H199" s="44" t="n">
        <x:f>MAX(G199,0)*E199</x:f>
        <x:v>0</x:v>
      </x:c>
      <x:c r="I199" s="38" t="n">
        <x:v>1</x:v>
      </x:c>
      <x:c r="J199" s="44" t="n">
        <x:v>32000</x:v>
      </x:c>
      <x:c r="K199" s="32" t="n">
        <x:v>1</x:v>
      </x:c>
      <x:c r="L199" s="50" t="n">
        <x:v>45586.72980324074</x:v>
      </x:c>
      <x:c r="M199" s="50" t="n">
        <x:v>45586.72980324074</x:v>
      </x:c>
      <x:c r="N199" s="32" t="n">
        <x:f>IF(M199="","",MAX(0,'Resumen'!$B$3-M199))</x:f>
        <x:v>680.2701967592584</x:v>
      </x:c>
      <x:c r="O199" s="38" t="n">
        <x:v>0</x:v>
      </x:c>
      <x:c r="P199" s="38" t="n">
        <x:v>0</x:v>
      </x:c>
      <x:c r="Q199" s="38" t="n">
        <x:v>0</x:v>
      </x:c>
      <x:c r="R199" s="38" t="n">
        <x:f>MIN(D199,I199)</x:f>
        <x:v>1</x:v>
      </x:c>
      <x:c r="S199" s="47" t="n">
        <x:f>IFERROR(R199/D199,0)</x:f>
        <x:v>1</x:v>
      </x:c>
      <x:c r="T199" s="38" t="n">
        <x:f>MIN(MAX(G199,0),MAX(D199-I199,0))</x:f>
        <x:v>0</x:v>
      </x:c>
      <x:c r="U199" s="44" t="n">
        <x:f>T199*E199</x:f>
        <x:v>0</x:v>
      </x:c>
      <x:c r="V199" s="38" t="n">
        <x:v>0</x:v>
      </x:c>
      <x:c r="W199" s="32" t="n">
        <x:v>0</x:v>
      </x:c>
      <x:c r="X199" s="50"/>
      <x:c r="Y199" s="44" t="n">
        <x:v>32000</x:v>
      </x:c>
      <x:c r="Z199" s="44" t="n">
        <x:f>IF(I199&gt;0,R199*(J199/I199),0)</x:f>
        <x:v>32000</x:v>
      </x:c>
      <x:c r="AA199" s="44" t="n">
        <x:f>Z199-(R199*E199)</x:f>
        <x:v>13000</x:v>
      </x:c>
      <x:c r="AB199" s="47" t="n">
        <x:f>IFERROR(AA199/Z199,0)</x:f>
        <x:v>0.40625</x:v>
      </x:c>
      <x:c r="AC199" s="32" t="str">
        <x:f>IF(S199=0,"0%",IF(S199&lt;0.5,"1-49%",IF(S199&lt;0.8,"50-79%",IF(S199&lt;1,"80-99%","100%"))))</x:f>
        <x:v>100%</x:v>
      </x:c>
      <x:c r="AD199" s="33" t="str">
        <x:f>IF(G199&lt;0,"Stock negativo",IF(G199&lt;=0,"Sin stock actual",IF(I199&lt;=0,"Sin ventas desde compra",IF(Q199&lt;=0,"Con stock, sin ventas 365d",IF(S199&lt;0.5,"Rotación baja",IF(S199&lt;1,"Rotación media","Compra absorbida; stock repuesto"))))))</x:f>
        <x:v>Sin stock actual</x:v>
      </x:c>
    </x:row>
    <x:row r="200">
      <x:c r="A200" s="31" t="str">
        <x:v>A181A1</x:v>
      </x:c>
      <x:c r="B200" s="53" t="str">
        <x:v>KIT MEDIO FZ 16 EMP.  AMERICA</x:v>
      </x:c>
      <x:c r="C200" s="32" t="n">
        <x:v>1</x:v>
      </x:c>
      <x:c r="D200" s="38" t="n">
        <x:v>4</x:v>
      </x:c>
      <x:c r="E200" s="44" t="n">
        <x:v>4600</x:v>
      </x:c>
      <x:c r="F200" s="44" t="n">
        <x:v>18400</x:v>
      </x:c>
      <x:c r="G200" s="41" t="n">
        <x:v>4</x:v>
      </x:c>
      <x:c r="H200" s="44" t="n">
        <x:f>MAX(G200,0)*E200</x:f>
        <x:v>18400</x:v>
      </x:c>
      <x:c r="I200" s="38" t="n">
        <x:v>0</x:v>
      </x:c>
      <x:c r="J200" s="44" t="n">
        <x:v>0</x:v>
      </x:c>
      <x:c r="K200" s="32" t="n">
        <x:v>0</x:v>
      </x:c>
      <x:c r="L200" s="50"/>
      <x:c r="M200" s="50"/>
      <x:c r="N200" s="32" t="str">
        <x:f>IF(M200="","",MAX(0,'Resumen'!$B$3-M200))</x:f>
      </x:c>
      <x:c r="O200" s="38" t="n">
        <x:v>0</x:v>
      </x:c>
      <x:c r="P200" s="38" t="n">
        <x:v>0</x:v>
      </x:c>
      <x:c r="Q200" s="38" t="n">
        <x:v>0</x:v>
      </x:c>
      <x:c r="R200" s="38" t="n">
        <x:f>MIN(D200,I200)</x:f>
        <x:v>0</x:v>
      </x:c>
      <x:c r="S200" s="47" t="n">
        <x:f>IFERROR(R200/D200,0)</x:f>
        <x:v>0</x:v>
      </x:c>
      <x:c r="T200" s="38" t="n">
        <x:f>MIN(MAX(G200,0),MAX(D200-I200,0))</x:f>
        <x:v>4</x:v>
      </x:c>
      <x:c r="U200" s="44" t="n">
        <x:f>T200*E200</x:f>
        <x:v>18400</x:v>
      </x:c>
      <x:c r="V200" s="38" t="n">
        <x:v>0</x:v>
      </x:c>
      <x:c r="W200" s="32" t="n">
        <x:v>0</x:v>
      </x:c>
      <x:c r="X200" s="50"/>
      <x:c r="Y200" s="44" t="n">
        <x:v>8000</x:v>
      </x:c>
      <x:c r="Z200" s="44" t="n">
        <x:f>IF(I200&gt;0,R200*(J200/I200),0)</x:f>
        <x:v>0</x:v>
      </x:c>
      <x:c r="AA200" s="44" t="n">
        <x:f>Z200-(R200*E200)</x:f>
        <x:v>0</x:v>
      </x:c>
      <x:c r="AB200" s="47" t="n">
        <x:f>IFERROR(AA200/Z200,0)</x:f>
        <x:v>0</x:v>
      </x:c>
      <x:c r="AC200" s="32" t="str">
        <x:f>IF(S200=0,"0%",IF(S200&lt;0.5,"1-49%",IF(S200&lt;0.8,"50-79%",IF(S200&lt;1,"80-99%","100%"))))</x:f>
        <x:v>0%</x:v>
      </x:c>
      <x:c r="AD200" s="33" t="str">
        <x:f>IF(G200&lt;0,"Stock negativo",IF(G200&lt;=0,"Sin stock actual",IF(I200&lt;=0,"Sin ventas desde compra",IF(Q200&lt;=0,"Con stock, sin ventas 365d",IF(S200&lt;0.5,"Rotación baja",IF(S200&lt;1,"Rotación media","Compra absorbida; stock repuesto"))))))</x:f>
        <x:v>Sin ventas desde compra</x:v>
      </x:c>
    </x:row>
    <x:row r="201">
      <x:c r="A201" s="31" t="str">
        <x:v>53471</x:v>
      </x:c>
      <x:c r="B201" s="53" t="str">
        <x:v>PORTA PLACA XTZ 125 SYK</x:v>
      </x:c>
      <x:c r="C201" s="32" t="n">
        <x:v>1</x:v>
      </x:c>
      <x:c r="D201" s="38" t="n">
        <x:v>1</x:v>
      </x:c>
      <x:c r="E201" s="44" t="n">
        <x:v>18300</x:v>
      </x:c>
      <x:c r="F201" s="44" t="n">
        <x:v>18300</x:v>
      </x:c>
      <x:c r="G201" s="41" t="n">
        <x:v>0</x:v>
      </x:c>
      <x:c r="H201" s="44" t="n">
        <x:f>MAX(G201,0)*E201</x:f>
        <x:v>0</x:v>
      </x:c>
      <x:c r="I201" s="38" t="n">
        <x:v>3</x:v>
      </x:c>
      <x:c r="J201" s="44" t="n">
        <x:v>95500</x:v>
      </x:c>
      <x:c r="K201" s="32" t="n">
        <x:v>3</x:v>
      </x:c>
      <x:c r="L201" s="50" t="n">
        <x:v>45504.64181712963</x:v>
      </x:c>
      <x:c r="M201" s="50" t="n">
        <x:v>45654.74787037037</x:v>
      </x:c>
      <x:c r="N201" s="32" t="n">
        <x:f>IF(M201="","",MAX(0,'Resumen'!$B$3-M201))</x:f>
        <x:v>612.2521296296327</x:v>
      </x:c>
      <x:c r="O201" s="38" t="n">
        <x:v>0</x:v>
      </x:c>
      <x:c r="P201" s="38" t="n">
        <x:v>0</x:v>
      </x:c>
      <x:c r="Q201" s="38" t="n">
        <x:v>0</x:v>
      </x:c>
      <x:c r="R201" s="38" t="n">
        <x:f>MIN(D201,I201)</x:f>
        <x:v>1</x:v>
      </x:c>
      <x:c r="S201" s="47" t="n">
        <x:f>IFERROR(R201/D201,0)</x:f>
        <x:v>1</x:v>
      </x:c>
      <x:c r="T201" s="38" t="n">
        <x:f>MIN(MAX(G201,0),MAX(D201-I201,0))</x:f>
        <x:v>0</x:v>
      </x:c>
      <x:c r="U201" s="44" t="n">
        <x:f>T201*E201</x:f>
        <x:v>0</x:v>
      </x:c>
      <x:c r="V201" s="38" t="n">
        <x:v>2</x:v>
      </x:c>
      <x:c r="W201" s="32" t="n">
        <x:v>1</x:v>
      </x:c>
      <x:c r="X201" s="50" t="n">
        <x:v>45596</x:v>
      </x:c>
      <x:c r="Y201" s="44" t="n">
        <x:v>49100</x:v>
      </x:c>
      <x:c r="Z201" s="44" t="n">
        <x:f>IF(I201&gt;0,R201*(J201/I201),0)</x:f>
        <x:v>31833.333333333332</x:v>
      </x:c>
      <x:c r="AA201" s="44" t="n">
        <x:f>Z201-(R201*E201)</x:f>
        <x:v>13533.333333333332</x:v>
      </x:c>
      <x:c r="AB201" s="47" t="n">
        <x:f>IFERROR(AA201/Z201,0)</x:f>
        <x:v>0.425130890052356</x:v>
      </x:c>
      <x:c r="AC201" s="32" t="str">
        <x:f>IF(S201=0,"0%",IF(S201&lt;0.5,"1-49%",IF(S201&lt;0.8,"50-79%",IF(S201&lt;1,"80-99%","100%"))))</x:f>
        <x:v>100%</x:v>
      </x:c>
      <x:c r="AD201" s="33" t="str">
        <x:f>IF(G201&lt;0,"Stock negativo",IF(G201&lt;=0,"Sin stock actual",IF(I201&lt;=0,"Sin ventas desde compra",IF(Q201&lt;=0,"Con stock, sin ventas 365d",IF(S201&lt;0.5,"Rotación baja",IF(S201&lt;1,"Rotación media","Compra absorbida; stock repuesto"))))))</x:f>
        <x:v>Sin stock actual</x:v>
      </x:c>
    </x:row>
    <x:row r="202">
      <x:c r="A202" s="31" t="str">
        <x:v>ESP 022 - 203A</x:v>
      </x:c>
      <x:c r="B202" s="53" t="str">
        <x:v>ESPEJOS YAMAHA V80 ROSCA No. 8</x:v>
      </x:c>
      <x:c r="C202" s="32" t="n">
        <x:v>1</x:v>
      </x:c>
      <x:c r="D202" s="38" t="n">
        <x:v>2</x:v>
      </x:c>
      <x:c r="E202" s="44" t="n">
        <x:v>9000</x:v>
      </x:c>
      <x:c r="F202" s="44" t="n">
        <x:v>18000</x:v>
      </x:c>
      <x:c r="G202" s="41" t="n">
        <x:v>2</x:v>
      </x:c>
      <x:c r="H202" s="44" t="n">
        <x:f>MAX(G202,0)*E202</x:f>
        <x:v>18000</x:v>
      </x:c>
      <x:c r="I202" s="38" t="n">
        <x:v>0</x:v>
      </x:c>
      <x:c r="J202" s="44" t="n">
        <x:v>0</x:v>
      </x:c>
      <x:c r="K202" s="32" t="n">
        <x:v>0</x:v>
      </x:c>
      <x:c r="L202" s="50"/>
      <x:c r="M202" s="50"/>
      <x:c r="N202" s="32" t="str">
        <x:f>IF(M202="","",MAX(0,'Resumen'!$B$3-M202))</x:f>
      </x:c>
      <x:c r="O202" s="38" t="n">
        <x:v>0</x:v>
      </x:c>
      <x:c r="P202" s="38" t="n">
        <x:v>0</x:v>
      </x:c>
      <x:c r="Q202" s="38" t="n">
        <x:v>0</x:v>
      </x:c>
      <x:c r="R202" s="38" t="n">
        <x:f>MIN(D202,I202)</x:f>
        <x:v>0</x:v>
      </x:c>
      <x:c r="S202" s="47" t="n">
        <x:f>IFERROR(R202/D202,0)</x:f>
        <x:v>0</x:v>
      </x:c>
      <x:c r="T202" s="38" t="n">
        <x:f>MIN(MAX(G202,0),MAX(D202-I202,0))</x:f>
        <x:v>2</x:v>
      </x:c>
      <x:c r="U202" s="44" t="n">
        <x:f>T202*E202</x:f>
        <x:v>18000</x:v>
      </x:c>
      <x:c r="V202" s="38" t="n">
        <x:v>0</x:v>
      </x:c>
      <x:c r="W202" s="32" t="n">
        <x:v>0</x:v>
      </x:c>
      <x:c r="X202" s="50"/>
      <x:c r="Y202" s="44" t="n">
        <x:v>15000</x:v>
      </x:c>
      <x:c r="Z202" s="44" t="n">
        <x:f>IF(I202&gt;0,R202*(J202/I202),0)</x:f>
        <x:v>0</x:v>
      </x:c>
      <x:c r="AA202" s="44" t="n">
        <x:f>Z202-(R202*E202)</x:f>
        <x:v>0</x:v>
      </x:c>
      <x:c r="AB202" s="47" t="n">
        <x:f>IFERROR(AA202/Z202,0)</x:f>
        <x:v>0</x:v>
      </x:c>
      <x:c r="AC202" s="32" t="str">
        <x:f>IF(S202=0,"0%",IF(S202&lt;0.5,"1-49%",IF(S202&lt;0.8,"50-79%",IF(S202&lt;1,"80-99%","100%"))))</x:f>
        <x:v>0%</x:v>
      </x:c>
      <x:c r="AD202" s="33" t="str">
        <x:f>IF(G202&lt;0,"Stock negativo",IF(G202&lt;=0,"Sin stock actual",IF(I202&lt;=0,"Sin ventas desde compra",IF(Q202&lt;=0,"Con stock, sin ventas 365d",IF(S202&lt;0.5,"Rotación baja",IF(S202&lt;1,"Rotación media","Compra absorbida; stock repuesto"))))))</x:f>
        <x:v>Sin ventas desde compra</x:v>
      </x:c>
    </x:row>
    <x:row r="203">
      <x:c r="A203" s="31" t="str">
        <x:v>MNG- 002</x:v>
      </x:c>
      <x:c r="B203" s="53" t="str">
        <x:v>MANIGUETA IZQ BWS CROMADA YAMAHA</x:v>
      </x:c>
      <x:c r="C203" s="32" t="n">
        <x:v>1</x:v>
      </x:c>
      <x:c r="D203" s="38" t="n">
        <x:v>3</x:v>
      </x:c>
      <x:c r="E203" s="44" t="n">
        <x:v>6000</x:v>
      </x:c>
      <x:c r="F203" s="44" t="n">
        <x:v>18000</x:v>
      </x:c>
      <x:c r="G203" s="41" t="n">
        <x:v>0</x:v>
      </x:c>
      <x:c r="H203" s="44" t="n">
        <x:f>MAX(G203,0)*E203</x:f>
        <x:v>0</x:v>
      </x:c>
      <x:c r="I203" s="38" t="n">
        <x:v>3</x:v>
      </x:c>
      <x:c r="J203" s="44" t="n">
        <x:v>28000</x:v>
      </x:c>
      <x:c r="K203" s="32" t="n">
        <x:v>3</x:v>
      </x:c>
      <x:c r="L203" s="50" t="n">
        <x:v>45659.920266203706</x:v>
      </x:c>
      <x:c r="M203" s="50" t="n">
        <x:v>45829.944085648145</x:v>
      </x:c>
      <x:c r="N203" s="32" t="n">
        <x:f>IF(M203="","",MAX(0,'Resumen'!$B$3-M203))</x:f>
        <x:v>437.0559143518549</x:v>
      </x:c>
      <x:c r="O203" s="38" t="n">
        <x:v>0</x:v>
      </x:c>
      <x:c r="P203" s="38" t="n">
        <x:v>0</x:v>
      </x:c>
      <x:c r="Q203" s="38" t="n">
        <x:v>0</x:v>
      </x:c>
      <x:c r="R203" s="38" t="n">
        <x:f>MIN(D203,I203)</x:f>
        <x:v>3</x:v>
      </x:c>
      <x:c r="S203" s="47" t="n">
        <x:f>IFERROR(R203/D203,0)</x:f>
        <x:v>1</x:v>
      </x:c>
      <x:c r="T203" s="38" t="n">
        <x:f>MIN(MAX(G203,0),MAX(D203-I203,0))</x:f>
        <x:v>0</x:v>
      </x:c>
      <x:c r="U203" s="44" t="n">
        <x:f>T203*E203</x:f>
        <x:v>0</x:v>
      </x:c>
      <x:c r="V203" s="38" t="n">
        <x:v>0</x:v>
      </x:c>
      <x:c r="W203" s="32" t="n">
        <x:v>0</x:v>
      </x:c>
      <x:c r="X203" s="50"/>
      <x:c r="Y203" s="44" t="n">
        <x:v>10000</x:v>
      </x:c>
      <x:c r="Z203" s="44" t="n">
        <x:f>IF(I203&gt;0,R203*(J203/I203),0)</x:f>
        <x:v>28000</x:v>
      </x:c>
      <x:c r="AA203" s="44" t="n">
        <x:f>Z203-(R203*E203)</x:f>
        <x:v>10000</x:v>
      </x:c>
      <x:c r="AB203" s="47" t="n">
        <x:f>IFERROR(AA203/Z203,0)</x:f>
        <x:v>0.35714285714285715</x:v>
      </x:c>
      <x:c r="AC203" s="32" t="str">
        <x:f>IF(S203=0,"0%",IF(S203&lt;0.5,"1-49%",IF(S203&lt;0.8,"50-79%",IF(S203&lt;1,"80-99%","100%"))))</x:f>
        <x:v>100%</x:v>
      </x:c>
      <x:c r="AD203" s="33" t="str">
        <x:f>IF(G203&lt;0,"Stock negativo",IF(G203&lt;=0,"Sin stock actual",IF(I203&lt;=0,"Sin ventas desde compra",IF(Q203&lt;=0,"Con stock, sin ventas 365d",IF(S203&lt;0.5,"Rotación baja",IF(S203&lt;1,"Rotación media","Compra absorbida; stock repuesto"))))))</x:f>
        <x:v>Sin stock actual</x:v>
      </x:c>
    </x:row>
    <x:row r="204">
      <x:c r="A204" s="31" t="str">
        <x:v>MOTS1002</x:v>
      </x:c>
      <x:c r="B204" s="53" t="str">
        <x:v>JUEGO TAPAS LATERALES CALIMATI NEGRA DIFEL</x:v>
      </x:c>
      <x:c r="C204" s="32" t="n">
        <x:v>1</x:v>
      </x:c>
      <x:c r="D204" s="38" t="n">
        <x:v>1</x:v>
      </x:c>
      <x:c r="E204" s="44" t="n">
        <x:v>18000</x:v>
      </x:c>
      <x:c r="F204" s="44" t="n">
        <x:v>18000</x:v>
      </x:c>
      <x:c r="G204" s="41" t="n">
        <x:v>1</x:v>
      </x:c>
      <x:c r="H204" s="44" t="n">
        <x:f>MAX(G204,0)*E204</x:f>
        <x:v>18000</x:v>
      </x:c>
      <x:c r="I204" s="38" t="n">
        <x:v>0</x:v>
      </x:c>
      <x:c r="J204" s="44" t="n">
        <x:v>0</x:v>
      </x:c>
      <x:c r="K204" s="32" t="n">
        <x:v>0</x:v>
      </x:c>
      <x:c r="L204" s="50"/>
      <x:c r="M204" s="50"/>
      <x:c r="N204" s="32" t="str">
        <x:f>IF(M204="","",MAX(0,'Resumen'!$B$3-M204))</x:f>
      </x:c>
      <x:c r="O204" s="38" t="n">
        <x:v>0</x:v>
      </x:c>
      <x:c r="P204" s="38" t="n">
        <x:v>0</x:v>
      </x:c>
      <x:c r="Q204" s="38" t="n">
        <x:v>0</x:v>
      </x:c>
      <x:c r="R204" s="38" t="n">
        <x:f>MIN(D204,I204)</x:f>
        <x:v>0</x:v>
      </x:c>
      <x:c r="S204" s="47" t="n">
        <x:f>IFERROR(R204/D204,0)</x:f>
        <x:v>0</x:v>
      </x:c>
      <x:c r="T204" s="38" t="n">
        <x:f>MIN(MAX(G204,0),MAX(D204-I204,0))</x:f>
        <x:v>1</x:v>
      </x:c>
      <x:c r="U204" s="44" t="n">
        <x:f>T204*E204</x:f>
        <x:v>18000</x:v>
      </x:c>
      <x:c r="V204" s="38" t="n">
        <x:v>0</x:v>
      </x:c>
      <x:c r="W204" s="32" t="n">
        <x:v>0</x:v>
      </x:c>
      <x:c r="X204" s="50"/>
      <x:c r="Y204" s="44" t="n">
        <x:v>30000</x:v>
      </x:c>
      <x:c r="Z204" s="44" t="n">
        <x:f>IF(I204&gt;0,R204*(J204/I204),0)</x:f>
        <x:v>0</x:v>
      </x:c>
      <x:c r="AA204" s="44" t="n">
        <x:f>Z204-(R204*E204)</x:f>
        <x:v>0</x:v>
      </x:c>
      <x:c r="AB204" s="47" t="n">
        <x:f>IFERROR(AA204/Z204,0)</x:f>
        <x:v>0</x:v>
      </x:c>
      <x:c r="AC204" s="32" t="str">
        <x:f>IF(S204=0,"0%",IF(S204&lt;0.5,"1-49%",IF(S204&lt;0.8,"50-79%",IF(S204&lt;1,"80-99%","100%"))))</x:f>
        <x:v>0%</x:v>
      </x:c>
      <x:c r="AD204" s="33" t="str">
        <x:f>IF(G204&lt;0,"Stock negativo",IF(G204&lt;=0,"Sin stock actual",IF(I204&lt;=0,"Sin ventas desde compra",IF(Q204&lt;=0,"Con stock, sin ventas 365d",IF(S204&lt;0.5,"Rotación baja",IF(S204&lt;1,"Rotación media","Compra absorbida; stock repuesto"))))))</x:f>
        <x:v>Sin ventas desde compra</x:v>
      </x:c>
    </x:row>
    <x:row r="205">
      <x:c r="A205" s="31" t="str">
        <x:v>MOTS1003</x:v>
      </x:c>
      <x:c r="B205" s="53" t="str">
        <x:v>JUEGO DE TAPAS LATERALES CALIMATI ROJA DIFEL</x:v>
      </x:c>
      <x:c r="C205" s="32" t="n">
        <x:v>1</x:v>
      </x:c>
      <x:c r="D205" s="38" t="n">
        <x:v>1</x:v>
      </x:c>
      <x:c r="E205" s="44" t="n">
        <x:v>18000</x:v>
      </x:c>
      <x:c r="F205" s="44" t="n">
        <x:v>18000</x:v>
      </x:c>
      <x:c r="G205" s="41" t="n">
        <x:v>1</x:v>
      </x:c>
      <x:c r="H205" s="44" t="n">
        <x:f>MAX(G205,0)*E205</x:f>
        <x:v>18000</x:v>
      </x:c>
      <x:c r="I205" s="38" t="n">
        <x:v>0</x:v>
      </x:c>
      <x:c r="J205" s="44" t="n">
        <x:v>0</x:v>
      </x:c>
      <x:c r="K205" s="32" t="n">
        <x:v>0</x:v>
      </x:c>
      <x:c r="L205" s="50"/>
      <x:c r="M205" s="50"/>
      <x:c r="N205" s="32" t="str">
        <x:f>IF(M205="","",MAX(0,'Resumen'!$B$3-M205))</x:f>
      </x:c>
      <x:c r="O205" s="38" t="n">
        <x:v>0</x:v>
      </x:c>
      <x:c r="P205" s="38" t="n">
        <x:v>0</x:v>
      </x:c>
      <x:c r="Q205" s="38" t="n">
        <x:v>0</x:v>
      </x:c>
      <x:c r="R205" s="38" t="n">
        <x:f>MIN(D205,I205)</x:f>
        <x:v>0</x:v>
      </x:c>
      <x:c r="S205" s="47" t="n">
        <x:f>IFERROR(R205/D205,0)</x:f>
        <x:v>0</x:v>
      </x:c>
      <x:c r="T205" s="38" t="n">
        <x:f>MIN(MAX(G205,0),MAX(D205-I205,0))</x:f>
        <x:v>1</x:v>
      </x:c>
      <x:c r="U205" s="44" t="n">
        <x:f>T205*E205</x:f>
        <x:v>18000</x:v>
      </x:c>
      <x:c r="V205" s="38" t="n">
        <x:v>0</x:v>
      </x:c>
      <x:c r="W205" s="32" t="n">
        <x:v>0</x:v>
      </x:c>
      <x:c r="X205" s="50"/>
      <x:c r="Y205" s="44" t="n">
        <x:v>30000</x:v>
      </x:c>
      <x:c r="Z205" s="44" t="n">
        <x:f>IF(I205&gt;0,R205*(J205/I205),0)</x:f>
        <x:v>0</x:v>
      </x:c>
      <x:c r="AA205" s="44" t="n">
        <x:f>Z205-(R205*E205)</x:f>
        <x:v>0</x:v>
      </x:c>
      <x:c r="AB205" s="47" t="n">
        <x:f>IFERROR(AA205/Z205,0)</x:f>
        <x:v>0</x:v>
      </x:c>
      <x:c r="AC205" s="32" t="str">
        <x:f>IF(S205=0,"0%",IF(S205&lt;0.5,"1-49%",IF(S205&lt;0.8,"50-79%",IF(S205&lt;1,"80-99%","100%"))))</x:f>
        <x:v>0%</x:v>
      </x:c>
      <x:c r="AD205" s="33" t="str">
        <x:f>IF(G205&lt;0,"Stock negativo",IF(G205&lt;=0,"Sin stock actual",IF(I205&lt;=0,"Sin ventas desde compra",IF(Q205&lt;=0,"Con stock, sin ventas 365d",IF(S205&lt;0.5,"Rotación baja",IF(S205&lt;1,"Rotación media","Compra absorbida; stock repuesto"))))))</x:f>
        <x:v>Sin ventas desde compra</x:v>
      </x:c>
    </x:row>
    <x:row r="206">
      <x:c r="A206" s="31" t="str">
        <x:v>MOTS1045</x:v>
      </x:c>
      <x:c r="B206" s="53" t="str">
        <x:v>RETEN 20-35-7</x:v>
      </x:c>
      <x:c r="C206" s="32" t="n">
        <x:v>1</x:v>
      </x:c>
      <x:c r="D206" s="38" t="n">
        <x:v>9</x:v>
      </x:c>
      <x:c r="E206" s="44" t="n">
        <x:v>2000</x:v>
      </x:c>
      <x:c r="F206" s="44" t="n">
        <x:v>18000</x:v>
      </x:c>
      <x:c r="G206" s="41" t="n">
        <x:v>8</x:v>
      </x:c>
      <x:c r="H206" s="44" t="n">
        <x:f>MAX(G206,0)*E206</x:f>
        <x:v>16000</x:v>
      </x:c>
      <x:c r="I206" s="38" t="n">
        <x:v>1</x:v>
      </x:c>
      <x:c r="J206" s="44" t="n">
        <x:v>3000</x:v>
      </x:c>
      <x:c r="K206" s="32" t="n">
        <x:v>1</x:v>
      </x:c>
      <x:c r="L206" s="50" t="n">
        <x:v>45986.805185185185</x:v>
      </x:c>
      <x:c r="M206" s="50" t="n">
        <x:v>45986.805185185185</x:v>
      </x:c>
      <x:c r="N206" s="32" t="n">
        <x:f>IF(M206="","",MAX(0,'Resumen'!$B$3-M206))</x:f>
        <x:v>280.1948148148149</x:v>
      </x:c>
      <x:c r="O206" s="38" t="n">
        <x:v>0</x:v>
      </x:c>
      <x:c r="P206" s="38" t="n">
        <x:v>0</x:v>
      </x:c>
      <x:c r="Q206" s="38" t="n">
        <x:v>1</x:v>
      </x:c>
      <x:c r="R206" s="38" t="n">
        <x:f>MIN(D206,I206)</x:f>
        <x:v>1</x:v>
      </x:c>
      <x:c r="S206" s="47" t="n">
        <x:f>IFERROR(R206/D206,0)</x:f>
        <x:v>0.1111111111111111</x:v>
      </x:c>
      <x:c r="T206" s="38" t="n">
        <x:f>MIN(MAX(G206,0),MAX(D206-I206,0))</x:f>
        <x:v>8</x:v>
      </x:c>
      <x:c r="U206" s="44" t="n">
        <x:f>T206*E206</x:f>
        <x:v>16000</x:v>
      </x:c>
      <x:c r="V206" s="38" t="n">
        <x:v>0</x:v>
      </x:c>
      <x:c r="W206" s="32" t="n">
        <x:v>0</x:v>
      </x:c>
      <x:c r="X206" s="50"/>
      <x:c r="Y206" s="44" t="n">
        <x:v>3500</x:v>
      </x:c>
      <x:c r="Z206" s="44" t="n">
        <x:f>IF(I206&gt;0,R206*(J206/I206),0)</x:f>
        <x:v>3000</x:v>
      </x:c>
      <x:c r="AA206" s="44" t="n">
        <x:f>Z206-(R206*E206)</x:f>
        <x:v>1000</x:v>
      </x:c>
      <x:c r="AB206" s="47" t="n">
        <x:f>IFERROR(AA206/Z206,0)</x:f>
        <x:v>0.3333333333333333</x:v>
      </x:c>
      <x:c r="AC206" s="32" t="str">
        <x:f>IF(S206=0,"0%",IF(S206&lt;0.5,"1-49%",IF(S206&lt;0.8,"50-79%",IF(S206&lt;1,"80-99%","100%"))))</x:f>
        <x:v>1-49%</x:v>
      </x:c>
      <x:c r="AD206" s="33" t="str">
        <x:f>IF(G206&lt;0,"Stock negativo",IF(G206&lt;=0,"Sin stock actual",IF(I206&lt;=0,"Sin ventas desde compra",IF(Q206&lt;=0,"Con stock, sin ventas 365d",IF(S206&lt;0.5,"Rotación baja",IF(S206&lt;1,"Rotación media","Compra absorbida; stock repuesto"))))))</x:f>
        <x:v>Rotación baja</x:v>
      </x:c>
    </x:row>
    <x:row r="207">
      <x:c r="A207" s="31" t="str">
        <x:v>MOTS1046</x:v>
      </x:c>
      <x:c r="B207" s="53" t="str">
        <x:v>RETEN 13-22-5-5</x:v>
      </x:c>
      <x:c r="C207" s="32" t="n">
        <x:v>1</x:v>
      </x:c>
      <x:c r="D207" s="38" t="n">
        <x:v>9</x:v>
      </x:c>
      <x:c r="E207" s="44" t="n">
        <x:v>2000</x:v>
      </x:c>
      <x:c r="F207" s="44" t="n">
        <x:v>18000</x:v>
      </x:c>
      <x:c r="G207" s="41" t="n">
        <x:v>8</x:v>
      </x:c>
      <x:c r="H207" s="44" t="n">
        <x:f>MAX(G207,0)*E207</x:f>
        <x:v>16000</x:v>
      </x:c>
      <x:c r="I207" s="38" t="n">
        <x:v>1</x:v>
      </x:c>
      <x:c r="J207" s="44" t="n">
        <x:v>3500</x:v>
      </x:c>
      <x:c r="K207" s="32" t="n">
        <x:v>1</x:v>
      </x:c>
      <x:c r="L207" s="50" t="n">
        <x:v>45875.702152777776</x:v>
      </x:c>
      <x:c r="M207" s="50" t="n">
        <x:v>45875.702152777776</x:v>
      </x:c>
      <x:c r="N207" s="32" t="n">
        <x:f>IF(M207="","",MAX(0,'Resumen'!$B$3-M207))</x:f>
        <x:v>391.29784722222394</x:v>
      </x:c>
      <x:c r="O207" s="38" t="n">
        <x:v>0</x:v>
      </x:c>
      <x:c r="P207" s="38" t="n">
        <x:v>0</x:v>
      </x:c>
      <x:c r="Q207" s="38" t="n">
        <x:v>0</x:v>
      </x:c>
      <x:c r="R207" s="38" t="n">
        <x:f>MIN(D207,I207)</x:f>
        <x:v>1</x:v>
      </x:c>
      <x:c r="S207" s="47" t="n">
        <x:f>IFERROR(R207/D207,0)</x:f>
        <x:v>0.1111111111111111</x:v>
      </x:c>
      <x:c r="T207" s="38" t="n">
        <x:f>MIN(MAX(G207,0),MAX(D207-I207,0))</x:f>
        <x:v>8</x:v>
      </x:c>
      <x:c r="U207" s="44" t="n">
        <x:f>T207*E207</x:f>
        <x:v>16000</x:v>
      </x:c>
      <x:c r="V207" s="38" t="n">
        <x:v>0</x:v>
      </x:c>
      <x:c r="W207" s="32" t="n">
        <x:v>0</x:v>
      </x:c>
      <x:c r="X207" s="50"/>
      <x:c r="Y207" s="44" t="n">
        <x:v>3500</x:v>
      </x:c>
      <x:c r="Z207" s="44" t="n">
        <x:f>IF(I207&gt;0,R207*(J207/I207),0)</x:f>
        <x:v>3500</x:v>
      </x:c>
      <x:c r="AA207" s="44" t="n">
        <x:f>Z207-(R207*E207)</x:f>
        <x:v>1500</x:v>
      </x:c>
      <x:c r="AB207" s="47" t="n">
        <x:f>IFERROR(AA207/Z207,0)</x:f>
        <x:v>0.42857142857142855</x:v>
      </x:c>
      <x:c r="AC207" s="32" t="str">
        <x:f>IF(S207=0,"0%",IF(S207&lt;0.5,"1-49%",IF(S207&lt;0.8,"50-79%",IF(S207&lt;1,"80-99%","100%"))))</x:f>
        <x:v>1-49%</x:v>
      </x:c>
      <x:c r="AD207" s="33" t="str">
        <x:f>IF(G207&lt;0,"Stock negativo",IF(G207&lt;=0,"Sin stock actual",IF(I207&lt;=0,"Sin ventas desde compra",IF(Q207&lt;=0,"Con stock, sin ventas 365d",IF(S207&lt;0.5,"Rotación baja",IF(S207&lt;1,"Rotación media","Compra absorbida; stock repuesto"))))))</x:f>
        <x:v>Con stock, sin ventas 365d</x:v>
      </x:c>
    </x:row>
    <x:row r="208">
      <x:c r="A208" s="31" t="str">
        <x:v>MOTS1049</x:v>
      </x:c>
      <x:c r="B208" s="53" t="str">
        <x:v>RETEN 22-33-7</x:v>
      </x:c>
      <x:c r="C208" s="32" t="n">
        <x:v>1</x:v>
      </x:c>
      <x:c r="D208" s="38" t="n">
        <x:v>9</x:v>
      </x:c>
      <x:c r="E208" s="44" t="n">
        <x:v>2000</x:v>
      </x:c>
      <x:c r="F208" s="44" t="n">
        <x:v>18000</x:v>
      </x:c>
      <x:c r="G208" s="41" t="n">
        <x:v>9</x:v>
      </x:c>
      <x:c r="H208" s="44" t="n">
        <x:f>MAX(G208,0)*E208</x:f>
        <x:v>18000</x:v>
      </x:c>
      <x:c r="I208" s="38" t="n">
        <x:v>0</x:v>
      </x:c>
      <x:c r="J208" s="44" t="n">
        <x:v>0</x:v>
      </x:c>
      <x:c r="K208" s="32" t="n">
        <x:v>0</x:v>
      </x:c>
      <x:c r="L208" s="50"/>
      <x:c r="M208" s="50"/>
      <x:c r="N208" s="32" t="str">
        <x:f>IF(M208="","",MAX(0,'Resumen'!$B$3-M208))</x:f>
      </x:c>
      <x:c r="O208" s="38" t="n">
        <x:v>0</x:v>
      </x:c>
      <x:c r="P208" s="38" t="n">
        <x:v>0</x:v>
      </x:c>
      <x:c r="Q208" s="38" t="n">
        <x:v>0</x:v>
      </x:c>
      <x:c r="R208" s="38" t="n">
        <x:f>MIN(D208,I208)</x:f>
        <x:v>0</x:v>
      </x:c>
      <x:c r="S208" s="47" t="n">
        <x:f>IFERROR(R208/D208,0)</x:f>
        <x:v>0</x:v>
      </x:c>
      <x:c r="T208" s="38" t="n">
        <x:f>MIN(MAX(G208,0),MAX(D208-I208,0))</x:f>
        <x:v>9</x:v>
      </x:c>
      <x:c r="U208" s="44" t="n">
        <x:f>T208*E208</x:f>
        <x:v>18000</x:v>
      </x:c>
      <x:c r="V208" s="38" t="n">
        <x:v>0</x:v>
      </x:c>
      <x:c r="W208" s="32" t="n">
        <x:v>0</x:v>
      </x:c>
      <x:c r="X208" s="50"/>
      <x:c r="Y208" s="44" t="n">
        <x:v>3500</x:v>
      </x:c>
      <x:c r="Z208" s="44" t="n">
        <x:f>IF(I208&gt;0,R208*(J208/I208),0)</x:f>
        <x:v>0</x:v>
      </x:c>
      <x:c r="AA208" s="44" t="n">
        <x:f>Z208-(R208*E208)</x:f>
        <x:v>0</x:v>
      </x:c>
      <x:c r="AB208" s="47" t="n">
        <x:f>IFERROR(AA208/Z208,0)</x:f>
        <x:v>0</x:v>
      </x:c>
      <x:c r="AC208" s="32" t="str">
        <x:f>IF(S208=0,"0%",IF(S208&lt;0.5,"1-49%",IF(S208&lt;0.8,"50-79%",IF(S208&lt;1,"80-99%","100%"))))</x:f>
        <x:v>0%</x:v>
      </x:c>
      <x:c r="AD208" s="33" t="str">
        <x:f>IF(G208&lt;0,"Stock negativo",IF(G208&lt;=0,"Sin stock actual",IF(I208&lt;=0,"Sin ventas desde compra",IF(Q208&lt;=0,"Con stock, sin ventas 365d",IF(S208&lt;0.5,"Rotación baja",IF(S208&lt;1,"Rotación media","Compra absorbida; stock repuesto"))))))</x:f>
        <x:v>Sin ventas desde compra</x:v>
      </x:c>
    </x:row>
    <x:row r="209">
      <x:c r="A209" s="31" t="str">
        <x:v>MOTS1061</x:v>
      </x:c>
      <x:c r="B209" s="53" t="str">
        <x:v>RETEN 30-40-10-5</x:v>
      </x:c>
      <x:c r="C209" s="32" t="n">
        <x:v>1</x:v>
      </x:c>
      <x:c r="D209" s="38" t="n">
        <x:v>6</x:v>
      </x:c>
      <x:c r="E209" s="44" t="n">
        <x:v>3000</x:v>
      </x:c>
      <x:c r="F209" s="44" t="n">
        <x:v>18000</x:v>
      </x:c>
      <x:c r="G209" s="41" t="n">
        <x:v>3</x:v>
      </x:c>
      <x:c r="H209" s="44" t="n">
        <x:f>MAX(G209,0)*E209</x:f>
        <x:v>9000</x:v>
      </x:c>
      <x:c r="I209" s="38" t="n">
        <x:v>3</x:v>
      </x:c>
      <x:c r="J209" s="44" t="n">
        <x:v>15000</x:v>
      </x:c>
      <x:c r="K209" s="32" t="n">
        <x:v>2</x:v>
      </x:c>
      <x:c r="L209" s="50" t="n">
        <x:v>45521.847905092596</x:v>
      </x:c>
      <x:c r="M209" s="50" t="n">
        <x:v>46172.87153935185</x:v>
      </x:c>
      <x:c r="N209" s="32" t="n">
        <x:f>IF(M209="","",MAX(0,'Resumen'!$B$3-M209))</x:f>
        <x:v>94.12846064814948</x:v>
      </x:c>
      <x:c r="O209" s="38" t="n">
        <x:v>0</x:v>
      </x:c>
      <x:c r="P209" s="38" t="n">
        <x:v>0</x:v>
      </x:c>
      <x:c r="Q209" s="38" t="n">
        <x:v>2</x:v>
      </x:c>
      <x:c r="R209" s="38" t="n">
        <x:f>MIN(D209,I209)</x:f>
        <x:v>3</x:v>
      </x:c>
      <x:c r="S209" s="47" t="n">
        <x:f>IFERROR(R209/D209,0)</x:f>
        <x:v>0.5</x:v>
      </x:c>
      <x:c r="T209" s="38" t="n">
        <x:f>MIN(MAX(G209,0),MAX(D209-I209,0))</x:f>
        <x:v>3</x:v>
      </x:c>
      <x:c r="U209" s="44" t="n">
        <x:f>T209*E209</x:f>
        <x:v>9000</x:v>
      </x:c>
      <x:c r="V209" s="38" t="n">
        <x:v>0</x:v>
      </x:c>
      <x:c r="W209" s="32" t="n">
        <x:v>0</x:v>
      </x:c>
      <x:c r="X209" s="50"/>
      <x:c r="Y209" s="44" t="n">
        <x:v>5000</x:v>
      </x:c>
      <x:c r="Z209" s="44" t="n">
        <x:f>IF(I209&gt;0,R209*(J209/I209),0)</x:f>
        <x:v>15000</x:v>
      </x:c>
      <x:c r="AA209" s="44" t="n">
        <x:f>Z209-(R209*E209)</x:f>
        <x:v>6000</x:v>
      </x:c>
      <x:c r="AB209" s="47" t="n">
        <x:f>IFERROR(AA209/Z209,0)</x:f>
        <x:v>0.4</x:v>
      </x:c>
      <x:c r="AC209" s="32" t="str">
        <x:f>IF(S209=0,"0%",IF(S209&lt;0.5,"1-49%",IF(S209&lt;0.8,"50-79%",IF(S209&lt;1,"80-99%","100%"))))</x:f>
        <x:v>50-79%</x:v>
      </x:c>
      <x:c r="AD209" s="33" t="str">
        <x:f>IF(G209&lt;0,"Stock negativo",IF(G209&lt;=0,"Sin stock actual",IF(I209&lt;=0,"Sin ventas desde compra",IF(Q209&lt;=0,"Con stock, sin ventas 365d",IF(S209&lt;0.5,"Rotación baja",IF(S209&lt;1,"Rotación media","Compra absorbida; stock repuesto"))))))</x:f>
        <x:v>Rotación media</x:v>
      </x:c>
    </x:row>
    <x:row r="210">
      <x:c r="A210" s="31" t="str">
        <x:v>MOTS1062</x:v>
      </x:c>
      <x:c r="B210" s="53" t="str">
        <x:v>RETEN 33-46-10-5</x:v>
      </x:c>
      <x:c r="C210" s="32" t="n">
        <x:v>1</x:v>
      </x:c>
      <x:c r="D210" s="38" t="n">
        <x:v>9</x:v>
      </x:c>
      <x:c r="E210" s="44" t="n">
        <x:v>2000</x:v>
      </x:c>
      <x:c r="F210" s="44" t="n">
        <x:v>18000</x:v>
      </x:c>
      <x:c r="G210" s="41" t="n">
        <x:v>1</x:v>
      </x:c>
      <x:c r="H210" s="44" t="n">
        <x:f>MAX(G210,0)*E210</x:f>
        <x:v>2000</x:v>
      </x:c>
      <x:c r="I210" s="38" t="n">
        <x:v>9</x:v>
      </x:c>
      <x:c r="J210" s="44" t="n">
        <x:v>32500</x:v>
      </x:c>
      <x:c r="K210" s="32" t="n">
        <x:v>5</x:v>
      </x:c>
      <x:c r="L210" s="50" t="n">
        <x:v>45597.555925925924</x:v>
      </x:c>
      <x:c r="M210" s="50" t="n">
        <x:v>45829.90988425926</x:v>
      </x:c>
      <x:c r="N210" s="32" t="n">
        <x:f>IF(M210="","",MAX(0,'Resumen'!$B$3-M210))</x:f>
        <x:v>437.0901157407425</x:v>
      </x:c>
      <x:c r="O210" s="38" t="n">
        <x:v>0</x:v>
      </x:c>
      <x:c r="P210" s="38" t="n">
        <x:v>0</x:v>
      </x:c>
      <x:c r="Q210" s="38" t="n">
        <x:v>0</x:v>
      </x:c>
      <x:c r="R210" s="38" t="n">
        <x:f>MIN(D210,I210)</x:f>
        <x:v>9</x:v>
      </x:c>
      <x:c r="S210" s="47" t="n">
        <x:f>IFERROR(R210/D210,0)</x:f>
        <x:v>1</x:v>
      </x:c>
      <x:c r="T210" s="38" t="n">
        <x:f>MIN(MAX(G210,0),MAX(D210-I210,0))</x:f>
        <x:v>0</x:v>
      </x:c>
      <x:c r="U210" s="44" t="n">
        <x:f>T210*E210</x:f>
        <x:v>0</x:v>
      </x:c>
      <x:c r="V210" s="38" t="n">
        <x:v>1</x:v>
      </x:c>
      <x:c r="W210" s="32" t="n">
        <x:v>1</x:v>
      </x:c>
      <x:c r="X210" s="50" t="n">
        <x:v>45826</x:v>
      </x:c>
      <x:c r="Y210" s="44" t="n">
        <x:v>3500</x:v>
      </x:c>
      <x:c r="Z210" s="44" t="n">
        <x:f>IF(I210&gt;0,R210*(J210/I210),0)</x:f>
        <x:v>32500</x:v>
      </x:c>
      <x:c r="AA210" s="44" t="n">
        <x:f>Z210-(R210*E210)</x:f>
        <x:v>14500</x:v>
      </x:c>
      <x:c r="AB210" s="47" t="n">
        <x:f>IFERROR(AA210/Z210,0)</x:f>
        <x:v>0.4461538461538462</x:v>
      </x:c>
      <x:c r="AC210" s="32" t="str">
        <x:f>IF(S210=0,"0%",IF(S210&lt;0.5,"1-49%",IF(S210&lt;0.8,"50-79%",IF(S210&lt;1,"80-99%","100%"))))</x:f>
        <x:v>100%</x:v>
      </x:c>
      <x:c r="AD210" s="33" t="str">
        <x:f>IF(G210&lt;0,"Stock negativo",IF(G210&lt;=0,"Sin stock actual",IF(I210&lt;=0,"Sin ventas desde compra",IF(Q210&lt;=0,"Con stock, sin ventas 365d",IF(S210&lt;0.5,"Rotación baja",IF(S210&lt;1,"Rotación media","Compra absorbida; stock repuesto"))))))</x:f>
        <x:v>Con stock, sin ventas 365d</x:v>
      </x:c>
    </x:row>
    <x:row r="211">
      <x:c r="A211" s="31" t="str">
        <x:v>MOTS1138</x:v>
      </x:c>
      <x:c r="B211" s="53" t="str">
        <x:v>PROTECTOR VENTILADOR  BWS</x:v>
      </x:c>
      <x:c r="C211" s="32" t="n">
        <x:v>1</x:v>
      </x:c>
      <x:c r="D211" s="38" t="n">
        <x:v>3</x:v>
      </x:c>
      <x:c r="E211" s="44" t="n">
        <x:v>6000</x:v>
      </x:c>
      <x:c r="F211" s="44" t="n">
        <x:v>18000</x:v>
      </x:c>
      <x:c r="G211" s="41" t="n">
        <x:v>3</x:v>
      </x:c>
      <x:c r="H211" s="44" t="n">
        <x:f>MAX(G211,0)*E211</x:f>
        <x:v>18000</x:v>
      </x:c>
      <x:c r="I211" s="38" t="n">
        <x:v>0</x:v>
      </x:c>
      <x:c r="J211" s="44" t="n">
        <x:v>0</x:v>
      </x:c>
      <x:c r="K211" s="32" t="n">
        <x:v>0</x:v>
      </x:c>
      <x:c r="L211" s="50"/>
      <x:c r="M211" s="50"/>
      <x:c r="N211" s="32" t="str">
        <x:f>IF(M211="","",MAX(0,'Resumen'!$B$3-M211))</x:f>
      </x:c>
      <x:c r="O211" s="38" t="n">
        <x:v>0</x:v>
      </x:c>
      <x:c r="P211" s="38" t="n">
        <x:v>0</x:v>
      </x:c>
      <x:c r="Q211" s="38" t="n">
        <x:v>0</x:v>
      </x:c>
      <x:c r="R211" s="38" t="n">
        <x:f>MIN(D211,I211)</x:f>
        <x:v>0</x:v>
      </x:c>
      <x:c r="S211" s="47" t="n">
        <x:f>IFERROR(R211/D211,0)</x:f>
        <x:v>0</x:v>
      </x:c>
      <x:c r="T211" s="38" t="n">
        <x:f>MIN(MAX(G211,0),MAX(D211-I211,0))</x:f>
        <x:v>3</x:v>
      </x:c>
      <x:c r="U211" s="44" t="n">
        <x:f>T211*E211</x:f>
        <x:v>18000</x:v>
      </x:c>
      <x:c r="V211" s="38" t="n">
        <x:v>0</x:v>
      </x:c>
      <x:c r="W211" s="32" t="n">
        <x:v>0</x:v>
      </x:c>
      <x:c r="X211" s="50"/>
      <x:c r="Y211" s="44" t="n">
        <x:v>10000</x:v>
      </x:c>
      <x:c r="Z211" s="44" t="n">
        <x:f>IF(I211&gt;0,R211*(J211/I211),0)</x:f>
        <x:v>0</x:v>
      </x:c>
      <x:c r="AA211" s="44" t="n">
        <x:f>Z211-(R211*E211)</x:f>
        <x:v>0</x:v>
      </x:c>
      <x:c r="AB211" s="47" t="n">
        <x:f>IFERROR(AA211/Z211,0)</x:f>
        <x:v>0</x:v>
      </x:c>
      <x:c r="AC211" s="32" t="str">
        <x:f>IF(S211=0,"0%",IF(S211&lt;0.5,"1-49%",IF(S211&lt;0.8,"50-79%",IF(S211&lt;1,"80-99%","100%"))))</x:f>
        <x:v>0%</x:v>
      </x:c>
      <x:c r="AD211" s="33" t="str">
        <x:f>IF(G211&lt;0,"Stock negativo",IF(G211&lt;=0,"Sin stock actual",IF(I211&lt;=0,"Sin ventas desde compra",IF(Q211&lt;=0,"Con stock, sin ventas 365d",IF(S211&lt;0.5,"Rotación baja",IF(S211&lt;1,"Rotación media","Compra absorbida; stock repuesto"))))))</x:f>
        <x:v>Sin ventas desde compra</x:v>
      </x:c>
    </x:row>
    <x:row r="212">
      <x:c r="A212" s="31" t="str">
        <x:v>MOTS1156</x:v>
      </x:c>
      <x:c r="B212" s="53" t="str">
        <x:v>RESORTE PATA LATERAL VARIOS</x:v>
      </x:c>
      <x:c r="C212" s="32" t="n">
        <x:v>1</x:v>
      </x:c>
      <x:c r="D212" s="38" t="n">
        <x:v>9</x:v>
      </x:c>
      <x:c r="E212" s="44" t="n">
        <x:v>2000</x:v>
      </x:c>
      <x:c r="F212" s="44" t="n">
        <x:v>18000</x:v>
      </x:c>
      <x:c r="G212" s="41" t="n">
        <x:v>3</x:v>
      </x:c>
      <x:c r="H212" s="44" t="n">
        <x:f>MAX(G212,0)*E212</x:f>
        <x:v>6000</x:v>
      </x:c>
      <x:c r="I212" s="38" t="n">
        <x:v>6</x:v>
      </x:c>
      <x:c r="J212" s="44" t="n">
        <x:v>20000</x:v>
      </x:c>
      <x:c r="K212" s="32" t="n">
        <x:v>6</x:v>
      </x:c>
      <x:c r="L212" s="50" t="n">
        <x:v>45511.751655092594</x:v>
      </x:c>
      <x:c r="M212" s="50" t="n">
        <x:v>45897.84962962963</x:v>
      </x:c>
      <x:c r="N212" s="32" t="n">
        <x:f>IF(M212="","",MAX(0,'Resumen'!$B$3-M212))</x:f>
        <x:v>369.1503703703711</x:v>
      </x:c>
      <x:c r="O212" s="38" t="n">
        <x:v>0</x:v>
      </x:c>
      <x:c r="P212" s="38" t="n">
        <x:v>0</x:v>
      </x:c>
      <x:c r="Q212" s="38" t="n">
        <x:v>0</x:v>
      </x:c>
      <x:c r="R212" s="38" t="n">
        <x:f>MIN(D212,I212)</x:f>
        <x:v>6</x:v>
      </x:c>
      <x:c r="S212" s="47" t="n">
        <x:f>IFERROR(R212/D212,0)</x:f>
        <x:v>0.6666666666666666</x:v>
      </x:c>
      <x:c r="T212" s="38" t="n">
        <x:f>MIN(MAX(G212,0),MAX(D212-I212,0))</x:f>
        <x:v>3</x:v>
      </x:c>
      <x:c r="U212" s="44" t="n">
        <x:f>T212*E212</x:f>
        <x:v>6000</x:v>
      </x:c>
      <x:c r="V212" s="38" t="n">
        <x:v>0</x:v>
      </x:c>
      <x:c r="W212" s="32" t="n">
        <x:v>0</x:v>
      </x:c>
      <x:c r="X212" s="50"/>
      <x:c r="Y212" s="44" t="n">
        <x:v>3500</x:v>
      </x:c>
      <x:c r="Z212" s="44" t="n">
        <x:f>IF(I212&gt;0,R212*(J212/I212),0)</x:f>
        <x:v>20000</x:v>
      </x:c>
      <x:c r="AA212" s="44" t="n">
        <x:f>Z212-(R212*E212)</x:f>
        <x:v>8000</x:v>
      </x:c>
      <x:c r="AB212" s="47" t="n">
        <x:f>IFERROR(AA212/Z212,0)</x:f>
        <x:v>0.4</x:v>
      </x:c>
      <x:c r="AC212" s="32" t="str">
        <x:f>IF(S212=0,"0%",IF(S212&lt;0.5,"1-49%",IF(S212&lt;0.8,"50-79%",IF(S212&lt;1,"80-99%","100%"))))</x:f>
        <x:v>50-79%</x:v>
      </x:c>
      <x:c r="AD212" s="33" t="str">
        <x:f>IF(G212&lt;0,"Stock negativo",IF(G212&lt;=0,"Sin stock actual",IF(I212&lt;=0,"Sin ventas desde compra",IF(Q212&lt;=0,"Con stock, sin ventas 365d",IF(S212&lt;0.5,"Rotación baja",IF(S212&lt;1,"Rotación media","Compra absorbida; stock repuesto"))))))</x:f>
        <x:v>Con stock, sin ventas 365d</x:v>
      </x:c>
    </x:row>
    <x:row r="213">
      <x:c r="A213" s="31" t="str">
        <x:v>MOTS1207</x:v>
      </x:c>
      <x:c r="B213" s="53" t="str">
        <x:v>DISCOS CLUTCH 4 PCS CB 110 WSTANDARD</x:v>
      </x:c>
      <x:c r="C213" s="32" t="n">
        <x:v>1</x:v>
      </x:c>
      <x:c r="D213" s="38" t="n">
        <x:v>1</x:v>
      </x:c>
      <x:c r="E213" s="44" t="n">
        <x:v>18000</x:v>
      </x:c>
      <x:c r="F213" s="44" t="n">
        <x:v>18000</x:v>
      </x:c>
      <x:c r="G213" s="41" t="n">
        <x:v>0</x:v>
      </x:c>
      <x:c r="H213" s="44" t="n">
        <x:f>MAX(G213,0)*E213</x:f>
        <x:v>0</x:v>
      </x:c>
      <x:c r="I213" s="38" t="n">
        <x:v>1</x:v>
      </x:c>
      <x:c r="J213" s="44" t="n">
        <x:v>30000</x:v>
      </x:c>
      <x:c r="K213" s="32" t="n">
        <x:v>1</x:v>
      </x:c>
      <x:c r="L213" s="50" t="n">
        <x:v>45528.74765046296</x:v>
      </x:c>
      <x:c r="M213" s="50" t="n">
        <x:v>45528.74765046296</x:v>
      </x:c>
      <x:c r="N213" s="32" t="n">
        <x:f>IF(M213="","",MAX(0,'Resumen'!$B$3-M213))</x:f>
        <x:v>738.2523495370406</x:v>
      </x:c>
      <x:c r="O213" s="38" t="n">
        <x:v>0</x:v>
      </x:c>
      <x:c r="P213" s="38" t="n">
        <x:v>0</x:v>
      </x:c>
      <x:c r="Q213" s="38" t="n">
        <x:v>0</x:v>
      </x:c>
      <x:c r="R213" s="38" t="n">
        <x:f>MIN(D213,I213)</x:f>
        <x:v>1</x:v>
      </x:c>
      <x:c r="S213" s="47" t="n">
        <x:f>IFERROR(R213/D213,0)</x:f>
        <x:v>1</x:v>
      </x:c>
      <x:c r="T213" s="38" t="n">
        <x:f>MIN(MAX(G213,0),MAX(D213-I213,0))</x:f>
        <x:v>0</x:v>
      </x:c>
      <x:c r="U213" s="44" t="n">
        <x:f>T213*E213</x:f>
        <x:v>0</x:v>
      </x:c>
      <x:c r="V213" s="38" t="n">
        <x:v>0</x:v>
      </x:c>
      <x:c r="W213" s="32" t="n">
        <x:v>0</x:v>
      </x:c>
      <x:c r="X213" s="50"/>
      <x:c r="Y213" s="44" t="n">
        <x:v>30000</x:v>
      </x:c>
      <x:c r="Z213" s="44" t="n">
        <x:f>IF(I213&gt;0,R213*(J213/I213),0)</x:f>
        <x:v>30000</x:v>
      </x:c>
      <x:c r="AA213" s="44" t="n">
        <x:f>Z213-(R213*E213)</x:f>
        <x:v>12000</x:v>
      </x:c>
      <x:c r="AB213" s="47" t="n">
        <x:f>IFERROR(AA213/Z213,0)</x:f>
        <x:v>0.4</x:v>
      </x:c>
      <x:c r="AC213" s="32" t="str">
        <x:f>IF(S213=0,"0%",IF(S213&lt;0.5,"1-49%",IF(S213&lt;0.8,"50-79%",IF(S213&lt;1,"80-99%","100%"))))</x:f>
        <x:v>100%</x:v>
      </x:c>
      <x:c r="AD213" s="33" t="str">
        <x:f>IF(G213&lt;0,"Stock negativo",IF(G213&lt;=0,"Sin stock actual",IF(I213&lt;=0,"Sin ventas desde compra",IF(Q213&lt;=0,"Con stock, sin ventas 365d",IF(S213&lt;0.5,"Rotación baja",IF(S213&lt;1,"Rotación media","Compra absorbida; stock repuesto"))))))</x:f>
        <x:v>Sin stock actual</x:v>
      </x:c>
    </x:row>
    <x:row r="214">
      <x:c r="A214" s="31" t="str">
        <x:v>MOTS1250</x:v>
      </x:c>
      <x:c r="B214" s="53" t="str">
        <x:v>PASTILLAS FRENO DT 125 / CRIPTON GX MOTOS</x:v>
      </x:c>
      <x:c r="C214" s="32" t="n">
        <x:v>1</x:v>
      </x:c>
      <x:c r="D214" s="38" t="n">
        <x:v>2</x:v>
      </x:c>
      <x:c r="E214" s="44" t="n">
        <x:v>8900</x:v>
      </x:c>
      <x:c r="F214" s="44" t="n">
        <x:v>17800</x:v>
      </x:c>
      <x:c r="G214" s="41" t="n">
        <x:v>0</x:v>
      </x:c>
      <x:c r="H214" s="44" t="n">
        <x:f>MAX(G214,0)*E214</x:f>
        <x:v>0</x:v>
      </x:c>
      <x:c r="I214" s="38" t="n">
        <x:v>2</x:v>
      </x:c>
      <x:c r="J214" s="44" t="n">
        <x:v>27000</x:v>
      </x:c>
      <x:c r="K214" s="32" t="n">
        <x:v>2</x:v>
      </x:c>
      <x:c r="L214" s="50" t="n">
        <x:v>45522.59364583333</x:v>
      </x:c>
      <x:c r="M214" s="50" t="n">
        <x:v>45809.738275462965</x:v>
      </x:c>
      <x:c r="N214" s="32" t="n">
        <x:f>IF(M214="","",MAX(0,'Resumen'!$B$3-M214))</x:f>
        <x:v>457.26172453703475</x:v>
      </x:c>
      <x:c r="O214" s="38" t="n">
        <x:v>0</x:v>
      </x:c>
      <x:c r="P214" s="38" t="n">
        <x:v>0</x:v>
      </x:c>
      <x:c r="Q214" s="38" t="n">
        <x:v>0</x:v>
      </x:c>
      <x:c r="R214" s="38" t="n">
        <x:f>MIN(D214,I214)</x:f>
        <x:v>2</x:v>
      </x:c>
      <x:c r="S214" s="47" t="n">
        <x:f>IFERROR(R214/D214,0)</x:f>
        <x:v>1</x:v>
      </x:c>
      <x:c r="T214" s="38" t="n">
        <x:f>MIN(MAX(G214,0),MAX(D214-I214,0))</x:f>
        <x:v>0</x:v>
      </x:c>
      <x:c r="U214" s="44" t="n">
        <x:f>T214*E214</x:f>
        <x:v>0</x:v>
      </x:c>
      <x:c r="V214" s="38" t="n">
        <x:v>0</x:v>
      </x:c>
      <x:c r="W214" s="32" t="n">
        <x:v>0</x:v>
      </x:c>
      <x:c r="X214" s="50"/>
      <x:c r="Y214" s="44" t="n">
        <x:v>15000</x:v>
      </x:c>
      <x:c r="Z214" s="44" t="n">
        <x:f>IF(I214&gt;0,R214*(J214/I214),0)</x:f>
        <x:v>27000</x:v>
      </x:c>
      <x:c r="AA214" s="44" t="n">
        <x:f>Z214-(R214*E214)</x:f>
        <x:v>9200</x:v>
      </x:c>
      <x:c r="AB214" s="47" t="n">
        <x:f>IFERROR(AA214/Z214,0)</x:f>
        <x:v>0.34074074074074073</x:v>
      </x:c>
      <x:c r="AC214" s="32" t="str">
        <x:f>IF(S214=0,"0%",IF(S214&lt;0.5,"1-49%",IF(S214&lt;0.8,"50-79%",IF(S214&lt;1,"80-99%","100%"))))</x:f>
        <x:v>100%</x:v>
      </x:c>
      <x:c r="AD214" s="33" t="str">
        <x:f>IF(G214&lt;0,"Stock negativo",IF(G214&lt;=0,"Sin stock actual",IF(I214&lt;=0,"Sin ventas desde compra",IF(Q214&lt;=0,"Con stock, sin ventas 365d",IF(S214&lt;0.5,"Rotación baja",IF(S214&lt;1,"Rotación media","Compra absorbida; stock repuesto"))))))</x:f>
        <x:v>Sin stock actual</x:v>
      </x:c>
    </x:row>
    <x:row r="215">
      <x:c r="A215" s="31" t="str">
        <x:v>GAB - 162</x:v>
      </x:c>
      <x:c r="B215" s="53" t="str">
        <x:v>GUAYA CLUCTH PULSAR 200 NS MOTOTEC</x:v>
      </x:c>
      <x:c r="C215" s="32" t="n">
        <x:v>1</x:v>
      </x:c>
      <x:c r="D215" s="38" t="n">
        <x:v>2</x:v>
      </x:c>
      <x:c r="E215" s="44" t="n">
        <x:v>8834</x:v>
      </x:c>
      <x:c r="F215" s="44" t="n">
        <x:v>17668</x:v>
      </x:c>
      <x:c r="G215" s="41" t="n">
        <x:v>2</x:v>
      </x:c>
      <x:c r="H215" s="44" t="n">
        <x:f>MAX(G215,0)*E215</x:f>
        <x:v>17668</x:v>
      </x:c>
      <x:c r="I215" s="38" t="n">
        <x:v>0</x:v>
      </x:c>
      <x:c r="J215" s="44" t="n">
        <x:v>0</x:v>
      </x:c>
      <x:c r="K215" s="32" t="n">
        <x:v>0</x:v>
      </x:c>
      <x:c r="L215" s="50"/>
      <x:c r="M215" s="50"/>
      <x:c r="N215" s="32" t="str">
        <x:f>IF(M215="","",MAX(0,'Resumen'!$B$3-M215))</x:f>
      </x:c>
      <x:c r="O215" s="38" t="n">
        <x:v>0</x:v>
      </x:c>
      <x:c r="P215" s="38" t="n">
        <x:v>0</x:v>
      </x:c>
      <x:c r="Q215" s="38" t="n">
        <x:v>0</x:v>
      </x:c>
      <x:c r="R215" s="38" t="n">
        <x:f>MIN(D215,I215)</x:f>
        <x:v>0</x:v>
      </x:c>
      <x:c r="S215" s="47" t="n">
        <x:f>IFERROR(R215/D215,0)</x:f>
        <x:v>0</x:v>
      </x:c>
      <x:c r="T215" s="38" t="n">
        <x:f>MIN(MAX(G215,0),MAX(D215-I215,0))</x:f>
        <x:v>2</x:v>
      </x:c>
      <x:c r="U215" s="44" t="n">
        <x:f>T215*E215</x:f>
        <x:v>17668</x:v>
      </x:c>
      <x:c r="V215" s="38" t="n">
        <x:v>0</x:v>
      </x:c>
      <x:c r="W215" s="32" t="n">
        <x:v>0</x:v>
      </x:c>
      <x:c r="X215" s="50"/>
      <x:c r="Y215" s="44" t="n">
        <x:v>15000</x:v>
      </x:c>
      <x:c r="Z215" s="44" t="n">
        <x:f>IF(I215&gt;0,R215*(J215/I215),0)</x:f>
        <x:v>0</x:v>
      </x:c>
      <x:c r="AA215" s="44" t="n">
        <x:f>Z215-(R215*E215)</x:f>
        <x:v>0</x:v>
      </x:c>
      <x:c r="AB215" s="47" t="n">
        <x:f>IFERROR(AA215/Z215,0)</x:f>
        <x:v>0</x:v>
      </x:c>
      <x:c r="AC215" s="32" t="str">
        <x:f>IF(S215=0,"0%",IF(S215&lt;0.5,"1-49%",IF(S215&lt;0.8,"50-79%",IF(S215&lt;1,"80-99%","100%"))))</x:f>
        <x:v>0%</x:v>
      </x:c>
      <x:c r="AD215" s="33" t="str">
        <x:f>IF(G215&lt;0,"Stock negativo",IF(G215&lt;=0,"Sin stock actual",IF(I215&lt;=0,"Sin ventas desde compra",IF(Q215&lt;=0,"Con stock, sin ventas 365d",IF(S215&lt;0.5,"Rotación baja",IF(S215&lt;1,"Rotación media","Compra absorbida; stock repuesto"))))))</x:f>
        <x:v>Sin ventas desde compra</x:v>
      </x:c>
    </x:row>
    <x:row r="216">
      <x:c r="A216" s="31" t="str">
        <x:v>DIA-010</x:v>
      </x:c>
      <x:c r="B216" s="53" t="str">
        <x:v>DIAFRAGMA BWS 125 YAMAHA</x:v>
      </x:c>
      <x:c r="C216" s="32" t="n">
        <x:v>1</x:v>
      </x:c>
      <x:c r="D216" s="38" t="n">
        <x:v>2</x:v>
      </x:c>
      <x:c r="E216" s="44" t="n">
        <x:v>8800</x:v>
      </x:c>
      <x:c r="F216" s="44" t="n">
        <x:v>17600</x:v>
      </x:c>
      <x:c r="G216" s="41" t="n">
        <x:v>1</x:v>
      </x:c>
      <x:c r="H216" s="44" t="n">
        <x:f>MAX(G216,0)*E216</x:f>
        <x:v>8800</x:v>
      </x:c>
      <x:c r="I216" s="38" t="n">
        <x:v>1</x:v>
      </x:c>
      <x:c r="J216" s="44" t="n">
        <x:v>14500</x:v>
      </x:c>
      <x:c r="K216" s="32" t="n">
        <x:v>1</x:v>
      </x:c>
      <x:c r="L216" s="50" t="n">
        <x:v>45618.67325231482</x:v>
      </x:c>
      <x:c r="M216" s="50" t="n">
        <x:v>45618.67325231482</x:v>
      </x:c>
      <x:c r="N216" s="32" t="n">
        <x:f>IF(M216="","",MAX(0,'Resumen'!$B$3-M216))</x:f>
        <x:v>648.3267476851834</x:v>
      </x:c>
      <x:c r="O216" s="38" t="n">
        <x:v>0</x:v>
      </x:c>
      <x:c r="P216" s="38" t="n">
        <x:v>0</x:v>
      </x:c>
      <x:c r="Q216" s="38" t="n">
        <x:v>0</x:v>
      </x:c>
      <x:c r="R216" s="38" t="n">
        <x:f>MIN(D216,I216)</x:f>
        <x:v>1</x:v>
      </x:c>
      <x:c r="S216" s="47" t="n">
        <x:f>IFERROR(R216/D216,0)</x:f>
        <x:v>0.5</x:v>
      </x:c>
      <x:c r="T216" s="38" t="n">
        <x:f>MIN(MAX(G216,0),MAX(D216-I216,0))</x:f>
        <x:v>1</x:v>
      </x:c>
      <x:c r="U216" s="44" t="n">
        <x:f>T216*E216</x:f>
        <x:v>8800</x:v>
      </x:c>
      <x:c r="V216" s="38" t="n">
        <x:v>0</x:v>
      </x:c>
      <x:c r="W216" s="32" t="n">
        <x:v>0</x:v>
      </x:c>
      <x:c r="X216" s="50"/>
      <x:c r="Y216" s="44" t="n">
        <x:v>15000</x:v>
      </x:c>
      <x:c r="Z216" s="44" t="n">
        <x:f>IF(I216&gt;0,R216*(J216/I216),0)</x:f>
        <x:v>14500</x:v>
      </x:c>
      <x:c r="AA216" s="44" t="n">
        <x:f>Z216-(R216*E216)</x:f>
        <x:v>5700</x:v>
      </x:c>
      <x:c r="AB216" s="47" t="n">
        <x:f>IFERROR(AA216/Z216,0)</x:f>
        <x:v>0.3931034482758621</x:v>
      </x:c>
      <x:c r="AC216" s="32" t="str">
        <x:f>IF(S216=0,"0%",IF(S216&lt;0.5,"1-49%",IF(S216&lt;0.8,"50-79%",IF(S216&lt;1,"80-99%","100%"))))</x:f>
        <x:v>50-79%</x:v>
      </x:c>
      <x:c r="AD216" s="33" t="str">
        <x:f>IF(G216&lt;0,"Stock negativo",IF(G216&lt;=0,"Sin stock actual",IF(I216&lt;=0,"Sin ventas desde compra",IF(Q216&lt;=0,"Con stock, sin ventas 365d",IF(S216&lt;0.5,"Rotación baja",IF(S216&lt;1,"Rotación media","Compra absorbida; stock repuesto"))))))</x:f>
        <x:v>Con stock, sin ventas 365d</x:v>
      </x:c>
    </x:row>
    <x:row r="217">
      <x:c r="A217" s="31" t="str">
        <x:v>KIT - 035</x:v>
      </x:c>
      <x:c r="B217" s="53" t="str">
        <x:v>KIT MARDAZA</x:v>
      </x:c>
      <x:c r="C217" s="32" t="n">
        <x:v>1</x:v>
      </x:c>
      <x:c r="D217" s="38" t="n">
        <x:v>5</x:v>
      </x:c>
      <x:c r="E217" s="44" t="n">
        <x:v>3500</x:v>
      </x:c>
      <x:c r="F217" s="44" t="n">
        <x:v>17500</x:v>
      </x:c>
      <x:c r="G217" s="41" t="n">
        <x:v>0</x:v>
      </x:c>
      <x:c r="H217" s="44" t="n">
        <x:f>MAX(G217,0)*E217</x:f>
        <x:v>0</x:v>
      </x:c>
      <x:c r="I217" s="38" t="n">
        <x:v>5</x:v>
      </x:c>
      <x:c r="J217" s="44" t="n">
        <x:v>30000</x:v>
      </x:c>
      <x:c r="K217" s="32" t="n">
        <x:v>4</x:v>
      </x:c>
      <x:c r="L217" s="50" t="n">
        <x:v>45503.79493055555</x:v>
      </x:c>
      <x:c r="M217" s="50" t="n">
        <x:v>45559.55090277778</x:v>
      </x:c>
      <x:c r="N217" s="32" t="n">
        <x:f>IF(M217="","",MAX(0,'Resumen'!$B$3-M217))</x:f>
        <x:v>707.4490972222193</x:v>
      </x:c>
      <x:c r="O217" s="38" t="n">
        <x:v>0</x:v>
      </x:c>
      <x:c r="P217" s="38" t="n">
        <x:v>0</x:v>
      </x:c>
      <x:c r="Q217" s="38" t="n">
        <x:v>0</x:v>
      </x:c>
      <x:c r="R217" s="38" t="n">
        <x:f>MIN(D217,I217)</x:f>
        <x:v>5</x:v>
      </x:c>
      <x:c r="S217" s="47" t="n">
        <x:f>IFERROR(R217/D217,0)</x:f>
        <x:v>1</x:v>
      </x:c>
      <x:c r="T217" s="38" t="n">
        <x:f>MIN(MAX(G217,0),MAX(D217-I217,0))</x:f>
        <x:v>0</x:v>
      </x:c>
      <x:c r="U217" s="44" t="n">
        <x:f>T217*E217</x:f>
        <x:v>0</x:v>
      </x:c>
      <x:c r="V217" s="38" t="n">
        <x:v>0</x:v>
      </x:c>
      <x:c r="W217" s="32" t="n">
        <x:v>0</x:v>
      </x:c>
      <x:c r="X217" s="50"/>
      <x:c r="Y217" s="44" t="n">
        <x:v>6000</x:v>
      </x:c>
      <x:c r="Z217" s="44" t="n">
        <x:f>IF(I217&gt;0,R217*(J217/I217),0)</x:f>
        <x:v>30000</x:v>
      </x:c>
      <x:c r="AA217" s="44" t="n">
        <x:f>Z217-(R217*E217)</x:f>
        <x:v>12500</x:v>
      </x:c>
      <x:c r="AB217" s="47" t="n">
        <x:f>IFERROR(AA217/Z217,0)</x:f>
        <x:v>0.4166666666666667</x:v>
      </x:c>
      <x:c r="AC217" s="32" t="str">
        <x:f>IF(S217=0,"0%",IF(S217&lt;0.5,"1-49%",IF(S217&lt;0.8,"50-79%",IF(S217&lt;1,"80-99%","100%"))))</x:f>
        <x:v>100%</x:v>
      </x:c>
      <x:c r="AD217" s="33" t="str">
        <x:f>IF(G217&lt;0,"Stock negativo",IF(G217&lt;=0,"Sin stock actual",IF(I217&lt;=0,"Sin ventas desde compra",IF(Q217&lt;=0,"Con stock, sin ventas 365d",IF(S217&lt;0.5,"Rotación baja",IF(S217&lt;1,"Rotación media","Compra absorbida; stock repuesto"))))))</x:f>
        <x:v>Sin stock actual</x:v>
      </x:c>
    </x:row>
    <x:row r="218">
      <x:c r="A218" s="31" t="str">
        <x:v>MOTS1136</x:v>
      </x:c>
      <x:c r="B218" s="53" t="str">
        <x:v>EMBLEMA PALSTICO YAMAHA FAROLA RX 115</x:v>
      </x:c>
      <x:c r="C218" s="32" t="n">
        <x:v>1</x:v>
      </x:c>
      <x:c r="D218" s="38" t="n">
        <x:v>5</x:v>
      </x:c>
      <x:c r="E218" s="44" t="n">
        <x:v>3500</x:v>
      </x:c>
      <x:c r="F218" s="44" t="n">
        <x:v>17500</x:v>
      </x:c>
      <x:c r="G218" s="41" t="n">
        <x:v>5</x:v>
      </x:c>
      <x:c r="H218" s="44" t="n">
        <x:f>MAX(G218,0)*E218</x:f>
        <x:v>17500</x:v>
      </x:c>
      <x:c r="I218" s="38" t="n">
        <x:v>0</x:v>
      </x:c>
      <x:c r="J218" s="44" t="n">
        <x:v>0</x:v>
      </x:c>
      <x:c r="K218" s="32" t="n">
        <x:v>0</x:v>
      </x:c>
      <x:c r="L218" s="50"/>
      <x:c r="M218" s="50"/>
      <x:c r="N218" s="32" t="str">
        <x:f>IF(M218="","",MAX(0,'Resumen'!$B$3-M218))</x:f>
      </x:c>
      <x:c r="O218" s="38" t="n">
        <x:v>0</x:v>
      </x:c>
      <x:c r="P218" s="38" t="n">
        <x:v>0</x:v>
      </x:c>
      <x:c r="Q218" s="38" t="n">
        <x:v>0</x:v>
      </x:c>
      <x:c r="R218" s="38" t="n">
        <x:f>MIN(D218,I218)</x:f>
        <x:v>0</x:v>
      </x:c>
      <x:c r="S218" s="47" t="n">
        <x:f>IFERROR(R218/D218,0)</x:f>
        <x:v>0</x:v>
      </x:c>
      <x:c r="T218" s="38" t="n">
        <x:f>MIN(MAX(G218,0),MAX(D218-I218,0))</x:f>
        <x:v>5</x:v>
      </x:c>
      <x:c r="U218" s="44" t="n">
        <x:f>T218*E218</x:f>
        <x:v>17500</x:v>
      </x:c>
      <x:c r="V218" s="38" t="n">
        <x:v>0</x:v>
      </x:c>
      <x:c r="W218" s="32" t="n">
        <x:v>0</x:v>
      </x:c>
      <x:c r="X218" s="50"/>
      <x:c r="Y218" s="44" t="n">
        <x:v>6000</x:v>
      </x:c>
      <x:c r="Z218" s="44" t="n">
        <x:f>IF(I218&gt;0,R218*(J218/I218),0)</x:f>
        <x:v>0</x:v>
      </x:c>
      <x:c r="AA218" s="44" t="n">
        <x:f>Z218-(R218*E218)</x:f>
        <x:v>0</x:v>
      </x:c>
      <x:c r="AB218" s="47" t="n">
        <x:f>IFERROR(AA218/Z218,0)</x:f>
        <x:v>0</x:v>
      </x:c>
      <x:c r="AC218" s="32" t="str">
        <x:f>IF(S218=0,"0%",IF(S218&lt;0.5,"1-49%",IF(S218&lt;0.8,"50-79%",IF(S218&lt;1,"80-99%","100%"))))</x:f>
        <x:v>0%</x:v>
      </x:c>
      <x:c r="AD218" s="33" t="str">
        <x:f>IF(G218&lt;0,"Stock negativo",IF(G218&lt;=0,"Sin stock actual",IF(I218&lt;=0,"Sin ventas desde compra",IF(Q218&lt;=0,"Con stock, sin ventas 365d",IF(S218&lt;0.5,"Rotación baja",IF(S218&lt;1,"Rotación media","Compra absorbida; stock repuesto"))))))</x:f>
        <x:v>Sin ventas desde compra</x:v>
      </x:c>
    </x:row>
    <x:row r="219">
      <x:c r="A219" s="31" t="str">
        <x:v>MOTS1177</x:v>
      </x:c>
      <x:c r="B219" s="53" t="str">
        <x:v>MANIGUETA DER YBR 125 OUGUANG</x:v>
      </x:c>
      <x:c r="C219" s="32" t="n">
        <x:v>1</x:v>
      </x:c>
      <x:c r="D219" s="38" t="n">
        <x:v>5</x:v>
      </x:c>
      <x:c r="E219" s="44" t="n">
        <x:v>3500</x:v>
      </x:c>
      <x:c r="F219" s="44" t="n">
        <x:v>17500</x:v>
      </x:c>
      <x:c r="G219" s="41" t="n">
        <x:v>5</x:v>
      </x:c>
      <x:c r="H219" s="44" t="n">
        <x:f>MAX(G219,0)*E219</x:f>
        <x:v>17500</x:v>
      </x:c>
      <x:c r="I219" s="38" t="n">
        <x:v>0</x:v>
      </x:c>
      <x:c r="J219" s="44" t="n">
        <x:v>0</x:v>
      </x:c>
      <x:c r="K219" s="32" t="n">
        <x:v>0</x:v>
      </x:c>
      <x:c r="L219" s="50"/>
      <x:c r="M219" s="50"/>
      <x:c r="N219" s="32" t="str">
        <x:f>IF(M219="","",MAX(0,'Resumen'!$B$3-M219))</x:f>
      </x:c>
      <x:c r="O219" s="38" t="n">
        <x:v>0</x:v>
      </x:c>
      <x:c r="P219" s="38" t="n">
        <x:v>0</x:v>
      </x:c>
      <x:c r="Q219" s="38" t="n">
        <x:v>0</x:v>
      </x:c>
      <x:c r="R219" s="38" t="n">
        <x:f>MIN(D219,I219)</x:f>
        <x:v>0</x:v>
      </x:c>
      <x:c r="S219" s="47" t="n">
        <x:f>IFERROR(R219/D219,0)</x:f>
        <x:v>0</x:v>
      </x:c>
      <x:c r="T219" s="38" t="n">
        <x:f>MIN(MAX(G219,0),MAX(D219-I219,0))</x:f>
        <x:v>5</x:v>
      </x:c>
      <x:c r="U219" s="44" t="n">
        <x:f>T219*E219</x:f>
        <x:v>17500</x:v>
      </x:c>
      <x:c r="V219" s="38" t="n">
        <x:v>0</x:v>
      </x:c>
      <x:c r="W219" s="32" t="n">
        <x:v>0</x:v>
      </x:c>
      <x:c r="X219" s="50"/>
      <x:c r="Y219" s="44" t="n">
        <x:v>6000</x:v>
      </x:c>
      <x:c r="Z219" s="44" t="n">
        <x:f>IF(I219&gt;0,R219*(J219/I219),0)</x:f>
        <x:v>0</x:v>
      </x:c>
      <x:c r="AA219" s="44" t="n">
        <x:f>Z219-(R219*E219)</x:f>
        <x:v>0</x:v>
      </x:c>
      <x:c r="AB219" s="47" t="n">
        <x:f>IFERROR(AA219/Z219,0)</x:f>
        <x:v>0</x:v>
      </x:c>
      <x:c r="AC219" s="32" t="str">
        <x:f>IF(S219=0,"0%",IF(S219&lt;0.5,"1-49%",IF(S219&lt;0.8,"50-79%",IF(S219&lt;1,"80-99%","100%"))))</x:f>
        <x:v>0%</x:v>
      </x:c>
      <x:c r="AD219" s="33" t="str">
        <x:f>IF(G219&lt;0,"Stock negativo",IF(G219&lt;=0,"Sin stock actual",IF(I219&lt;=0,"Sin ventas desde compra",IF(Q219&lt;=0,"Con stock, sin ventas 365d",IF(S219&lt;0.5,"Rotación baja",IF(S219&lt;1,"Rotación media","Compra absorbida; stock repuesto"))))))</x:f>
        <x:v>Sin ventas desde compra</x:v>
      </x:c>
    </x:row>
    <x:row r="220">
      <x:c r="A220" s="31" t="str">
        <x:v>6511</x:v>
      </x:c>
      <x:c r="B220" s="53" t="str">
        <x:v>BUJIA BP5HS NGK</x:v>
      </x:c>
      <x:c r="C220" s="32" t="n">
        <x:v>1</x:v>
      </x:c>
      <x:c r="D220" s="38" t="n">
        <x:v>3</x:v>
      </x:c>
      <x:c r="E220" s="44" t="n">
        <x:v>5800</x:v>
      </x:c>
      <x:c r="F220" s="44" t="n">
        <x:v>17400</x:v>
      </x:c>
      <x:c r="G220" s="41" t="n">
        <x:v>2</x:v>
      </x:c>
      <x:c r="H220" s="44" t="n">
        <x:f>MAX(G220,0)*E220</x:f>
        <x:v>11600</x:v>
      </x:c>
      <x:c r="I220" s="38" t="n">
        <x:v>1</x:v>
      </x:c>
      <x:c r="J220" s="44" t="n">
        <x:v>10000</x:v>
      </x:c>
      <x:c r="K220" s="32" t="n">
        <x:v>1</x:v>
      </x:c>
      <x:c r="L220" s="50" t="n">
        <x:v>45940.882199074076</x:v>
      </x:c>
      <x:c r="M220" s="50" t="n">
        <x:v>45940.882199074076</x:v>
      </x:c>
      <x:c r="N220" s="32" t="n">
        <x:f>IF(M220="","",MAX(0,'Resumen'!$B$3-M220))</x:f>
        <x:v>326.1178009259238</x:v>
      </x:c>
      <x:c r="O220" s="38" t="n">
        <x:v>0</x:v>
      </x:c>
      <x:c r="P220" s="38" t="n">
        <x:v>0</x:v>
      </x:c>
      <x:c r="Q220" s="38" t="n">
        <x:v>1</x:v>
      </x:c>
      <x:c r="R220" s="38" t="n">
        <x:f>MIN(D220,I220)</x:f>
        <x:v>1</x:v>
      </x:c>
      <x:c r="S220" s="47" t="n">
        <x:f>IFERROR(R220/D220,0)</x:f>
        <x:v>0.3333333333333333</x:v>
      </x:c>
      <x:c r="T220" s="38" t="n">
        <x:f>MIN(MAX(G220,0),MAX(D220-I220,0))</x:f>
        <x:v>2</x:v>
      </x:c>
      <x:c r="U220" s="44" t="n">
        <x:f>T220*E220</x:f>
        <x:v>11600</x:v>
      </x:c>
      <x:c r="V220" s="38" t="n">
        <x:v>0</x:v>
      </x:c>
      <x:c r="W220" s="32" t="n">
        <x:v>0</x:v>
      </x:c>
      <x:c r="X220" s="50"/>
      <x:c r="Y220" s="44" t="n">
        <x:v>10000</x:v>
      </x:c>
      <x:c r="Z220" s="44" t="n">
        <x:f>IF(I220&gt;0,R220*(J220/I220),0)</x:f>
        <x:v>10000</x:v>
      </x:c>
      <x:c r="AA220" s="44" t="n">
        <x:f>Z220-(R220*E220)</x:f>
        <x:v>4200</x:v>
      </x:c>
      <x:c r="AB220" s="47" t="n">
        <x:f>IFERROR(AA220/Z220,0)</x:f>
        <x:v>0.42</x:v>
      </x:c>
      <x:c r="AC220" s="32" t="str">
        <x:f>IF(S220=0,"0%",IF(S220&lt;0.5,"1-49%",IF(S220&lt;0.8,"50-79%",IF(S220&lt;1,"80-99%","100%"))))</x:f>
        <x:v>1-49%</x:v>
      </x:c>
      <x:c r="AD220" s="33" t="str">
        <x:f>IF(G220&lt;0,"Stock negativo",IF(G220&lt;=0,"Sin stock actual",IF(I220&lt;=0,"Sin ventas desde compra",IF(Q220&lt;=0,"Con stock, sin ventas 365d",IF(S220&lt;0.5,"Rotación baja",IF(S220&lt;1,"Rotación media","Compra absorbida; stock repuesto"))))))</x:f>
        <x:v>Rotación baja</x:v>
      </x:c>
    </x:row>
    <x:row r="221">
      <x:c r="A221" s="31" t="str">
        <x:v>MOTS1030</x:v>
      </x:c>
      <x:c r="B221" s="53" t="str">
        <x:v>CAUCHO ANTIVIBRANTE CILINDRO DT PENIEL</x:v>
      </x:c>
      <x:c r="C221" s="32" t="n">
        <x:v>1</x:v>
      </x:c>
      <x:c r="D221" s="38" t="n">
        <x:v>6</x:v>
      </x:c>
      <x:c r="E221" s="44" t="n">
        <x:v>2900</x:v>
      </x:c>
      <x:c r="F221" s="44" t="n">
        <x:v>17400</x:v>
      </x:c>
      <x:c r="G221" s="41" t="n">
        <x:v>6</x:v>
      </x:c>
      <x:c r="H221" s="44" t="n">
        <x:f>MAX(G221,0)*E221</x:f>
        <x:v>17400</x:v>
      </x:c>
      <x:c r="I221" s="38" t="n">
        <x:v>0</x:v>
      </x:c>
      <x:c r="J221" s="44" t="n">
        <x:v>0</x:v>
      </x:c>
      <x:c r="K221" s="32" t="n">
        <x:v>0</x:v>
      </x:c>
      <x:c r="L221" s="50"/>
      <x:c r="M221" s="50"/>
      <x:c r="N221" s="32" t="str">
        <x:f>IF(M221="","",MAX(0,'Resumen'!$B$3-M221))</x:f>
      </x:c>
      <x:c r="O221" s="38" t="n">
        <x:v>0</x:v>
      </x:c>
      <x:c r="P221" s="38" t="n">
        <x:v>0</x:v>
      </x:c>
      <x:c r="Q221" s="38" t="n">
        <x:v>0</x:v>
      </x:c>
      <x:c r="R221" s="38" t="n">
        <x:f>MIN(D221,I221)</x:f>
        <x:v>0</x:v>
      </x:c>
      <x:c r="S221" s="47" t="n">
        <x:f>IFERROR(R221/D221,0)</x:f>
        <x:v>0</x:v>
      </x:c>
      <x:c r="T221" s="38" t="n">
        <x:f>MIN(MAX(G221,0),MAX(D221-I221,0))</x:f>
        <x:v>6</x:v>
      </x:c>
      <x:c r="U221" s="44" t="n">
        <x:f>T221*E221</x:f>
        <x:v>17400</x:v>
      </x:c>
      <x:c r="V221" s="38" t="n">
        <x:v>0</x:v>
      </x:c>
      <x:c r="W221" s="32" t="n">
        <x:v>0</x:v>
      </x:c>
      <x:c r="X221" s="50"/>
      <x:c r="Y221" s="44" t="n">
        <x:v>5000</x:v>
      </x:c>
      <x:c r="Z221" s="44" t="n">
        <x:f>IF(I221&gt;0,R221*(J221/I221),0)</x:f>
        <x:v>0</x:v>
      </x:c>
      <x:c r="AA221" s="44" t="n">
        <x:f>Z221-(R221*E221)</x:f>
        <x:v>0</x:v>
      </x:c>
      <x:c r="AB221" s="47" t="n">
        <x:f>IFERROR(AA221/Z221,0)</x:f>
        <x:v>0</x:v>
      </x:c>
      <x:c r="AC221" s="32" t="str">
        <x:f>IF(S221=0,"0%",IF(S221&lt;0.5,"1-49%",IF(S221&lt;0.8,"50-79%",IF(S221&lt;1,"80-99%","100%"))))</x:f>
        <x:v>0%</x:v>
      </x:c>
      <x:c r="AD221" s="33" t="str">
        <x:f>IF(G221&lt;0,"Stock negativo",IF(G221&lt;=0,"Sin stock actual",IF(I221&lt;=0,"Sin ventas desde compra",IF(Q221&lt;=0,"Con stock, sin ventas 365d",IF(S221&lt;0.5,"Rotación baja",IF(S221&lt;1,"Rotación media","Compra absorbida; stock repuesto"))))))</x:f>
        <x:v>Sin ventas desde compra</x:v>
      </x:c>
    </x:row>
    <x:row r="222">
      <x:c r="A222" s="31" t="str">
        <x:v>MOTS1031</x:v>
      </x:c>
      <x:c r="B222" s="53" t="str">
        <x:v>CAUCHO ANTIVIBRANTE CULATA DT PENIIEL</x:v>
      </x:c>
      <x:c r="C222" s="32" t="n">
        <x:v>1</x:v>
      </x:c>
      <x:c r="D222" s="38" t="n">
        <x:v>6</x:v>
      </x:c>
      <x:c r="E222" s="44" t="n">
        <x:v>2900</x:v>
      </x:c>
      <x:c r="F222" s="44" t="n">
        <x:v>17400</x:v>
      </x:c>
      <x:c r="G222" s="41" t="n">
        <x:v>6</x:v>
      </x:c>
      <x:c r="H222" s="44" t="n">
        <x:f>MAX(G222,0)*E222</x:f>
        <x:v>17400</x:v>
      </x:c>
      <x:c r="I222" s="38" t="n">
        <x:v>0</x:v>
      </x:c>
      <x:c r="J222" s="44" t="n">
        <x:v>0</x:v>
      </x:c>
      <x:c r="K222" s="32" t="n">
        <x:v>0</x:v>
      </x:c>
      <x:c r="L222" s="50"/>
      <x:c r="M222" s="50"/>
      <x:c r="N222" s="32" t="str">
        <x:f>IF(M222="","",MAX(0,'Resumen'!$B$3-M222))</x:f>
      </x:c>
      <x:c r="O222" s="38" t="n">
        <x:v>0</x:v>
      </x:c>
      <x:c r="P222" s="38" t="n">
        <x:v>0</x:v>
      </x:c>
      <x:c r="Q222" s="38" t="n">
        <x:v>0</x:v>
      </x:c>
      <x:c r="R222" s="38" t="n">
        <x:f>MIN(D222,I222)</x:f>
        <x:v>0</x:v>
      </x:c>
      <x:c r="S222" s="47" t="n">
        <x:f>IFERROR(R222/D222,0)</x:f>
        <x:v>0</x:v>
      </x:c>
      <x:c r="T222" s="38" t="n">
        <x:f>MIN(MAX(G222,0),MAX(D222-I222,0))</x:f>
        <x:v>6</x:v>
      </x:c>
      <x:c r="U222" s="44" t="n">
        <x:f>T222*E222</x:f>
        <x:v>17400</x:v>
      </x:c>
      <x:c r="V222" s="38" t="n">
        <x:v>0</x:v>
      </x:c>
      <x:c r="W222" s="32" t="n">
        <x:v>0</x:v>
      </x:c>
      <x:c r="X222" s="50"/>
      <x:c r="Y222" s="44" t="n">
        <x:v>5000</x:v>
      </x:c>
      <x:c r="Z222" s="44" t="n">
        <x:f>IF(I222&gt;0,R222*(J222/I222),0)</x:f>
        <x:v>0</x:v>
      </x:c>
      <x:c r="AA222" s="44" t="n">
        <x:f>Z222-(R222*E222)</x:f>
        <x:v>0</x:v>
      </x:c>
      <x:c r="AB222" s="47" t="n">
        <x:f>IFERROR(AA222/Z222,0)</x:f>
        <x:v>0</x:v>
      </x:c>
      <x:c r="AC222" s="32" t="str">
        <x:f>IF(S222=0,"0%",IF(S222&lt;0.5,"1-49%",IF(S222&lt;0.8,"50-79%",IF(S222&lt;1,"80-99%","100%"))))</x:f>
        <x:v>0%</x:v>
      </x:c>
      <x:c r="AD222" s="33" t="str">
        <x:f>IF(G222&lt;0,"Stock negativo",IF(G222&lt;=0,"Sin stock actual",IF(I222&lt;=0,"Sin ventas desde compra",IF(Q222&lt;=0,"Con stock, sin ventas 365d",IF(S222&lt;0.5,"Rotación baja",IF(S222&lt;1,"Rotación media","Compra absorbida; stock repuesto"))))))</x:f>
        <x:v>Sin ventas desde compra</x:v>
      </x:c>
    </x:row>
    <x:row r="223">
      <x:c r="A223" s="31" t="str">
        <x:v>MOTS1416</x:v>
      </x:c>
      <x:c r="B223" s="53" t="str">
        <x:v>FILTRO ACEITE PULSAR 135</x:v>
      </x:c>
      <x:c r="C223" s="32" t="n">
        <x:v>1</x:v>
      </x:c>
      <x:c r="D223" s="38" t="n">
        <x:v>3</x:v>
      </x:c>
      <x:c r="E223" s="44" t="n">
        <x:v>5800</x:v>
      </x:c>
      <x:c r="F223" s="44" t="n">
        <x:v>17400</x:v>
      </x:c>
      <x:c r="G223" s="41" t="n">
        <x:v>0</x:v>
      </x:c>
      <x:c r="H223" s="44" t="n">
        <x:f>MAX(G223,0)*E223</x:f>
        <x:v>0</x:v>
      </x:c>
      <x:c r="I223" s="38" t="n">
        <x:v>3</x:v>
      </x:c>
      <x:c r="J223" s="44" t="n">
        <x:v>30000</x:v>
      </x:c>
      <x:c r="K223" s="32" t="n">
        <x:v>3</x:v>
      </x:c>
      <x:c r="L223" s="50" t="n">
        <x:v>45593.63251157408</x:v>
      </x:c>
      <x:c r="M223" s="50" t="n">
        <x:v>45850.701631944445</x:v>
      </x:c>
      <x:c r="N223" s="32" t="n">
        <x:f>IF(M223="","",MAX(0,'Resumen'!$B$3-M223))</x:f>
        <x:v>416.29836805555533</x:v>
      </x:c>
      <x:c r="O223" s="38" t="n">
        <x:v>0</x:v>
      </x:c>
      <x:c r="P223" s="38" t="n">
        <x:v>0</x:v>
      </x:c>
      <x:c r="Q223" s="38" t="n">
        <x:v>0</x:v>
      </x:c>
      <x:c r="R223" s="38" t="n">
        <x:f>MIN(D223,I223)</x:f>
        <x:v>3</x:v>
      </x:c>
      <x:c r="S223" s="47" t="n">
        <x:f>IFERROR(R223/D223,0)</x:f>
        <x:v>1</x:v>
      </x:c>
      <x:c r="T223" s="38" t="n">
        <x:f>MIN(MAX(G223,0),MAX(D223-I223,0))</x:f>
        <x:v>0</x:v>
      </x:c>
      <x:c r="U223" s="44" t="n">
        <x:f>T223*E223</x:f>
        <x:v>0</x:v>
      </x:c>
      <x:c r="V223" s="38" t="n">
        <x:v>0</x:v>
      </x:c>
      <x:c r="W223" s="32" t="n">
        <x:v>0</x:v>
      </x:c>
      <x:c r="X223" s="50"/>
      <x:c r="Y223" s="44" t="n">
        <x:v>10000</x:v>
      </x:c>
      <x:c r="Z223" s="44" t="n">
        <x:f>IF(I223&gt;0,R223*(J223/I223),0)</x:f>
        <x:v>30000</x:v>
      </x:c>
      <x:c r="AA223" s="44" t="n">
        <x:f>Z223-(R223*E223)</x:f>
        <x:v>12600</x:v>
      </x:c>
      <x:c r="AB223" s="47" t="n">
        <x:f>IFERROR(AA223/Z223,0)</x:f>
        <x:v>0.42</x:v>
      </x:c>
      <x:c r="AC223" s="32" t="str">
        <x:f>IF(S223=0,"0%",IF(S223&lt;0.5,"1-49%",IF(S223&lt;0.8,"50-79%",IF(S223&lt;1,"80-99%","100%"))))</x:f>
        <x:v>100%</x:v>
      </x:c>
      <x:c r="AD223" s="33" t="str">
        <x:f>IF(G223&lt;0,"Stock negativo",IF(G223&lt;=0,"Sin stock actual",IF(I223&lt;=0,"Sin ventas desde compra",IF(Q223&lt;=0,"Con stock, sin ventas 365d",IF(S223&lt;0.5,"Rotación baja",IF(S223&lt;1,"Rotación media","Compra absorbida; stock repuesto"))))))</x:f>
        <x:v>Sin stock actual</x:v>
      </x:c>
    </x:row>
    <x:row r="224">
      <x:c r="A224" s="31" t="str">
        <x:v>17647</x:v>
      </x:c>
      <x:c r="B224" s="53" t="str">
        <x:v>CUNAS DIRECCION XT2 125(05-13) BALIN AKITA</x:v>
      </x:c>
      <x:c r="C224" s="32" t="n">
        <x:v>1</x:v>
      </x:c>
      <x:c r="D224" s="38" t="n">
        <x:v>2</x:v>
      </x:c>
      <x:c r="E224" s="44" t="n">
        <x:v>8500</x:v>
      </x:c>
      <x:c r="F224" s="44" t="n">
        <x:v>17000</x:v>
      </x:c>
      <x:c r="G224" s="41" t="n">
        <x:v>0</x:v>
      </x:c>
      <x:c r="H224" s="44" t="n">
        <x:f>MAX(G224,0)*E224</x:f>
        <x:v>0</x:v>
      </x:c>
      <x:c r="I224" s="38" t="n">
        <x:v>2</x:v>
      </x:c>
      <x:c r="J224" s="44" t="n">
        <x:v>29500</x:v>
      </x:c>
      <x:c r="K224" s="32" t="n">
        <x:v>2</x:v>
      </x:c>
      <x:c r="L224" s="50" t="n">
        <x:v>45543.81575231482</x:v>
      </x:c>
      <x:c r="M224" s="50" t="n">
        <x:v>45844.06538194444</x:v>
      </x:c>
      <x:c r="N224" s="32" t="n">
        <x:f>IF(M224="","",MAX(0,'Resumen'!$B$3-M224))</x:f>
        <x:v>422.93461805555853</x:v>
      </x:c>
      <x:c r="O224" s="38" t="n">
        <x:v>0</x:v>
      </x:c>
      <x:c r="P224" s="38" t="n">
        <x:v>0</x:v>
      </x:c>
      <x:c r="Q224" s="38" t="n">
        <x:v>0</x:v>
      </x:c>
      <x:c r="R224" s="38" t="n">
        <x:f>MIN(D224,I224)</x:f>
        <x:v>2</x:v>
      </x:c>
      <x:c r="S224" s="47" t="n">
        <x:f>IFERROR(R224/D224,0)</x:f>
        <x:v>1</x:v>
      </x:c>
      <x:c r="T224" s="38" t="n">
        <x:f>MIN(MAX(G224,0),MAX(D224-I224,0))</x:f>
        <x:v>0</x:v>
      </x:c>
      <x:c r="U224" s="44" t="n">
        <x:f>T224*E224</x:f>
        <x:v>0</x:v>
      </x:c>
      <x:c r="V224" s="38" t="n">
        <x:v>0</x:v>
      </x:c>
      <x:c r="W224" s="32" t="n">
        <x:v>0</x:v>
      </x:c>
      <x:c r="X224" s="50"/>
      <x:c r="Y224" s="44" t="n">
        <x:v>14500</x:v>
      </x:c>
      <x:c r="Z224" s="44" t="n">
        <x:f>IF(I224&gt;0,R224*(J224/I224),0)</x:f>
        <x:v>29500</x:v>
      </x:c>
      <x:c r="AA224" s="44" t="n">
        <x:f>Z224-(R224*E224)</x:f>
        <x:v>12500</x:v>
      </x:c>
      <x:c r="AB224" s="47" t="n">
        <x:f>IFERROR(AA224/Z224,0)</x:f>
        <x:v>0.423728813559322</x:v>
      </x:c>
      <x:c r="AC224" s="32" t="str">
        <x:f>IF(S224=0,"0%",IF(S224&lt;0.5,"1-49%",IF(S224&lt;0.8,"50-79%",IF(S224&lt;1,"80-99%","100%"))))</x:f>
        <x:v>100%</x:v>
      </x:c>
      <x:c r="AD224" s="33" t="str">
        <x:f>IF(G224&lt;0,"Stock negativo",IF(G224&lt;=0,"Sin stock actual",IF(I224&lt;=0,"Sin ventas desde compra",IF(Q224&lt;=0,"Con stock, sin ventas 365d",IF(S224&lt;0.5,"Rotación baja",IF(S224&lt;1,"Rotación media","Compra absorbida; stock repuesto"))))))</x:f>
        <x:v>Sin stock actual</x:v>
      </x:c>
    </x:row>
    <x:row r="225">
      <x:c r="A225" s="31" t="str">
        <x:v>CAD-045</x:v>
      </x:c>
      <x:c r="B225" s="53" t="str">
        <x:v>CADENILLA ECO DELUXE HERO</x:v>
      </x:c>
      <x:c r="C225" s="32" t="n">
        <x:v>1</x:v>
      </x:c>
      <x:c r="D225" s="38" t="n">
        <x:v>2</x:v>
      </x:c>
      <x:c r="E225" s="44" t="n">
        <x:v>8500</x:v>
      </x:c>
      <x:c r="F225" s="44" t="n">
        <x:v>17000</x:v>
      </x:c>
      <x:c r="G225" s="41" t="n">
        <x:v>0</x:v>
      </x:c>
      <x:c r="H225" s="44" t="n">
        <x:f>MAX(G225,0)*E225</x:f>
        <x:v>0</x:v>
      </x:c>
      <x:c r="I225" s="38" t="n">
        <x:v>2</x:v>
      </x:c>
      <x:c r="J225" s="44" t="n">
        <x:v>29500</x:v>
      </x:c>
      <x:c r="K225" s="32" t="n">
        <x:v>2</x:v>
      </x:c>
      <x:c r="L225" s="50" t="n">
        <x:v>45581.91856481481</x:v>
      </x:c>
      <x:c r="M225" s="50" t="n">
        <x:v>45582.83184027778</x:v>
      </x:c>
      <x:c r="N225" s="32" t="n">
        <x:f>IF(M225="","",MAX(0,'Resumen'!$B$3-M225))</x:f>
        <x:v>684.1681597222196</x:v>
      </x:c>
      <x:c r="O225" s="38" t="n">
        <x:v>0</x:v>
      </x:c>
      <x:c r="P225" s="38" t="n">
        <x:v>0</x:v>
      </x:c>
      <x:c r="Q225" s="38" t="n">
        <x:v>0</x:v>
      </x:c>
      <x:c r="R225" s="38" t="n">
        <x:f>MIN(D225,I225)</x:f>
        <x:v>2</x:v>
      </x:c>
      <x:c r="S225" s="47" t="n">
        <x:f>IFERROR(R225/D225,0)</x:f>
        <x:v>1</x:v>
      </x:c>
      <x:c r="T225" s="38" t="n">
        <x:f>MIN(MAX(G225,0),MAX(D225-I225,0))</x:f>
        <x:v>0</x:v>
      </x:c>
      <x:c r="U225" s="44" t="n">
        <x:f>T225*E225</x:f>
        <x:v>0</x:v>
      </x:c>
      <x:c r="V225" s="38" t="n">
        <x:v>0</x:v>
      </x:c>
      <x:c r="W225" s="32" t="n">
        <x:v>0</x:v>
      </x:c>
      <x:c r="X225" s="50"/>
      <x:c r="Y225" s="44" t="n">
        <x:v>14500</x:v>
      </x:c>
      <x:c r="Z225" s="44" t="n">
        <x:f>IF(I225&gt;0,R225*(J225/I225),0)</x:f>
        <x:v>29500</x:v>
      </x:c>
      <x:c r="AA225" s="44" t="n">
        <x:f>Z225-(R225*E225)</x:f>
        <x:v>12500</x:v>
      </x:c>
      <x:c r="AB225" s="47" t="n">
        <x:f>IFERROR(AA225/Z225,0)</x:f>
        <x:v>0.423728813559322</x:v>
      </x:c>
      <x:c r="AC225" s="32" t="str">
        <x:f>IF(S225=0,"0%",IF(S225&lt;0.5,"1-49%",IF(S225&lt;0.8,"50-79%",IF(S225&lt;1,"80-99%","100%"))))</x:f>
        <x:v>100%</x:v>
      </x:c>
      <x:c r="AD225" s="33" t="str">
        <x:f>IF(G225&lt;0,"Stock negativo",IF(G225&lt;=0,"Sin stock actual",IF(I225&lt;=0,"Sin ventas desde compra",IF(Q225&lt;=0,"Con stock, sin ventas 365d",IF(S225&lt;0.5,"Rotación baja",IF(S225&lt;1,"Rotación media","Compra absorbida; stock repuesto"))))))</x:f>
        <x:v>Sin stock actual</x:v>
      </x:c>
    </x:row>
    <x:row r="226">
      <x:c r="A226" s="31" t="str">
        <x:v>DIS - 00007847</x:v>
      </x:c>
      <x:c r="B226" s="53" t="str">
        <x:v>DISCOS CLUCTH BOXER UG / AVANT ANANT</x:v>
      </x:c>
      <x:c r="C226" s="32" t="n">
        <x:v>1</x:v>
      </x:c>
      <x:c r="D226" s="38" t="n">
        <x:v>1</x:v>
      </x:c>
      <x:c r="E226" s="44" t="n">
        <x:v>17000</x:v>
      </x:c>
      <x:c r="F226" s="44" t="n">
        <x:v>17000</x:v>
      </x:c>
      <x:c r="G226" s="41" t="n">
        <x:v>0</x:v>
      </x:c>
      <x:c r="H226" s="44" t="n">
        <x:f>MAX(G226,0)*E226</x:f>
        <x:v>0</x:v>
      </x:c>
      <x:c r="I226" s="38" t="n">
        <x:v>1</x:v>
      </x:c>
      <x:c r="J226" s="44" t="n">
        <x:v>25000</x:v>
      </x:c>
      <x:c r="K226" s="32" t="n">
        <x:v>1</x:v>
      </x:c>
      <x:c r="L226" s="50" t="n">
        <x:v>45768.60575231481</x:v>
      </x:c>
      <x:c r="M226" s="50" t="n">
        <x:v>45768.60575231481</x:v>
      </x:c>
      <x:c r="N226" s="32" t="n">
        <x:f>IF(M226="","",MAX(0,'Resumen'!$B$3-M226))</x:f>
        <x:v>498.394247685188</x:v>
      </x:c>
      <x:c r="O226" s="38" t="n">
        <x:v>0</x:v>
      </x:c>
      <x:c r="P226" s="38" t="n">
        <x:v>0</x:v>
      </x:c>
      <x:c r="Q226" s="38" t="n">
        <x:v>0</x:v>
      </x:c>
      <x:c r="R226" s="38" t="n">
        <x:f>MIN(D226,I226)</x:f>
        <x:v>1</x:v>
      </x:c>
      <x:c r="S226" s="47" t="n">
        <x:f>IFERROR(R226/D226,0)</x:f>
        <x:v>1</x:v>
      </x:c>
      <x:c r="T226" s="38" t="n">
        <x:f>MIN(MAX(G226,0),MAX(D226-I226,0))</x:f>
        <x:v>0</x:v>
      </x:c>
      <x:c r="U226" s="44" t="n">
        <x:f>T226*E226</x:f>
        <x:v>0</x:v>
      </x:c>
      <x:c r="V226" s="38" t="n">
        <x:v>0</x:v>
      </x:c>
      <x:c r="W226" s="32" t="n">
        <x:v>0</x:v>
      </x:c>
      <x:c r="X226" s="50"/>
      <x:c r="Y226" s="44" t="n">
        <x:v>28500</x:v>
      </x:c>
      <x:c r="Z226" s="44" t="n">
        <x:f>IF(I226&gt;0,R226*(J226/I226),0)</x:f>
        <x:v>25000</x:v>
      </x:c>
      <x:c r="AA226" s="44" t="n">
        <x:f>Z226-(R226*E226)</x:f>
        <x:v>8000</x:v>
      </x:c>
      <x:c r="AB226" s="47" t="n">
        <x:f>IFERROR(AA226/Z226,0)</x:f>
        <x:v>0.32</x:v>
      </x:c>
      <x:c r="AC226" s="32" t="str">
        <x:f>IF(S226=0,"0%",IF(S226&lt;0.5,"1-49%",IF(S226&lt;0.8,"50-79%",IF(S226&lt;1,"80-99%","100%"))))</x:f>
        <x:v>100%</x:v>
      </x:c>
      <x:c r="AD226" s="33" t="str">
        <x:f>IF(G226&lt;0,"Stock negativo",IF(G226&lt;=0,"Sin stock actual",IF(I226&lt;=0,"Sin ventas desde compra",IF(Q226&lt;=0,"Con stock, sin ventas 365d",IF(S226&lt;0.5,"Rotación baja",IF(S226&lt;1,"Rotación media","Compra absorbida; stock repuesto"))))))</x:f>
        <x:v>Sin stock actual</x:v>
      </x:c>
    </x:row>
    <x:row r="227">
      <x:c r="A227" s="31" t="str">
        <x:v>MOTS1125</x:v>
      </x:c>
      <x:c r="B227" s="53" t="str">
        <x:v>TAPA VALVULA VARIAS</x:v>
      </x:c>
      <x:c r="C227" s="32" t="n">
        <x:v>1</x:v>
      </x:c>
      <x:c r="D227" s="38" t="n">
        <x:v>17</x:v>
      </x:c>
      <x:c r="E227" s="44" t="n">
        <x:v>1000</x:v>
      </x:c>
      <x:c r="F227" s="44" t="n">
        <x:v>17000</x:v>
      </x:c>
      <x:c r="G227" s="41" t="n">
        <x:v>13</x:v>
      </x:c>
      <x:c r="H227" s="44" t="n">
        <x:f>MAX(G227,0)*E227</x:f>
        <x:v>13000</x:v>
      </x:c>
      <x:c r="I227" s="38" t="n">
        <x:v>4</x:v>
      </x:c>
      <x:c r="J227" s="44" t="n">
        <x:v>7000</x:v>
      </x:c>
      <x:c r="K227" s="32" t="n">
        <x:v>2</x:v>
      </x:c>
      <x:c r="L227" s="50" t="n">
        <x:v>45502.816041666665</x:v>
      </x:c>
      <x:c r="M227" s="50" t="n">
        <x:v>45798.84322916667</x:v>
      </x:c>
      <x:c r="N227" s="32" t="n">
        <x:f>IF(M227="","",MAX(0,'Resumen'!$B$3-M227))</x:f>
        <x:v>468.1567708333314</x:v>
      </x:c>
      <x:c r="O227" s="38" t="n">
        <x:v>0</x:v>
      </x:c>
      <x:c r="P227" s="38" t="n">
        <x:v>0</x:v>
      </x:c>
      <x:c r="Q227" s="38" t="n">
        <x:v>0</x:v>
      </x:c>
      <x:c r="R227" s="38" t="n">
        <x:f>MIN(D227,I227)</x:f>
        <x:v>4</x:v>
      </x:c>
      <x:c r="S227" s="47" t="n">
        <x:f>IFERROR(R227/D227,0)</x:f>
        <x:v>0.23529411764705882</x:v>
      </x:c>
      <x:c r="T227" s="38" t="n">
        <x:f>MIN(MAX(G227,0),MAX(D227-I227,0))</x:f>
        <x:v>13</x:v>
      </x:c>
      <x:c r="U227" s="44" t="n">
        <x:f>T227*E227</x:f>
        <x:v>13000</x:v>
      </x:c>
      <x:c r="V227" s="38" t="n">
        <x:v>0</x:v>
      </x:c>
      <x:c r="W227" s="32" t="n">
        <x:v>0</x:v>
      </x:c>
      <x:c r="X227" s="50"/>
      <x:c r="Y227" s="44" t="n">
        <x:v>2000</x:v>
      </x:c>
      <x:c r="Z227" s="44" t="n">
        <x:f>IF(I227&gt;0,R227*(J227/I227),0)</x:f>
        <x:v>7000</x:v>
      </x:c>
      <x:c r="AA227" s="44" t="n">
        <x:f>Z227-(R227*E227)</x:f>
        <x:v>3000</x:v>
      </x:c>
      <x:c r="AB227" s="47" t="n">
        <x:f>IFERROR(AA227/Z227,0)</x:f>
        <x:v>0.42857142857142855</x:v>
      </x:c>
      <x:c r="AC227" s="32" t="str">
        <x:f>IF(S227=0,"0%",IF(S227&lt;0.5,"1-49%",IF(S227&lt;0.8,"50-79%",IF(S227&lt;1,"80-99%","100%"))))</x:f>
        <x:v>1-49%</x:v>
      </x:c>
      <x:c r="AD227" s="33" t="str">
        <x:f>IF(G227&lt;0,"Stock negativo",IF(G227&lt;=0,"Sin stock actual",IF(I227&lt;=0,"Sin ventas desde compra",IF(Q227&lt;=0,"Con stock, sin ventas 365d",IF(S227&lt;0.5,"Rotación baja",IF(S227&lt;1,"Rotación media","Compra absorbida; stock repuesto"))))))</x:f>
        <x:v>Con stock, sin ventas 365d</x:v>
      </x:c>
    </x:row>
    <x:row r="228">
      <x:c r="A228" s="31" t="str">
        <x:v>MOTS1111</x:v>
      </x:c>
      <x:c r="B228" s="53" t="str">
        <x:v>TORNILLO PATA LATERAL</x:v>
      </x:c>
      <x:c r="C228" s="32" t="n">
        <x:v>1</x:v>
      </x:c>
      <x:c r="D228" s="38" t="n">
        <x:v>13</x:v>
      </x:c>
      <x:c r="E228" s="44" t="n">
        <x:v>1300</x:v>
      </x:c>
      <x:c r="F228" s="44" t="n">
        <x:v>16900</x:v>
      </x:c>
      <x:c r="G228" s="41" t="n">
        <x:v>8</x:v>
      </x:c>
      <x:c r="H228" s="44" t="n">
        <x:f>MAX(G228,0)*E228</x:f>
        <x:v>10400</x:v>
      </x:c>
      <x:c r="I228" s="38" t="n">
        <x:v>5</x:v>
      </x:c>
      <x:c r="J228" s="44" t="n">
        <x:v>12500</x:v>
      </x:c>
      <x:c r="K228" s="32" t="n">
        <x:v>5</x:v>
      </x:c>
      <x:c r="L228" s="50" t="n">
        <x:v>45522.59364583333</x:v>
      </x:c>
      <x:c r="M228" s="50" t="n">
        <x:v>45995.679814814815</x:v>
      </x:c>
      <x:c r="N228" s="32" t="n">
        <x:f>IF(M228="","",MAX(0,'Resumen'!$B$3-M228))</x:f>
        <x:v>271.3201851851845</x:v>
      </x:c>
      <x:c r="O228" s="38" t="n">
        <x:v>0</x:v>
      </x:c>
      <x:c r="P228" s="38" t="n">
        <x:v>0</x:v>
      </x:c>
      <x:c r="Q228" s="38" t="n">
        <x:v>1</x:v>
      </x:c>
      <x:c r="R228" s="38" t="n">
        <x:f>MIN(D228,I228)</x:f>
        <x:v>5</x:v>
      </x:c>
      <x:c r="S228" s="47" t="n">
        <x:f>IFERROR(R228/D228,0)</x:f>
        <x:v>0.38461538461538464</x:v>
      </x:c>
      <x:c r="T228" s="38" t="n">
        <x:f>MIN(MAX(G228,0),MAX(D228-I228,0))</x:f>
        <x:v>8</x:v>
      </x:c>
      <x:c r="U228" s="44" t="n">
        <x:f>T228*E228</x:f>
        <x:v>10400</x:v>
      </x:c>
      <x:c r="V228" s="38" t="n">
        <x:v>0</x:v>
      </x:c>
      <x:c r="W228" s="32" t="n">
        <x:v>0</x:v>
      </x:c>
      <x:c r="X228" s="50"/>
      <x:c r="Y228" s="44" t="n">
        <x:v>2500</x:v>
      </x:c>
      <x:c r="Z228" s="44" t="n">
        <x:f>IF(I228&gt;0,R228*(J228/I228),0)</x:f>
        <x:v>12500</x:v>
      </x:c>
      <x:c r="AA228" s="44" t="n">
        <x:f>Z228-(R228*E228)</x:f>
        <x:v>6000</x:v>
      </x:c>
      <x:c r="AB228" s="47" t="n">
        <x:f>IFERROR(AA228/Z228,0)</x:f>
        <x:v>0.48</x:v>
      </x:c>
      <x:c r="AC228" s="32" t="str">
        <x:f>IF(S228=0,"0%",IF(S228&lt;0.5,"1-49%",IF(S228&lt;0.8,"50-79%",IF(S228&lt;1,"80-99%","100%"))))</x:f>
        <x:v>1-49%</x:v>
      </x:c>
      <x:c r="AD228" s="33" t="str">
        <x:f>IF(G228&lt;0,"Stock negativo",IF(G228&lt;=0,"Sin stock actual",IF(I228&lt;=0,"Sin ventas desde compra",IF(Q228&lt;=0,"Con stock, sin ventas 365d",IF(S228&lt;0.5,"Rotación baja",IF(S228&lt;1,"Rotación media","Compra absorbida; stock repuesto"))))))</x:f>
        <x:v>Rotación baja</x:v>
      </x:c>
    </x:row>
    <x:row r="229">
      <x:c r="A229" s="31" t="str">
        <x:v>MOTS1095</x:v>
      </x:c>
      <x:c r="B229" s="53" t="str">
        <x:v>RETEN 20-27-05</x:v>
      </x:c>
      <x:c r="C229" s="32" t="n">
        <x:v>1</x:v>
      </x:c>
      <x:c r="D229" s="38" t="n">
        <x:v>11</x:v>
      </x:c>
      <x:c r="E229" s="44" t="n">
        <x:v>1500</x:v>
      </x:c>
      <x:c r="F229" s="44" t="n">
        <x:v>16500</x:v>
      </x:c>
      <x:c r="G229" s="41" t="n">
        <x:v>11</x:v>
      </x:c>
      <x:c r="H229" s="44" t="n">
        <x:f>MAX(G229,0)*E229</x:f>
        <x:v>16500</x:v>
      </x:c>
      <x:c r="I229" s="38" t="n">
        <x:v>0</x:v>
      </x:c>
      <x:c r="J229" s="44" t="n">
        <x:v>0</x:v>
      </x:c>
      <x:c r="K229" s="32" t="n">
        <x:v>0</x:v>
      </x:c>
      <x:c r="L229" s="50"/>
      <x:c r="M229" s="50"/>
      <x:c r="N229" s="32" t="str">
        <x:f>IF(M229="","",MAX(0,'Resumen'!$B$3-M229))</x:f>
      </x:c>
      <x:c r="O229" s="38" t="n">
        <x:v>0</x:v>
      </x:c>
      <x:c r="P229" s="38" t="n">
        <x:v>0</x:v>
      </x:c>
      <x:c r="Q229" s="38" t="n">
        <x:v>0</x:v>
      </x:c>
      <x:c r="R229" s="38" t="n">
        <x:f>MIN(D229,I229)</x:f>
        <x:v>0</x:v>
      </x:c>
      <x:c r="S229" s="47" t="n">
        <x:f>IFERROR(R229/D229,0)</x:f>
        <x:v>0</x:v>
      </x:c>
      <x:c r="T229" s="38" t="n">
        <x:f>MIN(MAX(G229,0),MAX(D229-I229,0))</x:f>
        <x:v>11</x:v>
      </x:c>
      <x:c r="U229" s="44" t="n">
        <x:f>T229*E229</x:f>
        <x:v>16500</x:v>
      </x:c>
      <x:c r="V229" s="38" t="n">
        <x:v>0</x:v>
      </x:c>
      <x:c r="W229" s="32" t="n">
        <x:v>0</x:v>
      </x:c>
      <x:c r="X229" s="50"/>
      <x:c r="Y229" s="44" t="n">
        <x:v>2500</x:v>
      </x:c>
      <x:c r="Z229" s="44" t="n">
        <x:f>IF(I229&gt;0,R229*(J229/I229),0)</x:f>
        <x:v>0</x:v>
      </x:c>
      <x:c r="AA229" s="44" t="n">
        <x:f>Z229-(R229*E229)</x:f>
        <x:v>0</x:v>
      </x:c>
      <x:c r="AB229" s="47" t="n">
        <x:f>IFERROR(AA229/Z229,0)</x:f>
        <x:v>0</x:v>
      </x:c>
      <x:c r="AC229" s="32" t="str">
        <x:f>IF(S229=0,"0%",IF(S229&lt;0.5,"1-49%",IF(S229&lt;0.8,"50-79%",IF(S229&lt;1,"80-99%","100%"))))</x:f>
        <x:v>0%</x:v>
      </x:c>
      <x:c r="AD229" s="33" t="str">
        <x:f>IF(G229&lt;0,"Stock negativo",IF(G229&lt;=0,"Sin stock actual",IF(I229&lt;=0,"Sin ventas desde compra",IF(Q229&lt;=0,"Con stock, sin ventas 365d",IF(S229&lt;0.5,"Rotación baja",IF(S229&lt;1,"Rotación media","Compra absorbida; stock repuesto"))))))</x:f>
        <x:v>Sin ventas desde compra</x:v>
      </x:c>
    </x:row>
    <x:row r="230">
      <x:c r="A230" s="31" t="str">
        <x:v>MOTS1222</x:v>
      </x:c>
      <x:c r="B230" s="53" t="str">
        <x:v>BALINERA 6300 2RS HFR</x:v>
      </x:c>
      <x:c r="C230" s="32" t="n">
        <x:v>1</x:v>
      </x:c>
      <x:c r="D230" s="38" t="n">
        <x:v>5</x:v>
      </x:c>
      <x:c r="E230" s="44" t="n">
        <x:v>3300</x:v>
      </x:c>
      <x:c r="F230" s="44" t="n">
        <x:v>16500</x:v>
      </x:c>
      <x:c r="G230" s="41" t="n">
        <x:v>0</x:v>
      </x:c>
      <x:c r="H230" s="44" t="n">
        <x:f>MAX(G230,0)*E230</x:f>
        <x:v>0</x:v>
      </x:c>
      <x:c r="I230" s="38" t="n">
        <x:v>5</x:v>
      </x:c>
      <x:c r="J230" s="44" t="n">
        <x:v>26500</x:v>
      </x:c>
      <x:c r="K230" s="32" t="n">
        <x:v>3</x:v>
      </x:c>
      <x:c r="L230" s="50" t="n">
        <x:v>45659.78555555556</x:v>
      </x:c>
      <x:c r="M230" s="50" t="n">
        <x:v>45678.99150462963</x:v>
      </x:c>
      <x:c r="N230" s="32" t="n">
        <x:f>IF(M230="","",MAX(0,'Resumen'!$B$3-M230))</x:f>
        <x:v>588.0084953703699</x:v>
      </x:c>
      <x:c r="O230" s="38" t="n">
        <x:v>0</x:v>
      </x:c>
      <x:c r="P230" s="38" t="n">
        <x:v>0</x:v>
      </x:c>
      <x:c r="Q230" s="38" t="n">
        <x:v>0</x:v>
      </x:c>
      <x:c r="R230" s="38" t="n">
        <x:f>MIN(D230,I230)</x:f>
        <x:v>5</x:v>
      </x:c>
      <x:c r="S230" s="47" t="n">
        <x:f>IFERROR(R230/D230,0)</x:f>
        <x:v>1</x:v>
      </x:c>
      <x:c r="T230" s="38" t="n">
        <x:f>MIN(MAX(G230,0),MAX(D230-I230,0))</x:f>
        <x:v>0</x:v>
      </x:c>
      <x:c r="U230" s="44" t="n">
        <x:f>T230*E230</x:f>
        <x:v>0</x:v>
      </x:c>
      <x:c r="V230" s="38" t="n">
        <x:v>0</x:v>
      </x:c>
      <x:c r="W230" s="32" t="n">
        <x:v>0</x:v>
      </x:c>
      <x:c r="X230" s="50"/>
      <x:c r="Y230" s="44" t="n">
        <x:v>5500</x:v>
      </x:c>
      <x:c r="Z230" s="44" t="n">
        <x:f>IF(I230&gt;0,R230*(J230/I230),0)</x:f>
        <x:v>26500</x:v>
      </x:c>
      <x:c r="AA230" s="44" t="n">
        <x:f>Z230-(R230*E230)</x:f>
        <x:v>10000</x:v>
      </x:c>
      <x:c r="AB230" s="47" t="n">
        <x:f>IFERROR(AA230/Z230,0)</x:f>
        <x:v>0.37735849056603776</x:v>
      </x:c>
      <x:c r="AC230" s="32" t="str">
        <x:f>IF(S230=0,"0%",IF(S230&lt;0.5,"1-49%",IF(S230&lt;0.8,"50-79%",IF(S230&lt;1,"80-99%","100%"))))</x:f>
        <x:v>100%</x:v>
      </x:c>
      <x:c r="AD230" s="33" t="str">
        <x:f>IF(G230&lt;0,"Stock negativo",IF(G230&lt;=0,"Sin stock actual",IF(I230&lt;=0,"Sin ventas desde compra",IF(Q230&lt;=0,"Con stock, sin ventas 365d",IF(S230&lt;0.5,"Rotación baja",IF(S230&lt;1,"Rotación media","Compra absorbida; stock repuesto"))))))</x:f>
        <x:v>Sin stock actual</x:v>
      </x:c>
    </x:row>
    <x:row r="231">
      <x:c r="A231" s="31" t="str">
        <x:v>MOTS1284</x:v>
      </x:c>
      <x:c r="B231" s="53" t="str">
        <x:v>DISCOS CLUCTH PULSAR 135 JAPAN</x:v>
      </x:c>
      <x:c r="C231" s="32" t="n">
        <x:v>1</x:v>
      </x:c>
      <x:c r="D231" s="38" t="n">
        <x:v>1</x:v>
      </x:c>
      <x:c r="E231" s="44" t="n">
        <x:v>16400</x:v>
      </x:c>
      <x:c r="F231" s="44" t="n">
        <x:v>16400</x:v>
      </x:c>
      <x:c r="G231" s="41" t="n">
        <x:v>0</x:v>
      </x:c>
      <x:c r="H231" s="44" t="n">
        <x:f>MAX(G231,0)*E231</x:f>
        <x:v>0</x:v>
      </x:c>
      <x:c r="I231" s="38" t="n">
        <x:v>1</x:v>
      </x:c>
      <x:c r="J231" s="44" t="n">
        <x:v>25000</x:v>
      </x:c>
      <x:c r="K231" s="32" t="n">
        <x:v>1</x:v>
      </x:c>
      <x:c r="L231" s="50" t="n">
        <x:v>45605.93373842593</x:v>
      </x:c>
      <x:c r="M231" s="50" t="n">
        <x:v>45605.93373842593</x:v>
      </x:c>
      <x:c r="N231" s="32" t="n">
        <x:f>IF(M231="","",MAX(0,'Resumen'!$B$3-M231))</x:f>
        <x:v>661.066261574073</x:v>
      </x:c>
      <x:c r="O231" s="38" t="n">
        <x:v>0</x:v>
      </x:c>
      <x:c r="P231" s="38" t="n">
        <x:v>0</x:v>
      </x:c>
      <x:c r="Q231" s="38" t="n">
        <x:v>0</x:v>
      </x:c>
      <x:c r="R231" s="38" t="n">
        <x:f>MIN(D231,I231)</x:f>
        <x:v>1</x:v>
      </x:c>
      <x:c r="S231" s="47" t="n">
        <x:f>IFERROR(R231/D231,0)</x:f>
        <x:v>1</x:v>
      </x:c>
      <x:c r="T231" s="38" t="n">
        <x:f>MIN(MAX(G231,0),MAX(D231-I231,0))</x:f>
        <x:v>0</x:v>
      </x:c>
      <x:c r="U231" s="44" t="n">
        <x:f>T231*E231</x:f>
        <x:v>0</x:v>
      </x:c>
      <x:c r="V231" s="38" t="n">
        <x:v>0</x:v>
      </x:c>
      <x:c r="W231" s="32" t="n">
        <x:v>0</x:v>
      </x:c>
      <x:c r="X231" s="50"/>
      <x:c r="Y231" s="44" t="n">
        <x:v>27500</x:v>
      </x:c>
      <x:c r="Z231" s="44" t="n">
        <x:f>IF(I231&gt;0,R231*(J231/I231),0)</x:f>
        <x:v>25000</x:v>
      </x:c>
      <x:c r="AA231" s="44" t="n">
        <x:f>Z231-(R231*E231)</x:f>
        <x:v>8600</x:v>
      </x:c>
      <x:c r="AB231" s="47" t="n">
        <x:f>IFERROR(AA231/Z231,0)</x:f>
        <x:v>0.344</x:v>
      </x:c>
      <x:c r="AC231" s="32" t="str">
        <x:f>IF(S231=0,"0%",IF(S231&lt;0.5,"1-49%",IF(S231&lt;0.8,"50-79%",IF(S231&lt;1,"80-99%","100%"))))</x:f>
        <x:v>100%</x:v>
      </x:c>
      <x:c r="AD231" s="33" t="str">
        <x:f>IF(G231&lt;0,"Stock negativo",IF(G231&lt;=0,"Sin stock actual",IF(I231&lt;=0,"Sin ventas desde compra",IF(Q231&lt;=0,"Con stock, sin ventas 365d",IF(S231&lt;0.5,"Rotación baja",IF(S231&lt;1,"Rotación media","Compra absorbida; stock repuesto"))))))</x:f>
        <x:v>Sin stock actual</x:v>
      </x:c>
    </x:row>
    <x:row r="232">
      <x:c r="A232" s="31" t="str">
        <x:v>MOTS1304</x:v>
      </x:c>
      <x:c r="B232" s="53" t="str">
        <x:v>CABLE CLUTCH TRENZADO</x:v>
      </x:c>
      <x:c r="C232" s="32" t="n">
        <x:v>1</x:v>
      </x:c>
      <x:c r="D232" s="38" t="n">
        <x:v>23</x:v>
      </x:c>
      <x:c r="E232" s="44" t="n">
        <x:v>700</x:v>
      </x:c>
      <x:c r="F232" s="44" t="n">
        <x:v>16100</x:v>
      </x:c>
      <x:c r="G232" s="41" t="n">
        <x:v>18</x:v>
      </x:c>
      <x:c r="H232" s="44" t="n">
        <x:f>MAX(G232,0)*E232</x:f>
        <x:v>12600</x:v>
      </x:c>
      <x:c r="I232" s="38" t="n">
        <x:v>5</x:v>
      </x:c>
      <x:c r="J232" s="44" t="n">
        <x:v>7500</x:v>
      </x:c>
      <x:c r="K232" s="32" t="n">
        <x:v>4</x:v>
      </x:c>
      <x:c r="L232" s="50" t="n">
        <x:v>45518.81033564815</x:v>
      </x:c>
      <x:c r="M232" s="50" t="n">
        <x:v>45729.734976851854</x:v>
      </x:c>
      <x:c r="N232" s="32" t="n">
        <x:f>IF(M232="","",MAX(0,'Resumen'!$B$3-M232))</x:f>
        <x:v>537.2650231481457</x:v>
      </x:c>
      <x:c r="O232" s="38" t="n">
        <x:v>0</x:v>
      </x:c>
      <x:c r="P232" s="38" t="n">
        <x:v>0</x:v>
      </x:c>
      <x:c r="Q232" s="38" t="n">
        <x:v>0</x:v>
      </x:c>
      <x:c r="R232" s="38" t="n">
        <x:f>MIN(D232,I232)</x:f>
        <x:v>5</x:v>
      </x:c>
      <x:c r="S232" s="47" t="n">
        <x:f>IFERROR(R232/D232,0)</x:f>
        <x:v>0.21739130434782608</x:v>
      </x:c>
      <x:c r="T232" s="38" t="n">
        <x:f>MIN(MAX(G232,0),MAX(D232-I232,0))</x:f>
        <x:v>18</x:v>
      </x:c>
      <x:c r="U232" s="44" t="n">
        <x:f>T232*E232</x:f>
        <x:v>12600</x:v>
      </x:c>
      <x:c r="V232" s="38" t="n">
        <x:v>0</x:v>
      </x:c>
      <x:c r="W232" s="32" t="n">
        <x:v>0</x:v>
      </x:c>
      <x:c r="X232" s="50"/>
      <x:c r="Y232" s="44" t="n">
        <x:v>1500</x:v>
      </x:c>
      <x:c r="Z232" s="44" t="n">
        <x:f>IF(I232&gt;0,R232*(J232/I232),0)</x:f>
        <x:v>7500</x:v>
      </x:c>
      <x:c r="AA232" s="44" t="n">
        <x:f>Z232-(R232*E232)</x:f>
        <x:v>4000</x:v>
      </x:c>
      <x:c r="AB232" s="47" t="n">
        <x:f>IFERROR(AA232/Z232,0)</x:f>
        <x:v>0.5333333333333333</x:v>
      </x:c>
      <x:c r="AC232" s="32" t="str">
        <x:f>IF(S232=0,"0%",IF(S232&lt;0.5,"1-49%",IF(S232&lt;0.8,"50-79%",IF(S232&lt;1,"80-99%","100%"))))</x:f>
        <x:v>1-49%</x:v>
      </x:c>
      <x:c r="AD232" s="33" t="str">
        <x:f>IF(G232&lt;0,"Stock negativo",IF(G232&lt;=0,"Sin stock actual",IF(I232&lt;=0,"Sin ventas desde compra",IF(Q232&lt;=0,"Con stock, sin ventas 365d",IF(S232&lt;0.5,"Rotación baja",IF(S232&lt;1,"Rotación media","Compra absorbida; stock repuesto"))))))</x:f>
        <x:v>Con stock, sin ventas 365d</x:v>
      </x:c>
    </x:row>
    <x:row r="233">
      <x:c r="A233" s="31" t="str">
        <x:v>10263</x:v>
      </x:c>
      <x:c r="B233" s="53" t="str">
        <x:v>BASE MANIGUETA ESPEJO CB110 JAPAN</x:v>
      </x:c>
      <x:c r="C233" s="32" t="n">
        <x:v>1</x:v>
      </x:c>
      <x:c r="D233" s="38" t="n">
        <x:v>2</x:v>
      </x:c>
      <x:c r="E233" s="44" t="n">
        <x:v>8000</x:v>
      </x:c>
      <x:c r="F233" s="44" t="n">
        <x:v>16000</x:v>
      </x:c>
      <x:c r="G233" s="41" t="n">
        <x:v>1</x:v>
      </x:c>
      <x:c r="H233" s="44" t="n">
        <x:f>MAX(G233,0)*E233</x:f>
        <x:v>8000</x:v>
      </x:c>
      <x:c r="I233" s="38" t="n">
        <x:v>1</x:v>
      </x:c>
      <x:c r="J233" s="44" t="n">
        <x:v>13500</x:v>
      </x:c>
      <x:c r="K233" s="32" t="n">
        <x:v>1</x:v>
      </x:c>
      <x:c r="L233" s="50" t="n">
        <x:v>45647.96146990741</x:v>
      </x:c>
      <x:c r="M233" s="50" t="n">
        <x:v>45647.96146990741</x:v>
      </x:c>
      <x:c r="N233" s="32" t="n">
        <x:f>IF(M233="","",MAX(0,'Resumen'!$B$3-M233))</x:f>
        <x:v>619.0385300925918</x:v>
      </x:c>
      <x:c r="O233" s="38" t="n">
        <x:v>0</x:v>
      </x:c>
      <x:c r="P233" s="38" t="n">
        <x:v>0</x:v>
      </x:c>
      <x:c r="Q233" s="38" t="n">
        <x:v>0</x:v>
      </x:c>
      <x:c r="R233" s="38" t="n">
        <x:f>MIN(D233,I233)</x:f>
        <x:v>1</x:v>
      </x:c>
      <x:c r="S233" s="47" t="n">
        <x:f>IFERROR(R233/D233,0)</x:f>
        <x:v>0.5</x:v>
      </x:c>
      <x:c r="T233" s="38" t="n">
        <x:f>MIN(MAX(G233,0),MAX(D233-I233,0))</x:f>
        <x:v>1</x:v>
      </x:c>
      <x:c r="U233" s="44" t="n">
        <x:f>T233*E233</x:f>
        <x:v>8000</x:v>
      </x:c>
      <x:c r="V233" s="38" t="n">
        <x:v>0</x:v>
      </x:c>
      <x:c r="W233" s="32" t="n">
        <x:v>0</x:v>
      </x:c>
      <x:c r="X233" s="50"/>
      <x:c r="Y233" s="44" t="n">
        <x:v>13500</x:v>
      </x:c>
      <x:c r="Z233" s="44" t="n">
        <x:f>IF(I233&gt;0,R233*(J233/I233),0)</x:f>
        <x:v>13500</x:v>
      </x:c>
      <x:c r="AA233" s="44" t="n">
        <x:f>Z233-(R233*E233)</x:f>
        <x:v>5500</x:v>
      </x:c>
      <x:c r="AB233" s="47" t="n">
        <x:f>IFERROR(AA233/Z233,0)</x:f>
        <x:v>0.4074074074074074</x:v>
      </x:c>
      <x:c r="AC233" s="32" t="str">
        <x:f>IF(S233=0,"0%",IF(S233&lt;0.5,"1-49%",IF(S233&lt;0.8,"50-79%",IF(S233&lt;1,"80-99%","100%"))))</x:f>
        <x:v>50-79%</x:v>
      </x:c>
      <x:c r="AD233" s="33" t="str">
        <x:f>IF(G233&lt;0,"Stock negativo",IF(G233&lt;=0,"Sin stock actual",IF(I233&lt;=0,"Sin ventas desde compra",IF(Q233&lt;=0,"Con stock, sin ventas 365d",IF(S233&lt;0.5,"Rotación baja",IF(S233&lt;1,"Rotación media","Compra absorbida; stock repuesto"))))))</x:f>
        <x:v>Con stock, sin ventas 365d</x:v>
      </x:c>
    </x:row>
    <x:row r="234">
      <x:c r="A234" s="31" t="str">
        <x:v>MOTS1060</x:v>
      </x:c>
      <x:c r="B234" s="53" t="str">
        <x:v>RETEN 15-23-3</x:v>
      </x:c>
      <x:c r="C234" s="32" t="n">
        <x:v>1</x:v>
      </x:c>
      <x:c r="D234" s="38" t="n">
        <x:v>8</x:v>
      </x:c>
      <x:c r="E234" s="44" t="n">
        <x:v>2000</x:v>
      </x:c>
      <x:c r="F234" s="44" t="n">
        <x:v>16000</x:v>
      </x:c>
      <x:c r="G234" s="41" t="n">
        <x:v>8</x:v>
      </x:c>
      <x:c r="H234" s="44" t="n">
        <x:f>MAX(G234,0)*E234</x:f>
        <x:v>16000</x:v>
      </x:c>
      <x:c r="I234" s="38" t="n">
        <x:v>0</x:v>
      </x:c>
      <x:c r="J234" s="44" t="n">
        <x:v>0</x:v>
      </x:c>
      <x:c r="K234" s="32" t="n">
        <x:v>0</x:v>
      </x:c>
      <x:c r="L234" s="50"/>
      <x:c r="M234" s="50"/>
      <x:c r="N234" s="32" t="str">
        <x:f>IF(M234="","",MAX(0,'Resumen'!$B$3-M234))</x:f>
      </x:c>
      <x:c r="O234" s="38" t="n">
        <x:v>0</x:v>
      </x:c>
      <x:c r="P234" s="38" t="n">
        <x:v>0</x:v>
      </x:c>
      <x:c r="Q234" s="38" t="n">
        <x:v>0</x:v>
      </x:c>
      <x:c r="R234" s="38" t="n">
        <x:f>MIN(D234,I234)</x:f>
        <x:v>0</x:v>
      </x:c>
      <x:c r="S234" s="47" t="n">
        <x:f>IFERROR(R234/D234,0)</x:f>
        <x:v>0</x:v>
      </x:c>
      <x:c r="T234" s="38" t="n">
        <x:f>MIN(MAX(G234,0),MAX(D234-I234,0))</x:f>
        <x:v>8</x:v>
      </x:c>
      <x:c r="U234" s="44" t="n">
        <x:f>T234*E234</x:f>
        <x:v>16000</x:v>
      </x:c>
      <x:c r="V234" s="38" t="n">
        <x:v>0</x:v>
      </x:c>
      <x:c r="W234" s="32" t="n">
        <x:v>0</x:v>
      </x:c>
      <x:c r="X234" s="50"/>
      <x:c r="Y234" s="44" t="n">
        <x:v>3500</x:v>
      </x:c>
      <x:c r="Z234" s="44" t="n">
        <x:f>IF(I234&gt;0,R234*(J234/I234),0)</x:f>
        <x:v>0</x:v>
      </x:c>
      <x:c r="AA234" s="44" t="n">
        <x:f>Z234-(R234*E234)</x:f>
        <x:v>0</x:v>
      </x:c>
      <x:c r="AB234" s="47" t="n">
        <x:f>IFERROR(AA234/Z234,0)</x:f>
        <x:v>0</x:v>
      </x:c>
      <x:c r="AC234" s="32" t="str">
        <x:f>IF(S234=0,"0%",IF(S234&lt;0.5,"1-49%",IF(S234&lt;0.8,"50-79%",IF(S234&lt;1,"80-99%","100%"))))</x:f>
        <x:v>0%</x:v>
      </x:c>
      <x:c r="AD234" s="33" t="str">
        <x:f>IF(G234&lt;0,"Stock negativo",IF(G234&lt;=0,"Sin stock actual",IF(I234&lt;=0,"Sin ventas desde compra",IF(Q234&lt;=0,"Con stock, sin ventas 365d",IF(S234&lt;0.5,"Rotación baja",IF(S234&lt;1,"Rotación media","Compra absorbida; stock repuesto"))))))</x:f>
        <x:v>Sin ventas desde compra</x:v>
      </x:c>
    </x:row>
    <x:row r="235">
      <x:c r="A235" s="31" t="str">
        <x:v>MOTS1147</x:v>
      </x:c>
      <x:c r="B235" s="53" t="str">
        <x:v>DIRECCIONAL BWS LIT FI HUMO TRA - 129 UND VAOX</x:v>
      </x:c>
      <x:c r="C235" s="32" t="n">
        <x:v>1</x:v>
      </x:c>
      <x:c r="D235" s="38" t="n">
        <x:v>2</x:v>
      </x:c>
      <x:c r="E235" s="44" t="n">
        <x:v>8000</x:v>
      </x:c>
      <x:c r="F235" s="44" t="n">
        <x:v>16000</x:v>
      </x:c>
      <x:c r="G235" s="41" t="n">
        <x:v>0</x:v>
      </x:c>
      <x:c r="H235" s="44" t="n">
        <x:f>MAX(G235,0)*E235</x:f>
        <x:v>0</x:v>
      </x:c>
      <x:c r="I235" s="38" t="n">
        <x:v>2</x:v>
      </x:c>
      <x:c r="J235" s="44" t="n">
        <x:v>28000</x:v>
      </x:c>
      <x:c r="K235" s="32" t="n">
        <x:v>1</x:v>
      </x:c>
      <x:c r="L235" s="50" t="n">
        <x:v>45530.576215277775</x:v>
      </x:c>
      <x:c r="M235" s="50" t="n">
        <x:v>45530.576215277775</x:v>
      </x:c>
      <x:c r="N235" s="32" t="n">
        <x:f>IF(M235="","",MAX(0,'Resumen'!$B$3-M235))</x:f>
        <x:v>736.4237847222248</x:v>
      </x:c>
      <x:c r="O235" s="38" t="n">
        <x:v>0</x:v>
      </x:c>
      <x:c r="P235" s="38" t="n">
        <x:v>0</x:v>
      </x:c>
      <x:c r="Q235" s="38" t="n">
        <x:v>0</x:v>
      </x:c>
      <x:c r="R235" s="38" t="n">
        <x:f>MIN(D235,I235)</x:f>
        <x:v>2</x:v>
      </x:c>
      <x:c r="S235" s="47" t="n">
        <x:f>IFERROR(R235/D235,0)</x:f>
        <x:v>1</x:v>
      </x:c>
      <x:c r="T235" s="38" t="n">
        <x:f>MIN(MAX(G235,0),MAX(D235-I235,0))</x:f>
        <x:v>0</x:v>
      </x:c>
      <x:c r="U235" s="44" t="n">
        <x:f>T235*E235</x:f>
        <x:v>0</x:v>
      </x:c>
      <x:c r="V235" s="38" t="n">
        <x:v>0</x:v>
      </x:c>
      <x:c r="W235" s="32" t="n">
        <x:v>0</x:v>
      </x:c>
      <x:c r="X235" s="50"/>
      <x:c r="Y235" s="44" t="n">
        <x:v>14000</x:v>
      </x:c>
      <x:c r="Z235" s="44" t="n">
        <x:f>IF(I235&gt;0,R235*(J235/I235),0)</x:f>
        <x:v>28000</x:v>
      </x:c>
      <x:c r="AA235" s="44" t="n">
        <x:f>Z235-(R235*E235)</x:f>
        <x:v>12000</x:v>
      </x:c>
      <x:c r="AB235" s="47" t="n">
        <x:f>IFERROR(AA235/Z235,0)</x:f>
        <x:v>0.42857142857142855</x:v>
      </x:c>
      <x:c r="AC235" s="32" t="str">
        <x:f>IF(S235=0,"0%",IF(S235&lt;0.5,"1-49%",IF(S235&lt;0.8,"50-79%",IF(S235&lt;1,"80-99%","100%"))))</x:f>
        <x:v>100%</x:v>
      </x:c>
      <x:c r="AD235" s="33" t="str">
        <x:f>IF(G235&lt;0,"Stock negativo",IF(G235&lt;=0,"Sin stock actual",IF(I235&lt;=0,"Sin ventas desde compra",IF(Q235&lt;=0,"Con stock, sin ventas 365d",IF(S235&lt;0.5,"Rotación baja",IF(S235&lt;1,"Rotación media","Compra absorbida; stock repuesto"))))))</x:f>
        <x:v>Sin stock actual</x:v>
      </x:c>
    </x:row>
    <x:row r="236">
      <x:c r="A236" s="31" t="str">
        <x:v>MOTS1194</x:v>
      </x:c>
      <x:c r="B236" s="53" t="str">
        <x:v>SOKE DIRECCIONAL</x:v>
      </x:c>
      <x:c r="C236" s="32" t="n">
        <x:v>1</x:v>
      </x:c>
      <x:c r="D236" s="38" t="n">
        <x:v>8</x:v>
      </x:c>
      <x:c r="E236" s="44" t="n">
        <x:v>2000</x:v>
      </x:c>
      <x:c r="F236" s="44" t="n">
        <x:v>16000</x:v>
      </x:c>
      <x:c r="G236" s="41" t="n">
        <x:v>5</x:v>
      </x:c>
      <x:c r="H236" s="44" t="n">
        <x:f>MAX(G236,0)*E236</x:f>
        <x:v>10000</x:v>
      </x:c>
      <x:c r="I236" s="38" t="n">
        <x:v>3</x:v>
      </x:c>
      <x:c r="J236" s="44" t="n">
        <x:v>10500</x:v>
      </x:c>
      <x:c r="K236" s="32" t="n">
        <x:v>3</x:v>
      </x:c>
      <x:c r="L236" s="50" t="n">
        <x:v>45535.6690625</x:v>
      </x:c>
      <x:c r="M236" s="50" t="n">
        <x:v>45954.553402777776</x:v>
      </x:c>
      <x:c r="N236" s="32" t="n">
        <x:f>IF(M236="","",MAX(0,'Resumen'!$B$3-M236))</x:f>
        <x:v>312.4465972222242</x:v>
      </x:c>
      <x:c r="O236" s="38" t="n">
        <x:v>0</x:v>
      </x:c>
      <x:c r="P236" s="38" t="n">
        <x:v>0</x:v>
      </x:c>
      <x:c r="Q236" s="38" t="n">
        <x:v>1</x:v>
      </x:c>
      <x:c r="R236" s="38" t="n">
        <x:f>MIN(D236,I236)</x:f>
        <x:v>3</x:v>
      </x:c>
      <x:c r="S236" s="47" t="n">
        <x:f>IFERROR(R236/D236,0)</x:f>
        <x:v>0.375</x:v>
      </x:c>
      <x:c r="T236" s="38" t="n">
        <x:f>MIN(MAX(G236,0),MAX(D236-I236,0))</x:f>
        <x:v>5</x:v>
      </x:c>
      <x:c r="U236" s="44" t="n">
        <x:f>T236*E236</x:f>
        <x:v>10000</x:v>
      </x:c>
      <x:c r="V236" s="38" t="n">
        <x:v>0</x:v>
      </x:c>
      <x:c r="W236" s="32" t="n">
        <x:v>0</x:v>
      </x:c>
      <x:c r="X236" s="50"/>
      <x:c r="Y236" s="44" t="n">
        <x:v>3500</x:v>
      </x:c>
      <x:c r="Z236" s="44" t="n">
        <x:f>IF(I236&gt;0,R236*(J236/I236),0)</x:f>
        <x:v>10500</x:v>
      </x:c>
      <x:c r="AA236" s="44" t="n">
        <x:f>Z236-(R236*E236)</x:f>
        <x:v>4500</x:v>
      </x:c>
      <x:c r="AB236" s="47" t="n">
        <x:f>IFERROR(AA236/Z236,0)</x:f>
        <x:v>0.42857142857142855</x:v>
      </x:c>
      <x:c r="AC236" s="32" t="str">
        <x:f>IF(S236=0,"0%",IF(S236&lt;0.5,"1-49%",IF(S236&lt;0.8,"50-79%",IF(S236&lt;1,"80-99%","100%"))))</x:f>
        <x:v>1-49%</x:v>
      </x:c>
      <x:c r="AD236" s="33" t="str">
        <x:f>IF(G236&lt;0,"Stock negativo",IF(G236&lt;=0,"Sin stock actual",IF(I236&lt;=0,"Sin ventas desde compra",IF(Q236&lt;=0,"Con stock, sin ventas 365d",IF(S236&lt;0.5,"Rotación baja",IF(S236&lt;1,"Rotación media","Compra absorbida; stock repuesto"))))))</x:f>
        <x:v>Rotación baja</x:v>
      </x:c>
    </x:row>
    <x:row r="237">
      <x:c r="A237" s="31" t="str">
        <x:v>MOTS1289</x:v>
      </x:c>
      <x:c r="B237" s="53" t="str">
        <x:v>REPOSA PIE TRA FZ  PAR YAMAHA</x:v>
      </x:c>
      <x:c r="C237" s="32" t="n">
        <x:v>1</x:v>
      </x:c>
      <x:c r="D237" s="38" t="n">
        <x:v>1</x:v>
      </x:c>
      <x:c r="E237" s="44" t="n">
        <x:v>15900</x:v>
      </x:c>
      <x:c r="F237" s="44" t="n">
        <x:v>15900</x:v>
      </x:c>
      <x:c r="G237" s="41" t="n">
        <x:v>1</x:v>
      </x:c>
      <x:c r="H237" s="44" t="n">
        <x:f>MAX(G237,0)*E237</x:f>
        <x:v>15900</x:v>
      </x:c>
      <x:c r="I237" s="38" t="n">
        <x:v>1</x:v>
      </x:c>
      <x:c r="J237" s="44" t="n">
        <x:v>23000</x:v>
      </x:c>
      <x:c r="K237" s="32" t="n">
        <x:v>1</x:v>
      </x:c>
      <x:c r="L237" s="50" t="n">
        <x:v>45649.628125</x:v>
      </x:c>
      <x:c r="M237" s="50" t="n">
        <x:v>45649.628125</x:v>
      </x:c>
      <x:c r="N237" s="32" t="n">
        <x:f>IF(M237="","",MAX(0,'Resumen'!$B$3-M237))</x:f>
        <x:v>617.3718749999971</x:v>
      </x:c>
      <x:c r="O237" s="38" t="n">
        <x:v>0</x:v>
      </x:c>
      <x:c r="P237" s="38" t="n">
        <x:v>0</x:v>
      </x:c>
      <x:c r="Q237" s="38" t="n">
        <x:v>0</x:v>
      </x:c>
      <x:c r="R237" s="38" t="n">
        <x:f>MIN(D237,I237)</x:f>
        <x:v>1</x:v>
      </x:c>
      <x:c r="S237" s="47" t="n">
        <x:f>IFERROR(R237/D237,0)</x:f>
        <x:v>1</x:v>
      </x:c>
      <x:c r="T237" s="38" t="n">
        <x:f>MIN(MAX(G237,0),MAX(D237-I237,0))</x:f>
        <x:v>0</x:v>
      </x:c>
      <x:c r="U237" s="44" t="n">
        <x:f>T237*E237</x:f>
        <x:v>0</x:v>
      </x:c>
      <x:c r="V237" s="38" t="n">
        <x:v>1</x:v>
      </x:c>
      <x:c r="W237" s="32" t="n">
        <x:v>1</x:v>
      </x:c>
      <x:c r="X237" s="50" t="n">
        <x:v>45512</x:v>
      </x:c>
      <x:c r="Y237" s="44" t="n">
        <x:v>26500</x:v>
      </x:c>
      <x:c r="Z237" s="44" t="n">
        <x:f>IF(I237&gt;0,R237*(J237/I237),0)</x:f>
        <x:v>23000</x:v>
      </x:c>
      <x:c r="AA237" s="44" t="n">
        <x:f>Z237-(R237*E237)</x:f>
        <x:v>7100</x:v>
      </x:c>
      <x:c r="AB237" s="47" t="n">
        <x:f>IFERROR(AA237/Z237,0)</x:f>
        <x:v>0.30869565217391304</x:v>
      </x:c>
      <x:c r="AC237" s="32" t="str">
        <x:f>IF(S237=0,"0%",IF(S237&lt;0.5,"1-49%",IF(S237&lt;0.8,"50-79%",IF(S237&lt;1,"80-99%","100%"))))</x:f>
        <x:v>100%</x:v>
      </x:c>
      <x:c r="AD237" s="33" t="str">
        <x:f>IF(G237&lt;0,"Stock negativo",IF(G237&lt;=0,"Sin stock actual",IF(I237&lt;=0,"Sin ventas desde compra",IF(Q237&lt;=0,"Con stock, sin ventas 365d",IF(S237&lt;0.5,"Rotación baja",IF(S237&lt;1,"Rotación media","Compra absorbida; stock repuesto"))))))</x:f>
        <x:v>Con stock, sin ventas 365d</x:v>
      </x:c>
    </x:row>
    <x:row r="238">
      <x:c r="A238" s="31" t="str">
        <x:v>DIS - 00023105</x:v>
      </x:c>
      <x:c r="B238" s="53" t="str">
        <x:v>DISCOS CLUCTH PULSAR 135 ANANT</x:v>
      </x:c>
      <x:c r="C238" s="32" t="n">
        <x:v>1</x:v>
      </x:c>
      <x:c r="D238" s="38" t="n">
        <x:v>1</x:v>
      </x:c>
      <x:c r="E238" s="44" t="n">
        <x:v>15300</x:v>
      </x:c>
      <x:c r="F238" s="44" t="n">
        <x:v>15300</x:v>
      </x:c>
      <x:c r="G238" s="41" t="n">
        <x:v>1</x:v>
      </x:c>
      <x:c r="H238" s="44" t="n">
        <x:f>MAX(G238,0)*E238</x:f>
        <x:v>15300</x:v>
      </x:c>
      <x:c r="I238" s="38" t="n">
        <x:v>0</x:v>
      </x:c>
      <x:c r="J238" s="44" t="n">
        <x:v>0</x:v>
      </x:c>
      <x:c r="K238" s="32" t="n">
        <x:v>0</x:v>
      </x:c>
      <x:c r="L238" s="50"/>
      <x:c r="M238" s="50"/>
      <x:c r="N238" s="32" t="str">
        <x:f>IF(M238="","",MAX(0,'Resumen'!$B$3-M238))</x:f>
      </x:c>
      <x:c r="O238" s="38" t="n">
        <x:v>0</x:v>
      </x:c>
      <x:c r="P238" s="38" t="n">
        <x:v>0</x:v>
      </x:c>
      <x:c r="Q238" s="38" t="n">
        <x:v>0</x:v>
      </x:c>
      <x:c r="R238" s="38" t="n">
        <x:f>MIN(D238,I238)</x:f>
        <x:v>0</x:v>
      </x:c>
      <x:c r="S238" s="47" t="n">
        <x:f>IFERROR(R238/D238,0)</x:f>
        <x:v>0</x:v>
      </x:c>
      <x:c r="T238" s="38" t="n">
        <x:f>MIN(MAX(G238,0),MAX(D238-I238,0))</x:f>
        <x:v>1</x:v>
      </x:c>
      <x:c r="U238" s="44" t="n">
        <x:f>T238*E238</x:f>
        <x:v>15300</x:v>
      </x:c>
      <x:c r="V238" s="38" t="n">
        <x:v>0</x:v>
      </x:c>
      <x:c r="W238" s="32" t="n">
        <x:v>0</x:v>
      </x:c>
      <x:c r="X238" s="50"/>
      <x:c r="Y238" s="44" t="n">
        <x:v>25500</x:v>
      </x:c>
      <x:c r="Z238" s="44" t="n">
        <x:f>IF(I238&gt;0,R238*(J238/I238),0)</x:f>
        <x:v>0</x:v>
      </x:c>
      <x:c r="AA238" s="44" t="n">
        <x:f>Z238-(R238*E238)</x:f>
        <x:v>0</x:v>
      </x:c>
      <x:c r="AB238" s="47" t="n">
        <x:f>IFERROR(AA238/Z238,0)</x:f>
        <x:v>0</x:v>
      </x:c>
      <x:c r="AC238" s="32" t="str">
        <x:f>IF(S238=0,"0%",IF(S238&lt;0.5,"1-49%",IF(S238&lt;0.8,"50-79%",IF(S238&lt;1,"80-99%","100%"))))</x:f>
        <x:v>0%</x:v>
      </x:c>
      <x:c r="AD238" s="33" t="str">
        <x:f>IF(G238&lt;0,"Stock negativo",IF(G238&lt;=0,"Sin stock actual",IF(I238&lt;=0,"Sin ventas desde compra",IF(Q238&lt;=0,"Con stock, sin ventas 365d",IF(S238&lt;0.5,"Rotación baja",IF(S238&lt;1,"Rotación media","Compra absorbida; stock repuesto"))))))</x:f>
        <x:v>Sin ventas desde compra</x:v>
      </x:c>
    </x:row>
    <x:row r="239">
      <x:c r="A239" s="31" t="str">
        <x:v>918080</x:v>
      </x:c>
      <x:c r="B239" s="53" t="str">
        <x:v>MANIGUETA IZQ PULSAR 200 NS JAPON</x:v>
      </x:c>
      <x:c r="C239" s="32" t="n">
        <x:v>1</x:v>
      </x:c>
      <x:c r="D239" s="38" t="n">
        <x:v>2</x:v>
      </x:c>
      <x:c r="E239" s="44" t="n">
        <x:v>7500</x:v>
      </x:c>
      <x:c r="F239" s="44" t="n">
        <x:v>15000</x:v>
      </x:c>
      <x:c r="G239" s="41" t="n">
        <x:v>1</x:v>
      </x:c>
      <x:c r="H239" s="44" t="n">
        <x:f>MAX(G239,0)*E239</x:f>
        <x:v>7500</x:v>
      </x:c>
      <x:c r="I239" s="38" t="n">
        <x:v>1</x:v>
      </x:c>
      <x:c r="J239" s="44" t="n">
        <x:v>12500</x:v>
      </x:c>
      <x:c r="K239" s="32" t="n">
        <x:v>1</x:v>
      </x:c>
      <x:c r="L239" s="50" t="n">
        <x:v>45507.69193287037</x:v>
      </x:c>
      <x:c r="M239" s="50" t="n">
        <x:v>45507.69193287037</x:v>
      </x:c>
      <x:c r="N239" s="32" t="n">
        <x:f>IF(M239="","",MAX(0,'Resumen'!$B$3-M239))</x:f>
        <x:v>759.3080671296266</x:v>
      </x:c>
      <x:c r="O239" s="38" t="n">
        <x:v>0</x:v>
      </x:c>
      <x:c r="P239" s="38" t="n">
        <x:v>0</x:v>
      </x:c>
      <x:c r="Q239" s="38" t="n">
        <x:v>0</x:v>
      </x:c>
      <x:c r="R239" s="38" t="n">
        <x:f>MIN(D239,I239)</x:f>
        <x:v>1</x:v>
      </x:c>
      <x:c r="S239" s="47" t="n">
        <x:f>IFERROR(R239/D239,0)</x:f>
        <x:v>0.5</x:v>
      </x:c>
      <x:c r="T239" s="38" t="n">
        <x:f>MIN(MAX(G239,0),MAX(D239-I239,0))</x:f>
        <x:v>1</x:v>
      </x:c>
      <x:c r="U239" s="44" t="n">
        <x:f>T239*E239</x:f>
        <x:v>7500</x:v>
      </x:c>
      <x:c r="V239" s="38" t="n">
        <x:v>0</x:v>
      </x:c>
      <x:c r="W239" s="32" t="n">
        <x:v>0</x:v>
      </x:c>
      <x:c r="X239" s="50"/>
      <x:c r="Y239" s="44" t="n">
        <x:v>12500</x:v>
      </x:c>
      <x:c r="Z239" s="44" t="n">
        <x:f>IF(I239&gt;0,R239*(J239/I239),0)</x:f>
        <x:v>12500</x:v>
      </x:c>
      <x:c r="AA239" s="44" t="n">
        <x:f>Z239-(R239*E239)</x:f>
        <x:v>5000</x:v>
      </x:c>
      <x:c r="AB239" s="47" t="n">
        <x:f>IFERROR(AA239/Z239,0)</x:f>
        <x:v>0.4</x:v>
      </x:c>
      <x:c r="AC239" s="32" t="str">
        <x:f>IF(S239=0,"0%",IF(S239&lt;0.5,"1-49%",IF(S239&lt;0.8,"50-79%",IF(S239&lt;1,"80-99%","100%"))))</x:f>
        <x:v>50-79%</x:v>
      </x:c>
      <x:c r="AD239" s="33" t="str">
        <x:f>IF(G239&lt;0,"Stock negativo",IF(G239&lt;=0,"Sin stock actual",IF(I239&lt;=0,"Sin ventas desde compra",IF(Q239&lt;=0,"Con stock, sin ventas 365d",IF(S239&lt;0.5,"Rotación baja",IF(S239&lt;1,"Rotación media","Compra absorbida; stock repuesto"))))))</x:f>
        <x:v>Con stock, sin ventas 365d</x:v>
      </x:c>
    </x:row>
    <x:row r="240">
      <x:c r="A240" s="31" t="str">
        <x:v>CAB - 267</x:v>
      </x:c>
      <x:c r="B240" s="53" t="str">
        <x:v>GUAYA ACELERADOR ECO DELUXE EVOL</x:v>
      </x:c>
      <x:c r="C240" s="32" t="n">
        <x:v>1</x:v>
      </x:c>
      <x:c r="D240" s="38" t="n">
        <x:v>2</x:v>
      </x:c>
      <x:c r="E240" s="44" t="n">
        <x:v>7500</x:v>
      </x:c>
      <x:c r="F240" s="44" t="n">
        <x:v>15000</x:v>
      </x:c>
      <x:c r="G240" s="41" t="n">
        <x:v>1</x:v>
      </x:c>
      <x:c r="H240" s="44" t="n">
        <x:f>MAX(G240,0)*E240</x:f>
        <x:v>7500</x:v>
      </x:c>
      <x:c r="I240" s="38" t="n">
        <x:v>2</x:v>
      </x:c>
      <x:c r="J240" s="44" t="n">
        <x:v>25000</x:v>
      </x:c>
      <x:c r="K240" s="32" t="n">
        <x:v>2</x:v>
      </x:c>
      <x:c r="L240" s="50" t="n">
        <x:v>45506.841412037036</x:v>
      </x:c>
      <x:c r="M240" s="50" t="n">
        <x:v>45515.6496875</x:v>
      </x:c>
      <x:c r="N240" s="32" t="n">
        <x:f>IF(M240="","",MAX(0,'Resumen'!$B$3-M240))</x:f>
        <x:v>751.3503124999988</x:v>
      </x:c>
      <x:c r="O240" s="38" t="n">
        <x:v>0</x:v>
      </x:c>
      <x:c r="P240" s="38" t="n">
        <x:v>0</x:v>
      </x:c>
      <x:c r="Q240" s="38" t="n">
        <x:v>0</x:v>
      </x:c>
      <x:c r="R240" s="38" t="n">
        <x:f>MIN(D240,I240)</x:f>
        <x:v>2</x:v>
      </x:c>
      <x:c r="S240" s="47" t="n">
        <x:f>IFERROR(R240/D240,0)</x:f>
        <x:v>1</x:v>
      </x:c>
      <x:c r="T240" s="38" t="n">
        <x:f>MIN(MAX(G240,0),MAX(D240-I240,0))</x:f>
        <x:v>0</x:v>
      </x:c>
      <x:c r="U240" s="44" t="n">
        <x:f>T240*E240</x:f>
        <x:v>0</x:v>
      </x:c>
      <x:c r="V240" s="38" t="n">
        <x:v>1</x:v>
      </x:c>
      <x:c r="W240" s="32" t="n">
        <x:v>1</x:v>
      </x:c>
      <x:c r="X240" s="50" t="n">
        <x:v>45506</x:v>
      </x:c>
      <x:c r="Y240" s="44" t="n">
        <x:v>12500</x:v>
      </x:c>
      <x:c r="Z240" s="44" t="n">
        <x:f>IF(I240&gt;0,R240*(J240/I240),0)</x:f>
        <x:v>25000</x:v>
      </x:c>
      <x:c r="AA240" s="44" t="n">
        <x:f>Z240-(R240*E240)</x:f>
        <x:v>10000</x:v>
      </x:c>
      <x:c r="AB240" s="47" t="n">
        <x:f>IFERROR(AA240/Z240,0)</x:f>
        <x:v>0.4</x:v>
      </x:c>
      <x:c r="AC240" s="32" t="str">
        <x:f>IF(S240=0,"0%",IF(S240&lt;0.5,"1-49%",IF(S240&lt;0.8,"50-79%",IF(S240&lt;1,"80-99%","100%"))))</x:f>
        <x:v>100%</x:v>
      </x:c>
      <x:c r="AD240" s="33" t="str">
        <x:f>IF(G240&lt;0,"Stock negativo",IF(G240&lt;=0,"Sin stock actual",IF(I240&lt;=0,"Sin ventas desde compra",IF(Q240&lt;=0,"Con stock, sin ventas 365d",IF(S240&lt;0.5,"Rotación baja",IF(S240&lt;1,"Rotación media","Compra absorbida; stock repuesto"))))))</x:f>
        <x:v>Con stock, sin ventas 365d</x:v>
      </x:c>
    </x:row>
    <x:row r="241">
      <x:c r="A241" s="31" t="str">
        <x:v>F6335</x:v>
      </x:c>
      <x:c r="B241" s="53" t="str">
        <x:v>GUAYA CLUCTH XT2 125 NKY</x:v>
      </x:c>
      <x:c r="C241" s="32" t="n">
        <x:v>1</x:v>
      </x:c>
      <x:c r="D241" s="38" t="n">
        <x:v>3</x:v>
      </x:c>
      <x:c r="E241" s="44" t="n">
        <x:v>5000</x:v>
      </x:c>
      <x:c r="F241" s="44" t="n">
        <x:v>15000</x:v>
      </x:c>
      <x:c r="G241" s="41" t="n">
        <x:v>3</x:v>
      </x:c>
      <x:c r="H241" s="44" t="n">
        <x:f>MAX(G241,0)*E241</x:f>
        <x:v>15000</x:v>
      </x:c>
      <x:c r="I241" s="38" t="n">
        <x:v>0</x:v>
      </x:c>
      <x:c r="J241" s="44" t="n">
        <x:v>0</x:v>
      </x:c>
      <x:c r="K241" s="32" t="n">
        <x:v>0</x:v>
      </x:c>
      <x:c r="L241" s="50"/>
      <x:c r="M241" s="50"/>
      <x:c r="N241" s="32" t="str">
        <x:f>IF(M241="","",MAX(0,'Resumen'!$B$3-M241))</x:f>
      </x:c>
      <x:c r="O241" s="38" t="n">
        <x:v>0</x:v>
      </x:c>
      <x:c r="P241" s="38" t="n">
        <x:v>0</x:v>
      </x:c>
      <x:c r="Q241" s="38" t="n">
        <x:v>0</x:v>
      </x:c>
      <x:c r="R241" s="38" t="n">
        <x:f>MIN(D241,I241)</x:f>
        <x:v>0</x:v>
      </x:c>
      <x:c r="S241" s="47" t="n">
        <x:f>IFERROR(R241/D241,0)</x:f>
        <x:v>0</x:v>
      </x:c>
      <x:c r="T241" s="38" t="n">
        <x:f>MIN(MAX(G241,0),MAX(D241-I241,0))</x:f>
        <x:v>3</x:v>
      </x:c>
      <x:c r="U241" s="44" t="n">
        <x:f>T241*E241</x:f>
        <x:v>15000</x:v>
      </x:c>
      <x:c r="V241" s="38" t="n">
        <x:v>0</x:v>
      </x:c>
      <x:c r="W241" s="32" t="n">
        <x:v>0</x:v>
      </x:c>
      <x:c r="X241" s="50"/>
      <x:c r="Y241" s="44" t="n">
        <x:v>8500</x:v>
      </x:c>
      <x:c r="Z241" s="44" t="n">
        <x:f>IF(I241&gt;0,R241*(J241/I241),0)</x:f>
        <x:v>0</x:v>
      </x:c>
      <x:c r="AA241" s="44" t="n">
        <x:f>Z241-(R241*E241)</x:f>
        <x:v>0</x:v>
      </x:c>
      <x:c r="AB241" s="47" t="n">
        <x:f>IFERROR(AA241/Z241,0)</x:f>
        <x:v>0</x:v>
      </x:c>
      <x:c r="AC241" s="32" t="str">
        <x:f>IF(S241=0,"0%",IF(S241&lt;0.5,"1-49%",IF(S241&lt;0.8,"50-79%",IF(S241&lt;1,"80-99%","100%"))))</x:f>
        <x:v>0%</x:v>
      </x:c>
      <x:c r="AD241" s="33" t="str">
        <x:f>IF(G241&lt;0,"Stock negativo",IF(G241&lt;=0,"Sin stock actual",IF(I241&lt;=0,"Sin ventas desde compra",IF(Q241&lt;=0,"Con stock, sin ventas 365d",IF(S241&lt;0.5,"Rotación baja",IF(S241&lt;1,"Rotación media","Compra absorbida; stock repuesto"))))))</x:f>
        <x:v>Sin ventas desde compra</x:v>
      </x:c>
    </x:row>
    <x:row r="242">
      <x:c r="A242" s="31" t="str">
        <x:v>MOTS1006</x:v>
      </x:c>
      <x:c r="B242" s="53" t="str">
        <x:v>JUEGO CORTA VIENTO YAMAHA BWS ORIGINAL PLASTICO</x:v>
      </x:c>
      <x:c r="C242" s="32" t="n">
        <x:v>1</x:v>
      </x:c>
      <x:c r="D242" s="38" t="n">
        <x:v>2</x:v>
      </x:c>
      <x:c r="E242" s="44" t="n">
        <x:v>7500</x:v>
      </x:c>
      <x:c r="F242" s="44" t="n">
        <x:v>15000</x:v>
      </x:c>
      <x:c r="G242" s="41" t="n">
        <x:v>0</x:v>
      </x:c>
      <x:c r="H242" s="44" t="n">
        <x:f>MAX(G242,0)*E242</x:f>
        <x:v>0</x:v>
      </x:c>
      <x:c r="I242" s="38" t="n">
        <x:v>3</x:v>
      </x:c>
      <x:c r="J242" s="44" t="n">
        <x:v>37000</x:v>
      </x:c>
      <x:c r="K242" s="32" t="n">
        <x:v>3</x:v>
      </x:c>
      <x:c r="L242" s="50" t="n">
        <x:v>45512.89293981482</x:v>
      </x:c>
      <x:c r="M242" s="50" t="n">
        <x:v>46205.91111111111</x:v>
      </x:c>
      <x:c r="N242" s="32" t="n">
        <x:f>IF(M242="","",MAX(0,'Resumen'!$B$3-M242))</x:f>
        <x:v>61.088888888887595</x:v>
      </x:c>
      <x:c r="O242" s="38" t="n">
        <x:v>0</x:v>
      </x:c>
      <x:c r="P242" s="38" t="n">
        <x:v>1</x:v>
      </x:c>
      <x:c r="Q242" s="38" t="n">
        <x:v>2</x:v>
      </x:c>
      <x:c r="R242" s="38" t="n">
        <x:f>MIN(D242,I242)</x:f>
        <x:v>2</x:v>
      </x:c>
      <x:c r="S242" s="47" t="n">
        <x:f>IFERROR(R242/D242,0)</x:f>
        <x:v>1</x:v>
      </x:c>
      <x:c r="T242" s="38" t="n">
        <x:f>MIN(MAX(G242,0),MAX(D242-I242,0))</x:f>
        <x:v>0</x:v>
      </x:c>
      <x:c r="U242" s="44" t="n">
        <x:f>T242*E242</x:f>
        <x:v>0</x:v>
      </x:c>
      <x:c r="V242" s="38" t="n">
        <x:v>1</x:v>
      </x:c>
      <x:c r="W242" s="32" t="n">
        <x:v>1</x:v>
      </x:c>
      <x:c r="X242" s="50" t="n">
        <x:v>45568</x:v>
      </x:c>
      <x:c r="Y242" s="44" t="n">
        <x:v>12500</x:v>
      </x:c>
      <x:c r="Z242" s="44" t="n">
        <x:f>IF(I242&gt;0,R242*(J242/I242),0)</x:f>
        <x:v>24666.666666666668</x:v>
      </x:c>
      <x:c r="AA242" s="44" t="n">
        <x:f>Z242-(R242*E242)</x:f>
        <x:v>9666.666666666668</x:v>
      </x:c>
      <x:c r="AB242" s="47" t="n">
        <x:f>IFERROR(AA242/Z242,0)</x:f>
        <x:v>0.39189189189189194</x:v>
      </x:c>
      <x:c r="AC242" s="32" t="str">
        <x:f>IF(S242=0,"0%",IF(S242&lt;0.5,"1-49%",IF(S242&lt;0.8,"50-79%",IF(S242&lt;1,"80-99%","100%"))))</x:f>
        <x:v>100%</x:v>
      </x:c>
      <x:c r="AD242" s="33" t="str">
        <x:f>IF(G242&lt;0,"Stock negativo",IF(G242&lt;=0,"Sin stock actual",IF(I242&lt;=0,"Sin ventas desde compra",IF(Q242&lt;=0,"Con stock, sin ventas 365d",IF(S242&lt;0.5,"Rotación baja",IF(S242&lt;1,"Rotación media","Compra absorbida; stock repuesto"))))))</x:f>
        <x:v>Sin stock actual</x:v>
      </x:c>
    </x:row>
    <x:row r="243">
      <x:c r="A243" s="31" t="str">
        <x:v>MOTS1021</x:v>
      </x:c>
      <x:c r="B243" s="53" t="str">
        <x:v>CADENILLA CNT - 25H X 88L 15 NITROX</x:v>
      </x:c>
      <x:c r="C243" s="32" t="n">
        <x:v>1</x:v>
      </x:c>
      <x:c r="D243" s="38" t="n">
        <x:v>2</x:v>
      </x:c>
      <x:c r="E243" s="44" t="n">
        <x:v>7500</x:v>
      </x:c>
      <x:c r="F243" s="44" t="n">
        <x:v>15000</x:v>
      </x:c>
      <x:c r="G243" s="41" t="n">
        <x:v>2</x:v>
      </x:c>
      <x:c r="H243" s="44" t="n">
        <x:f>MAX(G243,0)*E243</x:f>
        <x:v>15000</x:v>
      </x:c>
      <x:c r="I243" s="38" t="n">
        <x:v>0</x:v>
      </x:c>
      <x:c r="J243" s="44" t="n">
        <x:v>0</x:v>
      </x:c>
      <x:c r="K243" s="32" t="n">
        <x:v>0</x:v>
      </x:c>
      <x:c r="L243" s="50"/>
      <x:c r="M243" s="50"/>
      <x:c r="N243" s="32" t="str">
        <x:f>IF(M243="","",MAX(0,'Resumen'!$B$3-M243))</x:f>
      </x:c>
      <x:c r="O243" s="38" t="n">
        <x:v>0</x:v>
      </x:c>
      <x:c r="P243" s="38" t="n">
        <x:v>0</x:v>
      </x:c>
      <x:c r="Q243" s="38" t="n">
        <x:v>0</x:v>
      </x:c>
      <x:c r="R243" s="38" t="n">
        <x:f>MIN(D243,I243)</x:f>
        <x:v>0</x:v>
      </x:c>
      <x:c r="S243" s="47" t="n">
        <x:f>IFERROR(R243/D243,0)</x:f>
        <x:v>0</x:v>
      </x:c>
      <x:c r="T243" s="38" t="n">
        <x:f>MIN(MAX(G243,0),MAX(D243-I243,0))</x:f>
        <x:v>2</x:v>
      </x:c>
      <x:c r="U243" s="44" t="n">
        <x:f>T243*E243</x:f>
        <x:v>15000</x:v>
      </x:c>
      <x:c r="V243" s="38" t="n">
        <x:v>0</x:v>
      </x:c>
      <x:c r="W243" s="32" t="n">
        <x:v>0</x:v>
      </x:c>
      <x:c r="X243" s="50"/>
      <x:c r="Y243" s="44" t="n">
        <x:v>12500</x:v>
      </x:c>
      <x:c r="Z243" s="44" t="n">
        <x:f>IF(I243&gt;0,R243*(J243/I243),0)</x:f>
        <x:v>0</x:v>
      </x:c>
      <x:c r="AA243" s="44" t="n">
        <x:f>Z243-(R243*E243)</x:f>
        <x:v>0</x:v>
      </x:c>
      <x:c r="AB243" s="47" t="n">
        <x:f>IFERROR(AA243/Z243,0)</x:f>
        <x:v>0</x:v>
      </x:c>
      <x:c r="AC243" s="32" t="str">
        <x:f>IF(S243=0,"0%",IF(S243&lt;0.5,"1-49%",IF(S243&lt;0.8,"50-79%",IF(S243&lt;1,"80-99%","100%"))))</x:f>
        <x:v>0%</x:v>
      </x:c>
      <x:c r="AD243" s="33" t="str">
        <x:f>IF(G243&lt;0,"Stock negativo",IF(G243&lt;=0,"Sin stock actual",IF(I243&lt;=0,"Sin ventas desde compra",IF(Q243&lt;=0,"Con stock, sin ventas 365d",IF(S243&lt;0.5,"Rotación baja",IF(S243&lt;1,"Rotación media","Compra absorbida; stock repuesto"))))))</x:f>
        <x:v>Sin ventas desde compra</x:v>
      </x:c>
    </x:row>
    <x:row r="244">
      <x:c r="A244" s="31" t="str">
        <x:v>MOTS1022</x:v>
      </x:c>
      <x:c r="B244" s="53" t="str">
        <x:v>CADENILLA CNT - 25H X 84L 15 NITROX</x:v>
      </x:c>
      <x:c r="C244" s="32" t="n">
        <x:v>1</x:v>
      </x:c>
      <x:c r="D244" s="38" t="n">
        <x:v>2</x:v>
      </x:c>
      <x:c r="E244" s="44" t="n">
        <x:v>7500</x:v>
      </x:c>
      <x:c r="F244" s="44" t="n">
        <x:v>15000</x:v>
      </x:c>
      <x:c r="G244" s="41" t="n">
        <x:v>2</x:v>
      </x:c>
      <x:c r="H244" s="44" t="n">
        <x:f>MAX(G244,0)*E244</x:f>
        <x:v>15000</x:v>
      </x:c>
      <x:c r="I244" s="38" t="n">
        <x:v>0</x:v>
      </x:c>
      <x:c r="J244" s="44" t="n">
        <x:v>0</x:v>
      </x:c>
      <x:c r="K244" s="32" t="n">
        <x:v>0</x:v>
      </x:c>
      <x:c r="L244" s="50"/>
      <x:c r="M244" s="50"/>
      <x:c r="N244" s="32" t="str">
        <x:f>IF(M244="","",MAX(0,'Resumen'!$B$3-M244))</x:f>
      </x:c>
      <x:c r="O244" s="38" t="n">
        <x:v>0</x:v>
      </x:c>
      <x:c r="P244" s="38" t="n">
        <x:v>0</x:v>
      </x:c>
      <x:c r="Q244" s="38" t="n">
        <x:v>0</x:v>
      </x:c>
      <x:c r="R244" s="38" t="n">
        <x:f>MIN(D244,I244)</x:f>
        <x:v>0</x:v>
      </x:c>
      <x:c r="S244" s="47" t="n">
        <x:f>IFERROR(R244/D244,0)</x:f>
        <x:v>0</x:v>
      </x:c>
      <x:c r="T244" s="38" t="n">
        <x:f>MIN(MAX(G244,0),MAX(D244-I244,0))</x:f>
        <x:v>2</x:v>
      </x:c>
      <x:c r="U244" s="44" t="n">
        <x:f>T244*E244</x:f>
        <x:v>15000</x:v>
      </x:c>
      <x:c r="V244" s="38" t="n">
        <x:v>0</x:v>
      </x:c>
      <x:c r="W244" s="32" t="n">
        <x:v>0</x:v>
      </x:c>
      <x:c r="X244" s="50"/>
      <x:c r="Y244" s="44" t="n">
        <x:v>12500</x:v>
      </x:c>
      <x:c r="Z244" s="44" t="n">
        <x:f>IF(I244&gt;0,R244*(J244/I244),0)</x:f>
        <x:v>0</x:v>
      </x:c>
      <x:c r="AA244" s="44" t="n">
        <x:f>Z244-(R244*E244)</x:f>
        <x:v>0</x:v>
      </x:c>
      <x:c r="AB244" s="47" t="n">
        <x:f>IFERROR(AA244/Z244,0)</x:f>
        <x:v>0</x:v>
      </x:c>
      <x:c r="AC244" s="32" t="str">
        <x:f>IF(S244=0,"0%",IF(S244&lt;0.5,"1-49%",IF(S244&lt;0.8,"50-79%",IF(S244&lt;1,"80-99%","100%"))))</x:f>
        <x:v>0%</x:v>
      </x:c>
      <x:c r="AD244" s="33" t="str">
        <x:f>IF(G244&lt;0,"Stock negativo",IF(G244&lt;=0,"Sin stock actual",IF(I244&lt;=0,"Sin ventas desde compra",IF(Q244&lt;=0,"Con stock, sin ventas 365d",IF(S244&lt;0.5,"Rotación baja",IF(S244&lt;1,"Rotación media","Compra absorbida; stock repuesto"))))))</x:f>
        <x:v>Sin ventas desde compra</x:v>
      </x:c>
    </x:row>
    <x:row r="245">
      <x:c r="A245" s="31" t="str">
        <x:v>MOTS1043</x:v>
      </x:c>
      <x:c r="B245" s="53" t="str">
        <x:v>RETEN 17-40-7</x:v>
      </x:c>
      <x:c r="C245" s="32" t="n">
        <x:v>1</x:v>
      </x:c>
      <x:c r="D245" s="38" t="n">
        <x:v>5</x:v>
      </x:c>
      <x:c r="E245" s="44" t="n">
        <x:v>3000</x:v>
      </x:c>
      <x:c r="F245" s="44" t="n">
        <x:v>15000</x:v>
      </x:c>
      <x:c r="G245" s="41" t="n">
        <x:v>5</x:v>
      </x:c>
      <x:c r="H245" s="44" t="n">
        <x:f>MAX(G245,0)*E245</x:f>
        <x:v>15000</x:v>
      </x:c>
      <x:c r="I245" s="38" t="n">
        <x:v>0</x:v>
      </x:c>
      <x:c r="J245" s="44" t="n">
        <x:v>0</x:v>
      </x:c>
      <x:c r="K245" s="32" t="n">
        <x:v>0</x:v>
      </x:c>
      <x:c r="L245" s="50"/>
      <x:c r="M245" s="50"/>
      <x:c r="N245" s="32" t="str">
        <x:f>IF(M245="","",MAX(0,'Resumen'!$B$3-M245))</x:f>
      </x:c>
      <x:c r="O245" s="38" t="n">
        <x:v>0</x:v>
      </x:c>
      <x:c r="P245" s="38" t="n">
        <x:v>0</x:v>
      </x:c>
      <x:c r="Q245" s="38" t="n">
        <x:v>0</x:v>
      </x:c>
      <x:c r="R245" s="38" t="n">
        <x:f>MIN(D245,I245)</x:f>
        <x:v>0</x:v>
      </x:c>
      <x:c r="S245" s="47" t="n">
        <x:f>IFERROR(R245/D245,0)</x:f>
        <x:v>0</x:v>
      </x:c>
      <x:c r="T245" s="38" t="n">
        <x:f>MIN(MAX(G245,0),MAX(D245-I245,0))</x:f>
        <x:v>5</x:v>
      </x:c>
      <x:c r="U245" s="44" t="n">
        <x:f>T245*E245</x:f>
        <x:v>15000</x:v>
      </x:c>
      <x:c r="V245" s="38" t="n">
        <x:v>0</x:v>
      </x:c>
      <x:c r="W245" s="32" t="n">
        <x:v>0</x:v>
      </x:c>
      <x:c r="X245" s="50"/>
      <x:c r="Y245" s="44" t="n">
        <x:v>5000</x:v>
      </x:c>
      <x:c r="Z245" s="44" t="n">
        <x:f>IF(I245&gt;0,R245*(J245/I245),0)</x:f>
        <x:v>0</x:v>
      </x:c>
      <x:c r="AA245" s="44" t="n">
        <x:f>Z245-(R245*E245)</x:f>
        <x:v>0</x:v>
      </x:c>
      <x:c r="AB245" s="47" t="n">
        <x:f>IFERROR(AA245/Z245,0)</x:f>
        <x:v>0</x:v>
      </x:c>
      <x:c r="AC245" s="32" t="str">
        <x:f>IF(S245=0,"0%",IF(S245&lt;0.5,"1-49%",IF(S245&lt;0.8,"50-79%",IF(S245&lt;1,"80-99%","100%"))))</x:f>
        <x:v>0%</x:v>
      </x:c>
      <x:c r="AD245" s="33" t="str">
        <x:f>IF(G245&lt;0,"Stock negativo",IF(G245&lt;=0,"Sin stock actual",IF(I245&lt;=0,"Sin ventas desde compra",IF(Q245&lt;=0,"Con stock, sin ventas 365d",IF(S245&lt;0.5,"Rotación baja",IF(S245&lt;1,"Rotación media","Compra absorbida; stock repuesto"))))))</x:f>
        <x:v>Sin ventas desde compra</x:v>
      </x:c>
    </x:row>
    <x:row r="246">
      <x:c r="A246" s="31" t="str">
        <x:v>MOTS1047</x:v>
      </x:c>
      <x:c r="B246" s="53" t="str">
        <x:v>RETEN 28-40-8</x:v>
      </x:c>
      <x:c r="C246" s="32" t="n">
        <x:v>1</x:v>
      </x:c>
      <x:c r="D246" s="38" t="n">
        <x:v>5</x:v>
      </x:c>
      <x:c r="E246" s="44" t="n">
        <x:v>3000</x:v>
      </x:c>
      <x:c r="F246" s="44" t="n">
        <x:v>15000</x:v>
      </x:c>
      <x:c r="G246" s="41" t="n">
        <x:v>4</x:v>
      </x:c>
      <x:c r="H246" s="44" t="n">
        <x:f>MAX(G246,0)*E246</x:f>
        <x:v>12000</x:v>
      </x:c>
      <x:c r="I246" s="38" t="n">
        <x:v>1</x:v>
      </x:c>
      <x:c r="J246" s="44" t="n">
        <x:v>5000</x:v>
      </x:c>
      <x:c r="K246" s="32" t="n">
        <x:v>1</x:v>
      </x:c>
      <x:c r="L246" s="50" t="n">
        <x:v>46003.803460648145</x:v>
      </x:c>
      <x:c r="M246" s="50" t="n">
        <x:v>46003.803460648145</x:v>
      </x:c>
      <x:c r="N246" s="32" t="n">
        <x:f>IF(M246="","",MAX(0,'Resumen'!$B$3-M246))</x:f>
        <x:v>263.1965393518549</x:v>
      </x:c>
      <x:c r="O246" s="38" t="n">
        <x:v>0</x:v>
      </x:c>
      <x:c r="P246" s="38" t="n">
        <x:v>0</x:v>
      </x:c>
      <x:c r="Q246" s="38" t="n">
        <x:v>1</x:v>
      </x:c>
      <x:c r="R246" s="38" t="n">
        <x:f>MIN(D246,I246)</x:f>
        <x:v>1</x:v>
      </x:c>
      <x:c r="S246" s="47" t="n">
        <x:f>IFERROR(R246/D246,0)</x:f>
        <x:v>0.2</x:v>
      </x:c>
      <x:c r="T246" s="38" t="n">
        <x:f>MIN(MAX(G246,0),MAX(D246-I246,0))</x:f>
        <x:v>4</x:v>
      </x:c>
      <x:c r="U246" s="44" t="n">
        <x:f>T246*E246</x:f>
        <x:v>12000</x:v>
      </x:c>
      <x:c r="V246" s="38" t="n">
        <x:v>0</x:v>
      </x:c>
      <x:c r="W246" s="32" t="n">
        <x:v>0</x:v>
      </x:c>
      <x:c r="X246" s="50"/>
      <x:c r="Y246" s="44" t="n">
        <x:v>5000</x:v>
      </x:c>
      <x:c r="Z246" s="44" t="n">
        <x:f>IF(I246&gt;0,R246*(J246/I246),0)</x:f>
        <x:v>5000</x:v>
      </x:c>
      <x:c r="AA246" s="44" t="n">
        <x:f>Z246-(R246*E246)</x:f>
        <x:v>2000</x:v>
      </x:c>
      <x:c r="AB246" s="47" t="n">
        <x:f>IFERROR(AA246/Z246,0)</x:f>
        <x:v>0.4</x:v>
      </x:c>
      <x:c r="AC246" s="32" t="str">
        <x:f>IF(S246=0,"0%",IF(S246&lt;0.5,"1-49%",IF(S246&lt;0.8,"50-79%",IF(S246&lt;1,"80-99%","100%"))))</x:f>
        <x:v>1-49%</x:v>
      </x:c>
      <x:c r="AD246" s="33" t="str">
        <x:f>IF(G246&lt;0,"Stock negativo",IF(G246&lt;=0,"Sin stock actual",IF(I246&lt;=0,"Sin ventas desde compra",IF(Q246&lt;=0,"Con stock, sin ventas 365d",IF(S246&lt;0.5,"Rotación baja",IF(S246&lt;1,"Rotación media","Compra absorbida; stock repuesto"))))))</x:f>
        <x:v>Rotación baja</x:v>
      </x:c>
    </x:row>
    <x:row r="247">
      <x:c r="A247" s="31" t="str">
        <x:v>MOTS1055</x:v>
      </x:c>
      <x:c r="B247" s="53" t="str">
        <x:v>RETEN 26-38-5</x:v>
      </x:c>
      <x:c r="C247" s="32" t="n">
        <x:v>1</x:v>
      </x:c>
      <x:c r="D247" s="38" t="n">
        <x:v>6</x:v>
      </x:c>
      <x:c r="E247" s="44" t="n">
        <x:v>2500</x:v>
      </x:c>
      <x:c r="F247" s="44" t="n">
        <x:v>15000</x:v>
      </x:c>
      <x:c r="G247" s="41" t="n">
        <x:v>3</x:v>
      </x:c>
      <x:c r="H247" s="44" t="n">
        <x:f>MAX(G247,0)*E247</x:f>
        <x:v>7500</x:v>
      </x:c>
      <x:c r="I247" s="38" t="n">
        <x:v>3</x:v>
      </x:c>
      <x:c r="J247" s="44" t="n">
        <x:v>13000</x:v>
      </x:c>
      <x:c r="K247" s="32" t="n">
        <x:v>3</x:v>
      </x:c>
      <x:c r="L247" s="50" t="n">
        <x:v>45714.65020833333</x:v>
      </x:c>
      <x:c r="M247" s="50" t="n">
        <x:v>46014.81594907407</x:v>
      </x:c>
      <x:c r="N247" s="32" t="n">
        <x:f>IF(M247="","",MAX(0,'Resumen'!$B$3-M247))</x:f>
        <x:v>252.1840509259273</x:v>
      </x:c>
      <x:c r="O247" s="38" t="n">
        <x:v>0</x:v>
      </x:c>
      <x:c r="P247" s="38" t="n">
        <x:v>0</x:v>
      </x:c>
      <x:c r="Q247" s="38" t="n">
        <x:v>1</x:v>
      </x:c>
      <x:c r="R247" s="38" t="n">
        <x:f>MIN(D247,I247)</x:f>
        <x:v>3</x:v>
      </x:c>
      <x:c r="S247" s="47" t="n">
        <x:f>IFERROR(R247/D247,0)</x:f>
        <x:v>0.5</x:v>
      </x:c>
      <x:c r="T247" s="38" t="n">
        <x:f>MIN(MAX(G247,0),MAX(D247-I247,0))</x:f>
        <x:v>3</x:v>
      </x:c>
      <x:c r="U247" s="44" t="n">
        <x:f>T247*E247</x:f>
        <x:v>7500</x:v>
      </x:c>
      <x:c r="V247" s="38" t="n">
        <x:v>0</x:v>
      </x:c>
      <x:c r="W247" s="32" t="n">
        <x:v>0</x:v>
      </x:c>
      <x:c r="X247" s="50"/>
      <x:c r="Y247" s="44" t="n">
        <x:v>4500</x:v>
      </x:c>
      <x:c r="Z247" s="44" t="n">
        <x:f>IF(I247&gt;0,R247*(J247/I247),0)</x:f>
        <x:v>13000</x:v>
      </x:c>
      <x:c r="AA247" s="44" t="n">
        <x:f>Z247-(R247*E247)</x:f>
        <x:v>5500</x:v>
      </x:c>
      <x:c r="AB247" s="47" t="n">
        <x:f>IFERROR(AA247/Z247,0)</x:f>
        <x:v>0.4230769230769231</x:v>
      </x:c>
      <x:c r="AC247" s="32" t="str">
        <x:f>IF(S247=0,"0%",IF(S247&lt;0.5,"1-49%",IF(S247&lt;0.8,"50-79%",IF(S247&lt;1,"80-99%","100%"))))</x:f>
        <x:v>50-79%</x:v>
      </x:c>
      <x:c r="AD247" s="33" t="str">
        <x:f>IF(G247&lt;0,"Stock negativo",IF(G247&lt;=0,"Sin stock actual",IF(I247&lt;=0,"Sin ventas desde compra",IF(Q247&lt;=0,"Con stock, sin ventas 365d",IF(S247&lt;0.5,"Rotación baja",IF(S247&lt;1,"Rotación media","Compra absorbida; stock repuesto"))))))</x:f>
        <x:v>Rotación media</x:v>
      </x:c>
    </x:row>
    <x:row r="248">
      <x:c r="A248" s="31" t="str">
        <x:v>MOTS1114</x:v>
      </x:c>
      <x:c r="B248" s="53" t="str">
        <x:v>PORTA PLACA ALUMINIO LUJO</x:v>
      </x:c>
      <x:c r="C248" s="32" t="n">
        <x:v>1</x:v>
      </x:c>
      <x:c r="D248" s="38" t="n">
        <x:v>2</x:v>
      </x:c>
      <x:c r="E248" s="44" t="n">
        <x:v>7500</x:v>
      </x:c>
      <x:c r="F248" s="44" t="n">
        <x:v>15000</x:v>
      </x:c>
      <x:c r="G248" s="41" t="n">
        <x:v>0</x:v>
      </x:c>
      <x:c r="H248" s="44" t="n">
        <x:f>MAX(G248,0)*E248</x:f>
        <x:v>0</x:v>
      </x:c>
      <x:c r="I248" s="38" t="n">
        <x:v>2</x:v>
      </x:c>
      <x:c r="J248" s="44" t="n">
        <x:v>24000</x:v>
      </x:c>
      <x:c r="K248" s="32" t="n">
        <x:v>2</x:v>
      </x:c>
      <x:c r="L248" s="50" t="n">
        <x:v>45544.72175925926</x:v>
      </x:c>
      <x:c r="M248" s="50" t="n">
        <x:v>45553.59553240741</x:v>
      </x:c>
      <x:c r="N248" s="32" t="n">
        <x:f>IF(M248="","",MAX(0,'Resumen'!$B$3-M248))</x:f>
        <x:v>713.4044675925907</x:v>
      </x:c>
      <x:c r="O248" s="38" t="n">
        <x:v>0</x:v>
      </x:c>
      <x:c r="P248" s="38" t="n">
        <x:v>0</x:v>
      </x:c>
      <x:c r="Q248" s="38" t="n">
        <x:v>0</x:v>
      </x:c>
      <x:c r="R248" s="38" t="n">
        <x:f>MIN(D248,I248)</x:f>
        <x:v>2</x:v>
      </x:c>
      <x:c r="S248" s="47" t="n">
        <x:f>IFERROR(R248/D248,0)</x:f>
        <x:v>1</x:v>
      </x:c>
      <x:c r="T248" s="38" t="n">
        <x:f>MIN(MAX(G248,0),MAX(D248-I248,0))</x:f>
        <x:v>0</x:v>
      </x:c>
      <x:c r="U248" s="44" t="n">
        <x:f>T248*E248</x:f>
        <x:v>0</x:v>
      </x:c>
      <x:c r="V248" s="38" t="n">
        <x:v>0</x:v>
      </x:c>
      <x:c r="W248" s="32" t="n">
        <x:v>0</x:v>
      </x:c>
      <x:c r="X248" s="50"/>
      <x:c r="Y248" s="44" t="n">
        <x:v>12500</x:v>
      </x:c>
      <x:c r="Z248" s="44" t="n">
        <x:f>IF(I248&gt;0,R248*(J248/I248),0)</x:f>
        <x:v>24000</x:v>
      </x:c>
      <x:c r="AA248" s="44" t="n">
        <x:f>Z248-(R248*E248)</x:f>
        <x:v>9000</x:v>
      </x:c>
      <x:c r="AB248" s="47" t="n">
        <x:f>IFERROR(AA248/Z248,0)</x:f>
        <x:v>0.375</x:v>
      </x:c>
      <x:c r="AC248" s="32" t="str">
        <x:f>IF(S248=0,"0%",IF(S248&lt;0.5,"1-49%",IF(S248&lt;0.8,"50-79%",IF(S248&lt;1,"80-99%","100%"))))</x:f>
        <x:v>100%</x:v>
      </x:c>
      <x:c r="AD248" s="33" t="str">
        <x:f>IF(G248&lt;0,"Stock negativo",IF(G248&lt;=0,"Sin stock actual",IF(I248&lt;=0,"Sin ventas desde compra",IF(Q248&lt;=0,"Con stock, sin ventas 365d",IF(S248&lt;0.5,"Rotación baja",IF(S248&lt;1,"Rotación media","Compra absorbida; stock repuesto"))))))</x:f>
        <x:v>Sin stock actual</x:v>
      </x:c>
    </x:row>
    <x:row r="249">
      <x:c r="A249" s="31" t="str">
        <x:v>MOTS1208</x:v>
      </x:c>
      <x:c r="B249" s="53" t="str">
        <x:v>DISCOS CLUTCH PULSR 135 GENZO</x:v>
      </x:c>
      <x:c r="C249" s="32" t="n">
        <x:v>1</x:v>
      </x:c>
      <x:c r="D249" s="38" t="n">
        <x:v>1</x:v>
      </x:c>
      <x:c r="E249" s="44" t="n">
        <x:v>15000</x:v>
      </x:c>
      <x:c r="F249" s="44" t="n">
        <x:v>15000</x:v>
      </x:c>
      <x:c r="G249" s="41" t="n">
        <x:v>0</x:v>
      </x:c>
      <x:c r="H249" s="44" t="n">
        <x:f>MAX(G249,0)*E249</x:f>
        <x:v>0</x:v>
      </x:c>
      <x:c r="I249" s="38" t="n">
        <x:v>1</x:v>
      </x:c>
      <x:c r="J249" s="44" t="n">
        <x:v>25000</x:v>
      </x:c>
      <x:c r="K249" s="32" t="n">
        <x:v>1</x:v>
      </x:c>
      <x:c r="L249" s="50" t="n">
        <x:v>45781.7031712963</x:v>
      </x:c>
      <x:c r="M249" s="50" t="n">
        <x:v>45781.7031712963</x:v>
      </x:c>
      <x:c r="N249" s="32" t="n">
        <x:f>IF(M249="","",MAX(0,'Resumen'!$B$3-M249))</x:f>
        <x:v>485.29682870370016</x:v>
      </x:c>
      <x:c r="O249" s="38" t="n">
        <x:v>0</x:v>
      </x:c>
      <x:c r="P249" s="38" t="n">
        <x:v>0</x:v>
      </x:c>
      <x:c r="Q249" s="38" t="n">
        <x:v>0</x:v>
      </x:c>
      <x:c r="R249" s="38" t="n">
        <x:f>MIN(D249,I249)</x:f>
        <x:v>1</x:v>
      </x:c>
      <x:c r="S249" s="47" t="n">
        <x:f>IFERROR(R249/D249,0)</x:f>
        <x:v>1</x:v>
      </x:c>
      <x:c r="T249" s="38" t="n">
        <x:f>MIN(MAX(G249,0),MAX(D249-I249,0))</x:f>
        <x:v>0</x:v>
      </x:c>
      <x:c r="U249" s="44" t="n">
        <x:f>T249*E249</x:f>
        <x:v>0</x:v>
      </x:c>
      <x:c r="V249" s="38" t="n">
        <x:v>0</x:v>
      </x:c>
      <x:c r="W249" s="32" t="n">
        <x:v>0</x:v>
      </x:c>
      <x:c r="X249" s="50"/>
      <x:c r="Y249" s="44" t="n">
        <x:v>25000</x:v>
      </x:c>
      <x:c r="Z249" s="44" t="n">
        <x:f>IF(I249&gt;0,R249*(J249/I249),0)</x:f>
        <x:v>25000</x:v>
      </x:c>
      <x:c r="AA249" s="44" t="n">
        <x:f>Z249-(R249*E249)</x:f>
        <x:v>10000</x:v>
      </x:c>
      <x:c r="AB249" s="47" t="n">
        <x:f>IFERROR(AA249/Z249,0)</x:f>
        <x:v>0.4</x:v>
      </x:c>
      <x:c r="AC249" s="32" t="str">
        <x:f>IF(S249=0,"0%",IF(S249&lt;0.5,"1-49%",IF(S249&lt;0.8,"50-79%",IF(S249&lt;1,"80-99%","100%"))))</x:f>
        <x:v>100%</x:v>
      </x:c>
      <x:c r="AD249" s="33" t="str">
        <x:f>IF(G249&lt;0,"Stock negativo",IF(G249&lt;=0,"Sin stock actual",IF(I249&lt;=0,"Sin ventas desde compra",IF(Q249&lt;=0,"Con stock, sin ventas 365d",IF(S249&lt;0.5,"Rotación baja",IF(S249&lt;1,"Rotación media","Compra absorbida; stock repuesto"))))))</x:f>
        <x:v>Sin stock actual</x:v>
      </x:c>
    </x:row>
    <x:row r="250">
      <x:c r="A250" s="31" t="str">
        <x:v>MOTS1209</x:v>
      </x:c>
      <x:c r="B250" s="53" t="str">
        <x:v>DISCOS CLUTCH CB 110 GENZO</x:v>
      </x:c>
      <x:c r="C250" s="32" t="n">
        <x:v>1</x:v>
      </x:c>
      <x:c r="D250" s="38" t="n">
        <x:v>1</x:v>
      </x:c>
      <x:c r="E250" s="44" t="n">
        <x:v>15000</x:v>
      </x:c>
      <x:c r="F250" s="44" t="n">
        <x:v>15000</x:v>
      </x:c>
      <x:c r="G250" s="41" t="n">
        <x:v>1</x:v>
      </x:c>
      <x:c r="H250" s="44" t="n">
        <x:f>MAX(G250,0)*E250</x:f>
        <x:v>15000</x:v>
      </x:c>
      <x:c r="I250" s="38" t="n">
        <x:v>0</x:v>
      </x:c>
      <x:c r="J250" s="44" t="n">
        <x:v>0</x:v>
      </x:c>
      <x:c r="K250" s="32" t="n">
        <x:v>0</x:v>
      </x:c>
      <x:c r="L250" s="50"/>
      <x:c r="M250" s="50"/>
      <x:c r="N250" s="32" t="str">
        <x:f>IF(M250="","",MAX(0,'Resumen'!$B$3-M250))</x:f>
      </x:c>
      <x:c r="O250" s="38" t="n">
        <x:v>0</x:v>
      </x:c>
      <x:c r="P250" s="38" t="n">
        <x:v>0</x:v>
      </x:c>
      <x:c r="Q250" s="38" t="n">
        <x:v>0</x:v>
      </x:c>
      <x:c r="R250" s="38" t="n">
        <x:f>MIN(D250,I250)</x:f>
        <x:v>0</x:v>
      </x:c>
      <x:c r="S250" s="47" t="n">
        <x:f>IFERROR(R250/D250,0)</x:f>
        <x:v>0</x:v>
      </x:c>
      <x:c r="T250" s="38" t="n">
        <x:f>MIN(MAX(G250,0),MAX(D250-I250,0))</x:f>
        <x:v>1</x:v>
      </x:c>
      <x:c r="U250" s="44" t="n">
        <x:f>T250*E250</x:f>
        <x:v>15000</x:v>
      </x:c>
      <x:c r="V250" s="38" t="n">
        <x:v>0</x:v>
      </x:c>
      <x:c r="W250" s="32" t="n">
        <x:v>0</x:v>
      </x:c>
      <x:c r="X250" s="50"/>
      <x:c r="Y250" s="44" t="n">
        <x:v>25000</x:v>
      </x:c>
      <x:c r="Z250" s="44" t="n">
        <x:f>IF(I250&gt;0,R250*(J250/I250),0)</x:f>
        <x:v>0</x:v>
      </x:c>
      <x:c r="AA250" s="44" t="n">
        <x:f>Z250-(R250*E250)</x:f>
        <x:v>0</x:v>
      </x:c>
      <x:c r="AB250" s="47" t="n">
        <x:f>IFERROR(AA250/Z250,0)</x:f>
        <x:v>0</x:v>
      </x:c>
      <x:c r="AC250" s="32" t="str">
        <x:f>IF(S250=0,"0%",IF(S250&lt;0.5,"1-49%",IF(S250&lt;0.8,"50-79%",IF(S250&lt;1,"80-99%","100%"))))</x:f>
        <x:v>0%</x:v>
      </x:c>
      <x:c r="AD250" s="33" t="str">
        <x:f>IF(G250&lt;0,"Stock negativo",IF(G250&lt;=0,"Sin stock actual",IF(I250&lt;=0,"Sin ventas desde compra",IF(Q250&lt;=0,"Con stock, sin ventas 365d",IF(S250&lt;0.5,"Rotación baja",IF(S250&lt;1,"Rotación media","Compra absorbida; stock repuesto"))))))</x:f>
        <x:v>Sin ventas desde compra</x:v>
      </x:c>
    </x:row>
    <x:row r="251">
      <x:c r="A251" s="31" t="str">
        <x:v>MOTS1242</x:v>
      </x:c>
      <x:c r="B251" s="53" t="str">
        <x:v>BALINERA 6204 2RS C3 NXT</x:v>
      </x:c>
      <x:c r="C251" s="32" t="n">
        <x:v>1</x:v>
      </x:c>
      <x:c r="D251" s="38" t="n">
        <x:v>3</x:v>
      </x:c>
      <x:c r="E251" s="44" t="n">
        <x:v>5000</x:v>
      </x:c>
      <x:c r="F251" s="44" t="n">
        <x:v>15000</x:v>
      </x:c>
      <x:c r="G251" s="41" t="n">
        <x:v>0</x:v>
      </x:c>
      <x:c r="H251" s="44" t="n">
        <x:f>MAX(G251,0)*E251</x:f>
        <x:v>0</x:v>
      </x:c>
      <x:c r="I251" s="38" t="n">
        <x:v>3</x:v>
      </x:c>
      <x:c r="J251" s="44" t="n">
        <x:v>25000</x:v>
      </x:c>
      <x:c r="K251" s="32" t="n">
        <x:v>3</x:v>
      </x:c>
      <x:c r="L251" s="50" t="n">
        <x:v>45594.655752314815</x:v>
      </x:c>
      <x:c r="M251" s="50" t="n">
        <x:v>45731.917766203704</x:v>
      </x:c>
      <x:c r="N251" s="32" t="n">
        <x:f>IF(M251="","",MAX(0,'Resumen'!$B$3-M251))</x:f>
        <x:v>535.0822337962964</x:v>
      </x:c>
      <x:c r="O251" s="38" t="n">
        <x:v>0</x:v>
      </x:c>
      <x:c r="P251" s="38" t="n">
        <x:v>0</x:v>
      </x:c>
      <x:c r="Q251" s="38" t="n">
        <x:v>0</x:v>
      </x:c>
      <x:c r="R251" s="38" t="n">
        <x:f>MIN(D251,I251)</x:f>
        <x:v>3</x:v>
      </x:c>
      <x:c r="S251" s="47" t="n">
        <x:f>IFERROR(R251/D251,0)</x:f>
        <x:v>1</x:v>
      </x:c>
      <x:c r="T251" s="38" t="n">
        <x:f>MIN(MAX(G251,0),MAX(D251-I251,0))</x:f>
        <x:v>0</x:v>
      </x:c>
      <x:c r="U251" s="44" t="n">
        <x:f>T251*E251</x:f>
        <x:v>0</x:v>
      </x:c>
      <x:c r="V251" s="38" t="n">
        <x:v>0</x:v>
      </x:c>
      <x:c r="W251" s="32" t="n">
        <x:v>0</x:v>
      </x:c>
      <x:c r="X251" s="50"/>
      <x:c r="Y251" s="44" t="n">
        <x:v>8500</x:v>
      </x:c>
      <x:c r="Z251" s="44" t="n">
        <x:f>IF(I251&gt;0,R251*(J251/I251),0)</x:f>
        <x:v>25000</x:v>
      </x:c>
      <x:c r="AA251" s="44" t="n">
        <x:f>Z251-(R251*E251)</x:f>
        <x:v>10000</x:v>
      </x:c>
      <x:c r="AB251" s="47" t="n">
        <x:f>IFERROR(AA251/Z251,0)</x:f>
        <x:v>0.4</x:v>
      </x:c>
      <x:c r="AC251" s="32" t="str">
        <x:f>IF(S251=0,"0%",IF(S251&lt;0.5,"1-49%",IF(S251&lt;0.8,"50-79%",IF(S251&lt;1,"80-99%","100%"))))</x:f>
        <x:v>100%</x:v>
      </x:c>
      <x:c r="AD251" s="33" t="str">
        <x:f>IF(G251&lt;0,"Stock negativo",IF(G251&lt;=0,"Sin stock actual",IF(I251&lt;=0,"Sin ventas desde compra",IF(Q251&lt;=0,"Con stock, sin ventas 365d",IF(S251&lt;0.5,"Rotación baja",IF(S251&lt;1,"Rotación media","Compra absorbida; stock repuesto"))))))</x:f>
        <x:v>Sin stock actual</x:v>
      </x:c>
    </x:row>
    <x:row r="252">
      <x:c r="A252" s="31" t="str">
        <x:v>MOTS1270</x:v>
      </x:c>
      <x:c r="B252" s="53" t="str">
        <x:v>GUAYA ACELERADOR DR 200 SYK</x:v>
      </x:c>
      <x:c r="C252" s="32" t="n">
        <x:v>1</x:v>
      </x:c>
      <x:c r="D252" s="38" t="n">
        <x:v>1</x:v>
      </x:c>
      <x:c r="E252" s="44" t="n">
        <x:v>15000</x:v>
      </x:c>
      <x:c r="F252" s="44" t="n">
        <x:v>15000</x:v>
      </x:c>
      <x:c r="G252" s="41" t="n">
        <x:v>1</x:v>
      </x:c>
      <x:c r="H252" s="44" t="n">
        <x:f>MAX(G252,0)*E252</x:f>
        <x:v>15000</x:v>
      </x:c>
      <x:c r="I252" s="38" t="n">
        <x:v>0</x:v>
      </x:c>
      <x:c r="J252" s="44" t="n">
        <x:v>0</x:v>
      </x:c>
      <x:c r="K252" s="32" t="n">
        <x:v>0</x:v>
      </x:c>
      <x:c r="L252" s="50"/>
      <x:c r="M252" s="50"/>
      <x:c r="N252" s="32" t="str">
        <x:f>IF(M252="","",MAX(0,'Resumen'!$B$3-M252))</x:f>
      </x:c>
      <x:c r="O252" s="38" t="n">
        <x:v>0</x:v>
      </x:c>
      <x:c r="P252" s="38" t="n">
        <x:v>0</x:v>
      </x:c>
      <x:c r="Q252" s="38" t="n">
        <x:v>0</x:v>
      </x:c>
      <x:c r="R252" s="38" t="n">
        <x:f>MIN(D252,I252)</x:f>
        <x:v>0</x:v>
      </x:c>
      <x:c r="S252" s="47" t="n">
        <x:f>IFERROR(R252/D252,0)</x:f>
        <x:v>0</x:v>
      </x:c>
      <x:c r="T252" s="38" t="n">
        <x:f>MIN(MAX(G252,0),MAX(D252-I252,0))</x:f>
        <x:v>1</x:v>
      </x:c>
      <x:c r="U252" s="44" t="n">
        <x:f>T252*E252</x:f>
        <x:v>15000</x:v>
      </x:c>
      <x:c r="V252" s="38" t="n">
        <x:v>0</x:v>
      </x:c>
      <x:c r="W252" s="32" t="n">
        <x:v>0</x:v>
      </x:c>
      <x:c r="X252" s="50"/>
      <x:c r="Y252" s="44" t="n">
        <x:v>20000</x:v>
      </x:c>
      <x:c r="Z252" s="44" t="n">
        <x:f>IF(I252&gt;0,R252*(J252/I252),0)</x:f>
        <x:v>0</x:v>
      </x:c>
      <x:c r="AA252" s="44" t="n">
        <x:f>Z252-(R252*E252)</x:f>
        <x:v>0</x:v>
      </x:c>
      <x:c r="AB252" s="47" t="n">
        <x:f>IFERROR(AA252/Z252,0)</x:f>
        <x:v>0</x:v>
      </x:c>
      <x:c r="AC252" s="32" t="str">
        <x:f>IF(S252=0,"0%",IF(S252&lt;0.5,"1-49%",IF(S252&lt;0.8,"50-79%",IF(S252&lt;1,"80-99%","100%"))))</x:f>
        <x:v>0%</x:v>
      </x:c>
      <x:c r="AD252" s="33" t="str">
        <x:f>IF(G252&lt;0,"Stock negativo",IF(G252&lt;=0,"Sin stock actual",IF(I252&lt;=0,"Sin ventas desde compra",IF(Q252&lt;=0,"Con stock, sin ventas 365d",IF(S252&lt;0.5,"Rotación baja",IF(S252&lt;1,"Rotación media","Compra absorbida; stock repuesto"))))))</x:f>
        <x:v>Sin ventas desde compra</x:v>
      </x:c>
    </x:row>
    <x:row r="253">
      <x:c r="A253" s="31" t="str">
        <x:v>MOTS1300</x:v>
      </x:c>
      <x:c r="B253" s="53" t="str">
        <x:v>EMPAQUE TAPA CLUCTH YAMAHA YBR / XT2 / 25 GPP</x:v>
      </x:c>
      <x:c r="C253" s="32" t="n">
        <x:v>1</x:v>
      </x:c>
      <x:c r="D253" s="38" t="n">
        <x:v>5</x:v>
      </x:c>
      <x:c r="E253" s="44" t="n">
        <x:v>3000</x:v>
      </x:c>
      <x:c r="F253" s="44" t="n">
        <x:v>15000</x:v>
      </x:c>
      <x:c r="G253" s="41" t="n">
        <x:v>3</x:v>
      </x:c>
      <x:c r="H253" s="44" t="n">
        <x:f>MAX(G253,0)*E253</x:f>
        <x:v>9000</x:v>
      </x:c>
      <x:c r="I253" s="38" t="n">
        <x:v>4</x:v>
      </x:c>
      <x:c r="J253" s="44" t="n">
        <x:v>19000</x:v>
      </x:c>
      <x:c r="K253" s="32" t="n">
        <x:v>4</x:v>
      </x:c>
      <x:c r="L253" s="50" t="n">
        <x:v>45521.701527777775</x:v>
      </x:c>
      <x:c r="M253" s="50" t="n">
        <x:v>45757.94636574074</x:v>
      </x:c>
      <x:c r="N253" s="32" t="n">
        <x:f>IF(M253="","",MAX(0,'Resumen'!$B$3-M253))</x:f>
        <x:v>509.05363425926043</x:v>
      </x:c>
      <x:c r="O253" s="38" t="n">
        <x:v>0</x:v>
      </x:c>
      <x:c r="P253" s="38" t="n">
        <x:v>0</x:v>
      </x:c>
      <x:c r="Q253" s="38" t="n">
        <x:v>0</x:v>
      </x:c>
      <x:c r="R253" s="38" t="n">
        <x:f>MIN(D253,I253)</x:f>
        <x:v>4</x:v>
      </x:c>
      <x:c r="S253" s="47" t="n">
        <x:f>IFERROR(R253/D253,0)</x:f>
        <x:v>0.8</x:v>
      </x:c>
      <x:c r="T253" s="38" t="n">
        <x:f>MIN(MAX(G253,0),MAX(D253-I253,0))</x:f>
        <x:v>1</x:v>
      </x:c>
      <x:c r="U253" s="44" t="n">
        <x:f>T253*E253</x:f>
        <x:v>3000</x:v>
      </x:c>
      <x:c r="V253" s="38" t="n">
        <x:v>2</x:v>
      </x:c>
      <x:c r="W253" s="32" t="n">
        <x:v>2</x:v>
      </x:c>
      <x:c r="X253" s="50" t="n">
        <x:v>45983</x:v>
      </x:c>
      <x:c r="Y253" s="44" t="n">
        <x:v>5000</x:v>
      </x:c>
      <x:c r="Z253" s="44" t="n">
        <x:f>IF(I253&gt;0,R253*(J253/I253),0)</x:f>
        <x:v>19000</x:v>
      </x:c>
      <x:c r="AA253" s="44" t="n">
        <x:f>Z253-(R253*E253)</x:f>
        <x:v>7000</x:v>
      </x:c>
      <x:c r="AB253" s="47" t="n">
        <x:f>IFERROR(AA253/Z253,0)</x:f>
        <x:v>0.3684210526315789</x:v>
      </x:c>
      <x:c r="AC253" s="32" t="str">
        <x:f>IF(S253=0,"0%",IF(S253&lt;0.5,"1-49%",IF(S253&lt;0.8,"50-79%",IF(S253&lt;1,"80-99%","100%"))))</x:f>
        <x:v>80-99%</x:v>
      </x:c>
      <x:c r="AD253" s="33" t="str">
        <x:f>IF(G253&lt;0,"Stock negativo",IF(G253&lt;=0,"Sin stock actual",IF(I253&lt;=0,"Sin ventas desde compra",IF(Q253&lt;=0,"Con stock, sin ventas 365d",IF(S253&lt;0.5,"Rotación baja",IF(S253&lt;1,"Rotación media","Compra absorbida; stock repuesto"))))))</x:f>
        <x:v>Con stock, sin ventas 365d</x:v>
      </x:c>
    </x:row>
    <x:row r="254">
      <x:c r="A254" s="31" t="str">
        <x:v>OYQ 148</x:v>
      </x:c>
      <x:c r="B254" s="53" t="str">
        <x:v>EMPAQUE EXOSTO BWS 4T REFORZADO DARROM</x:v>
      </x:c>
      <x:c r="C254" s="32" t="n">
        <x:v>1</x:v>
      </x:c>
      <x:c r="D254" s="38" t="n">
        <x:v>15</x:v>
      </x:c>
      <x:c r="E254" s="44" t="n">
        <x:v>1000</x:v>
      </x:c>
      <x:c r="F254" s="44" t="n">
        <x:v>15000</x:v>
      </x:c>
      <x:c r="G254" s="41" t="n">
        <x:v>4</x:v>
      </x:c>
      <x:c r="H254" s="44" t="n">
        <x:f>MAX(G254,0)*E254</x:f>
        <x:v>4000</x:v>
      </x:c>
      <x:c r="I254" s="38" t="n">
        <x:v>11</x:v>
      </x:c>
      <x:c r="J254" s="44" t="n">
        <x:v>22000</x:v>
      </x:c>
      <x:c r="K254" s="32" t="n">
        <x:v>11</x:v>
      </x:c>
      <x:c r="L254" s="50" t="n">
        <x:v>45515.6496875</x:v>
      </x:c>
      <x:c r="M254" s="50" t="n">
        <x:v>45706.555555555555</x:v>
      </x:c>
      <x:c r="N254" s="32" t="n">
        <x:f>IF(M254="","",MAX(0,'Resumen'!$B$3-M254))</x:f>
        <x:v>560.4444444444453</x:v>
      </x:c>
      <x:c r="O254" s="38" t="n">
        <x:v>0</x:v>
      </x:c>
      <x:c r="P254" s="38" t="n">
        <x:v>0</x:v>
      </x:c>
      <x:c r="Q254" s="38" t="n">
        <x:v>0</x:v>
      </x:c>
      <x:c r="R254" s="38" t="n">
        <x:f>MIN(D254,I254)</x:f>
        <x:v>11</x:v>
      </x:c>
      <x:c r="S254" s="47" t="n">
        <x:f>IFERROR(R254/D254,0)</x:f>
        <x:v>0.7333333333333333</x:v>
      </x:c>
      <x:c r="T254" s="38" t="n">
        <x:f>MIN(MAX(G254,0),MAX(D254-I254,0))</x:f>
        <x:v>4</x:v>
      </x:c>
      <x:c r="U254" s="44" t="n">
        <x:f>T254*E254</x:f>
        <x:v>4000</x:v>
      </x:c>
      <x:c r="V254" s="38" t="n">
        <x:v>0</x:v>
      </x:c>
      <x:c r="W254" s="32" t="n">
        <x:v>0</x:v>
      </x:c>
      <x:c r="X254" s="50"/>
      <x:c r="Y254" s="44" t="n">
        <x:v>2000</x:v>
      </x:c>
      <x:c r="Z254" s="44" t="n">
        <x:f>IF(I254&gt;0,R254*(J254/I254),0)</x:f>
        <x:v>22000</x:v>
      </x:c>
      <x:c r="AA254" s="44" t="n">
        <x:f>Z254-(R254*E254)</x:f>
        <x:v>11000</x:v>
      </x:c>
      <x:c r="AB254" s="47" t="n">
        <x:f>IFERROR(AA254/Z254,0)</x:f>
        <x:v>0.5</x:v>
      </x:c>
      <x:c r="AC254" s="32" t="str">
        <x:f>IF(S254=0,"0%",IF(S254&lt;0.5,"1-49%",IF(S254&lt;0.8,"50-79%",IF(S254&lt;1,"80-99%","100%"))))</x:f>
        <x:v>50-79%</x:v>
      </x:c>
      <x:c r="AD254" s="33" t="str">
        <x:f>IF(G254&lt;0,"Stock negativo",IF(G254&lt;=0,"Sin stock actual",IF(I254&lt;=0,"Sin ventas desde compra",IF(Q254&lt;=0,"Con stock, sin ventas 365d",IF(S254&lt;0.5,"Rotación baja",IF(S254&lt;1,"Rotación media","Compra absorbida; stock repuesto"))))))</x:f>
        <x:v>Con stock, sin ventas 365d</x:v>
      </x:c>
    </x:row>
    <x:row r="255">
      <x:c r="A255" s="31" t="str">
        <x:v>MOTS1004</x:v>
      </x:c>
      <x:c r="B255" s="53" t="str">
        <x:v>TAPA LATERAL DER - ECO DELUXE CALCOMANIA</x:v>
      </x:c>
      <x:c r="C255" s="32" t="n">
        <x:v>1</x:v>
      </x:c>
      <x:c r="D255" s="38" t="n">
        <x:v>1</x:v>
      </x:c>
      <x:c r="E255" s="44" t="n">
        <x:v>14500</x:v>
      </x:c>
      <x:c r="F255" s="44" t="n">
        <x:v>14500</x:v>
      </x:c>
      <x:c r="G255" s="41" t="n">
        <x:v>0</x:v>
      </x:c>
      <x:c r="H255" s="44" t="n">
        <x:f>MAX(G255,0)*E255</x:f>
        <x:v>0</x:v>
      </x:c>
      <x:c r="I255" s="38" t="n">
        <x:v>1</x:v>
      </x:c>
      <x:c r="J255" s="44" t="n">
        <x:v>25000</x:v>
      </x:c>
      <x:c r="K255" s="32" t="n">
        <x:v>1</x:v>
      </x:c>
      <x:c r="L255" s="50" t="n">
        <x:v>45865.64052083333</x:v>
      </x:c>
      <x:c r="M255" s="50" t="n">
        <x:v>45865.64052083333</x:v>
      </x:c>
      <x:c r="N255" s="32" t="n">
        <x:f>IF(M255="","",MAX(0,'Resumen'!$B$3-M255))</x:f>
        <x:v>401.3594791666692</x:v>
      </x:c>
      <x:c r="O255" s="38" t="n">
        <x:v>0</x:v>
      </x:c>
      <x:c r="P255" s="38" t="n">
        <x:v>0</x:v>
      </x:c>
      <x:c r="Q255" s="38" t="n">
        <x:v>0</x:v>
      </x:c>
      <x:c r="R255" s="38" t="n">
        <x:f>MIN(D255,I255)</x:f>
        <x:v>1</x:v>
      </x:c>
      <x:c r="S255" s="47" t="n">
        <x:f>IFERROR(R255/D255,0)</x:f>
        <x:v>1</x:v>
      </x:c>
      <x:c r="T255" s="38" t="n">
        <x:f>MIN(MAX(G255,0),MAX(D255-I255,0))</x:f>
        <x:v>0</x:v>
      </x:c>
      <x:c r="U255" s="44" t="n">
        <x:f>T255*E255</x:f>
        <x:v>0</x:v>
      </x:c>
      <x:c r="V255" s="38" t="n">
        <x:v>0</x:v>
      </x:c>
      <x:c r="W255" s="32" t="n">
        <x:v>0</x:v>
      </x:c>
      <x:c r="X255" s="50"/>
      <x:c r="Y255" s="44" t="n">
        <x:v>24500</x:v>
      </x:c>
      <x:c r="Z255" s="44" t="n">
        <x:f>IF(I255&gt;0,R255*(J255/I255),0)</x:f>
        <x:v>25000</x:v>
      </x:c>
      <x:c r="AA255" s="44" t="n">
        <x:f>Z255-(R255*E255)</x:f>
        <x:v>10500</x:v>
      </x:c>
      <x:c r="AB255" s="47" t="n">
        <x:f>IFERROR(AA255/Z255,0)</x:f>
        <x:v>0.42</x:v>
      </x:c>
      <x:c r="AC255" s="32" t="str">
        <x:f>IF(S255=0,"0%",IF(S255&lt;0.5,"1-49%",IF(S255&lt;0.8,"50-79%",IF(S255&lt;1,"80-99%","100%"))))</x:f>
        <x:v>100%</x:v>
      </x:c>
      <x:c r="AD255" s="33" t="str">
        <x:f>IF(G255&lt;0,"Stock negativo",IF(G255&lt;=0,"Sin stock actual",IF(I255&lt;=0,"Sin ventas desde compra",IF(Q255&lt;=0,"Con stock, sin ventas 365d",IF(S255&lt;0.5,"Rotación baja",IF(S255&lt;1,"Rotación media","Compra absorbida; stock repuesto"))))))</x:f>
        <x:v>Sin stock actual</x:v>
      </x:c>
    </x:row>
    <x:row r="256">
      <x:c r="A256" s="31" t="str">
        <x:v>CAU - 159</x:v>
      </x:c>
      <x:c r="B256" s="53" t="str">
        <x:v>CAUCHO MANZANA ECO DELUXE MIN DOCTOR MOTOR</x:v>
      </x:c>
      <x:c r="C256" s="32" t="n">
        <x:v>1</x:v>
      </x:c>
      <x:c r="D256" s="38" t="n">
        <x:v>2</x:v>
      </x:c>
      <x:c r="E256" s="44" t="n">
        <x:v>7200</x:v>
      </x:c>
      <x:c r="F256" s="44" t="n">
        <x:v>14400</x:v>
      </x:c>
      <x:c r="G256" s="41" t="n">
        <x:v>1</x:v>
      </x:c>
      <x:c r="H256" s="44" t="n">
        <x:f>MAX(G256,0)*E256</x:f>
        <x:v>7200</x:v>
      </x:c>
      <x:c r="I256" s="38" t="n">
        <x:v>1</x:v>
      </x:c>
      <x:c r="J256" s="44" t="n">
        <x:v>10000</x:v>
      </x:c>
      <x:c r="K256" s="32" t="n">
        <x:v>1</x:v>
      </x:c>
      <x:c r="L256" s="50" t="n">
        <x:v>45678.866111111114</x:v>
      </x:c>
      <x:c r="M256" s="50" t="n">
        <x:v>45678.866111111114</x:v>
      </x:c>
      <x:c r="N256" s="32" t="n">
        <x:f>IF(M256="","",MAX(0,'Resumen'!$B$3-M256))</x:f>
        <x:v>588.1338888888858</x:v>
      </x:c>
      <x:c r="O256" s="38" t="n">
        <x:v>0</x:v>
      </x:c>
      <x:c r="P256" s="38" t="n">
        <x:v>0</x:v>
      </x:c>
      <x:c r="Q256" s="38" t="n">
        <x:v>0</x:v>
      </x:c>
      <x:c r="R256" s="38" t="n">
        <x:f>MIN(D256,I256)</x:f>
        <x:v>1</x:v>
      </x:c>
      <x:c r="S256" s="47" t="n">
        <x:f>IFERROR(R256/D256,0)</x:f>
        <x:v>0.5</x:v>
      </x:c>
      <x:c r="T256" s="38" t="n">
        <x:f>MIN(MAX(G256,0),MAX(D256-I256,0))</x:f>
        <x:v>1</x:v>
      </x:c>
      <x:c r="U256" s="44" t="n">
        <x:f>T256*E256</x:f>
        <x:v>7200</x:v>
      </x:c>
      <x:c r="V256" s="38" t="n">
        <x:v>0</x:v>
      </x:c>
      <x:c r="W256" s="32" t="n">
        <x:v>0</x:v>
      </x:c>
      <x:c r="X256" s="50"/>
      <x:c r="Y256" s="44" t="n">
        <x:v>12000</x:v>
      </x:c>
      <x:c r="Z256" s="44" t="n">
        <x:f>IF(I256&gt;0,R256*(J256/I256),0)</x:f>
        <x:v>10000</x:v>
      </x:c>
      <x:c r="AA256" s="44" t="n">
        <x:f>Z256-(R256*E256)</x:f>
        <x:v>2800</x:v>
      </x:c>
      <x:c r="AB256" s="47" t="n">
        <x:f>IFERROR(AA256/Z256,0)</x:f>
        <x:v>0.28</x:v>
      </x:c>
      <x:c r="AC256" s="32" t="str">
        <x:f>IF(S256=0,"0%",IF(S256&lt;0.5,"1-49%",IF(S256&lt;0.8,"50-79%",IF(S256&lt;1,"80-99%","100%"))))</x:f>
        <x:v>50-79%</x:v>
      </x:c>
      <x:c r="AD256" s="33" t="str">
        <x:f>IF(G256&lt;0,"Stock negativo",IF(G256&lt;=0,"Sin stock actual",IF(I256&lt;=0,"Sin ventas desde compra",IF(Q256&lt;=0,"Con stock, sin ventas 365d",IF(S256&lt;0.5,"Rotación baja",IF(S256&lt;1,"Rotación media","Compra absorbida; stock repuesto"))))))</x:f>
        <x:v>Con stock, sin ventas 365d</x:v>
      </x:c>
    </x:row>
    <x:row r="257">
      <x:c r="A257" s="31" t="str">
        <x:v>MAN - 003040</x:v>
      </x:c>
      <x:c r="B257" s="53" t="str">
        <x:v>MANIGUETA IZQ AX LIT TXS</x:v>
      </x:c>
      <x:c r="C257" s="32" t="n">
        <x:v>1</x:v>
      </x:c>
      <x:c r="D257" s="38" t="n">
        <x:v>3</x:v>
      </x:c>
      <x:c r="E257" s="44" t="n">
        <x:v>4800</x:v>
      </x:c>
      <x:c r="F257" s="44" t="n">
        <x:v>14400</x:v>
      </x:c>
      <x:c r="G257" s="41" t="n">
        <x:v>3</x:v>
      </x:c>
      <x:c r="H257" s="44" t="n">
        <x:f>MAX(G257,0)*E257</x:f>
        <x:v>14400</x:v>
      </x:c>
      <x:c r="I257" s="38" t="n">
        <x:v>0</x:v>
      </x:c>
      <x:c r="J257" s="44" t="n">
        <x:v>0</x:v>
      </x:c>
      <x:c r="K257" s="32" t="n">
        <x:v>0</x:v>
      </x:c>
      <x:c r="L257" s="50"/>
      <x:c r="M257" s="50"/>
      <x:c r="N257" s="32" t="str">
        <x:f>IF(M257="","",MAX(0,'Resumen'!$B$3-M257))</x:f>
      </x:c>
      <x:c r="O257" s="38" t="n">
        <x:v>0</x:v>
      </x:c>
      <x:c r="P257" s="38" t="n">
        <x:v>0</x:v>
      </x:c>
      <x:c r="Q257" s="38" t="n">
        <x:v>0</x:v>
      </x:c>
      <x:c r="R257" s="38" t="n">
        <x:f>MIN(D257,I257)</x:f>
        <x:v>0</x:v>
      </x:c>
      <x:c r="S257" s="47" t="n">
        <x:f>IFERROR(R257/D257,0)</x:f>
        <x:v>0</x:v>
      </x:c>
      <x:c r="T257" s="38" t="n">
        <x:f>MIN(MAX(G257,0),MAX(D257-I257,0))</x:f>
        <x:v>3</x:v>
      </x:c>
      <x:c r="U257" s="44" t="n">
        <x:f>T257*E257</x:f>
        <x:v>14400</x:v>
      </x:c>
      <x:c r="V257" s="38" t="n">
        <x:v>0</x:v>
      </x:c>
      <x:c r="W257" s="32" t="n">
        <x:v>0</x:v>
      </x:c>
      <x:c r="X257" s="50"/>
      <x:c r="Y257" s="44" t="n">
        <x:v>8000</x:v>
      </x:c>
      <x:c r="Z257" s="44" t="n">
        <x:f>IF(I257&gt;0,R257*(J257/I257),0)</x:f>
        <x:v>0</x:v>
      </x:c>
      <x:c r="AA257" s="44" t="n">
        <x:f>Z257-(R257*E257)</x:f>
        <x:v>0</x:v>
      </x:c>
      <x:c r="AB257" s="47" t="n">
        <x:f>IFERROR(AA257/Z257,0)</x:f>
        <x:v>0</x:v>
      </x:c>
      <x:c r="AC257" s="32" t="str">
        <x:f>IF(S257=0,"0%",IF(S257&lt;0.5,"1-49%",IF(S257&lt;0.8,"50-79%",IF(S257&lt;1,"80-99%","100%"))))</x:f>
        <x:v>0%</x:v>
      </x:c>
      <x:c r="AD257" s="33" t="str">
        <x:f>IF(G257&lt;0,"Stock negativo",IF(G257&lt;=0,"Sin stock actual",IF(I257&lt;=0,"Sin ventas desde compra",IF(Q257&lt;=0,"Con stock, sin ventas 365d",IF(S257&lt;0.5,"Rotación baja",IF(S257&lt;1,"Rotación media","Compra absorbida; stock repuesto"))))))</x:f>
        <x:v>Sin ventas desde compra</x:v>
      </x:c>
    </x:row>
    <x:row r="258">
      <x:c r="A258" s="31" t="str">
        <x:v>KIT - 075 032</x:v>
      </x:c>
      <x:c r="B258" s="53" t="str">
        <x:v>KIT TIJERA TEFLON GS 125 SYR</x:v>
      </x:c>
      <x:c r="C258" s="32" t="n">
        <x:v>1</x:v>
      </x:c>
      <x:c r="D258" s="38" t="n">
        <x:v>1</x:v>
      </x:c>
      <x:c r="E258" s="44" t="n">
        <x:v>14200</x:v>
      </x:c>
      <x:c r="F258" s="44" t="n">
        <x:v>14200</x:v>
      </x:c>
      <x:c r="G258" s="41" t="n">
        <x:v>0</x:v>
      </x:c>
      <x:c r="H258" s="44" t="n">
        <x:f>MAX(G258,0)*E258</x:f>
        <x:v>0</x:v>
      </x:c>
      <x:c r="I258" s="38" t="n">
        <x:v>1</x:v>
      </x:c>
      <x:c r="J258" s="44" t="n">
        <x:v>24000</x:v>
      </x:c>
      <x:c r="K258" s="32" t="n">
        <x:v>1</x:v>
      </x:c>
      <x:c r="L258" s="50" t="n">
        <x:v>45516.646469907406</x:v>
      </x:c>
      <x:c r="M258" s="50" t="n">
        <x:v>45516.646469907406</x:v>
      </x:c>
      <x:c r="N258" s="32" t="n">
        <x:f>IF(M258="","",MAX(0,'Resumen'!$B$3-M258))</x:f>
        <x:v>750.3535300925942</x:v>
      </x:c>
      <x:c r="O258" s="38" t="n">
        <x:v>0</x:v>
      </x:c>
      <x:c r="P258" s="38" t="n">
        <x:v>0</x:v>
      </x:c>
      <x:c r="Q258" s="38" t="n">
        <x:v>0</x:v>
      </x:c>
      <x:c r="R258" s="38" t="n">
        <x:f>MIN(D258,I258)</x:f>
        <x:v>1</x:v>
      </x:c>
      <x:c r="S258" s="47" t="n">
        <x:f>IFERROR(R258/D258,0)</x:f>
        <x:v>1</x:v>
      </x:c>
      <x:c r="T258" s="38" t="n">
        <x:f>MIN(MAX(G258,0),MAX(D258-I258,0))</x:f>
        <x:v>0</x:v>
      </x:c>
      <x:c r="U258" s="44" t="n">
        <x:f>T258*E258</x:f>
        <x:v>0</x:v>
      </x:c>
      <x:c r="V258" s="38" t="n">
        <x:v>0</x:v>
      </x:c>
      <x:c r="W258" s="32" t="n">
        <x:v>0</x:v>
      </x:c>
      <x:c r="X258" s="50"/>
      <x:c r="Y258" s="44" t="n">
        <x:v>24000</x:v>
      </x:c>
      <x:c r="Z258" s="44" t="n">
        <x:f>IF(I258&gt;0,R258*(J258/I258),0)</x:f>
        <x:v>24000</x:v>
      </x:c>
      <x:c r="AA258" s="44" t="n">
        <x:f>Z258-(R258*E258)</x:f>
        <x:v>9800</x:v>
      </x:c>
      <x:c r="AB258" s="47" t="n">
        <x:f>IFERROR(AA258/Z258,0)</x:f>
        <x:v>0.4083333333333333</x:v>
      </x:c>
      <x:c r="AC258" s="32" t="str">
        <x:f>IF(S258=0,"0%",IF(S258&lt;0.5,"1-49%",IF(S258&lt;0.8,"50-79%",IF(S258&lt;1,"80-99%","100%"))))</x:f>
        <x:v>100%</x:v>
      </x:c>
      <x:c r="AD258" s="33" t="str">
        <x:f>IF(G258&lt;0,"Stock negativo",IF(G258&lt;=0,"Sin stock actual",IF(I258&lt;=0,"Sin ventas desde compra",IF(Q258&lt;=0,"Con stock, sin ventas 365d",IF(S258&lt;0.5,"Rotación baja",IF(S258&lt;1,"Rotación media","Compra absorbida; stock repuesto"))))))</x:f>
        <x:v>Sin stock actual</x:v>
      </x:c>
    </x:row>
    <x:row r="259">
      <x:c r="A259" s="31" t="str">
        <x:v>203295</x:v>
      </x:c>
      <x:c r="B259" s="53" t="str">
        <x:v>GUAYA CLUCTH CD 100 / ECO 1001/ SPLENDOR/ DELUXE YAHASURA</x:v>
      </x:c>
      <x:c r="C259" s="32" t="n">
        <x:v>1</x:v>
      </x:c>
      <x:c r="D259" s="38" t="n">
        <x:v>2</x:v>
      </x:c>
      <x:c r="E259" s="44" t="n">
        <x:v>7000</x:v>
      </x:c>
      <x:c r="F259" s="44" t="n">
        <x:v>14000</x:v>
      </x:c>
      <x:c r="G259" s="41" t="n">
        <x:v>0</x:v>
      </x:c>
      <x:c r="H259" s="44" t="n">
        <x:f>MAX(G259,0)*E259</x:f>
        <x:v>0</x:v>
      </x:c>
      <x:c r="I259" s="38" t="n">
        <x:v>2</x:v>
      </x:c>
      <x:c r="J259" s="44" t="n">
        <x:v>20000</x:v>
      </x:c>
      <x:c r="K259" s="32" t="n">
        <x:v>2</x:v>
      </x:c>
      <x:c r="L259" s="50" t="n">
        <x:v>45649.91137731481</x:v>
      </x:c>
      <x:c r="M259" s="50" t="n">
        <x:v>45754.907222222224</x:v>
      </x:c>
      <x:c r="N259" s="32" t="n">
        <x:f>IF(M259="","",MAX(0,'Resumen'!$B$3-M259))</x:f>
        <x:v>512.0927777777761</x:v>
      </x:c>
      <x:c r="O259" s="38" t="n">
        <x:v>0</x:v>
      </x:c>
      <x:c r="P259" s="38" t="n">
        <x:v>0</x:v>
      </x:c>
      <x:c r="Q259" s="38" t="n">
        <x:v>0</x:v>
      </x:c>
      <x:c r="R259" s="38" t="n">
        <x:f>MIN(D259,I259)</x:f>
        <x:v>2</x:v>
      </x:c>
      <x:c r="S259" s="47" t="n">
        <x:f>IFERROR(R259/D259,0)</x:f>
        <x:v>1</x:v>
      </x:c>
      <x:c r="T259" s="38" t="n">
        <x:f>MIN(MAX(G259,0),MAX(D259-I259,0))</x:f>
        <x:v>0</x:v>
      </x:c>
      <x:c r="U259" s="44" t="n">
        <x:f>T259*E259</x:f>
        <x:v>0</x:v>
      </x:c>
      <x:c r="V259" s="38" t="n">
        <x:v>0</x:v>
      </x:c>
      <x:c r="W259" s="32" t="n">
        <x:v>0</x:v>
      </x:c>
      <x:c r="X259" s="50"/>
      <x:c r="Y259" s="44" t="n">
        <x:v>12000</x:v>
      </x:c>
      <x:c r="Z259" s="44" t="n">
        <x:f>IF(I259&gt;0,R259*(J259/I259),0)</x:f>
        <x:v>20000</x:v>
      </x:c>
      <x:c r="AA259" s="44" t="n">
        <x:f>Z259-(R259*E259)</x:f>
        <x:v>6000</x:v>
      </x:c>
      <x:c r="AB259" s="47" t="n">
        <x:f>IFERROR(AA259/Z259,0)</x:f>
        <x:v>0.3</x:v>
      </x:c>
      <x:c r="AC259" s="32" t="str">
        <x:f>IF(S259=0,"0%",IF(S259&lt;0.5,"1-49%",IF(S259&lt;0.8,"50-79%",IF(S259&lt;1,"80-99%","100%"))))</x:f>
        <x:v>100%</x:v>
      </x:c>
      <x:c r="AD259" s="33" t="str">
        <x:f>IF(G259&lt;0,"Stock negativo",IF(G259&lt;=0,"Sin stock actual",IF(I259&lt;=0,"Sin ventas desde compra",IF(Q259&lt;=0,"Con stock, sin ventas 365d",IF(S259&lt;0.5,"Rotación baja",IF(S259&lt;1,"Rotación media","Compra absorbida; stock repuesto"))))))</x:f>
        <x:v>Sin stock actual</x:v>
      </x:c>
    </x:row>
    <x:row r="260">
      <x:c r="A260" s="31" t="str">
        <x:v>MOTS1044</x:v>
      </x:c>
      <x:c r="B260" s="53" t="str">
        <x:v>RETEN 17-28-7</x:v>
      </x:c>
      <x:c r="C260" s="32" t="n">
        <x:v>1</x:v>
      </x:c>
      <x:c r="D260" s="38" t="n">
        <x:v>7</x:v>
      </x:c>
      <x:c r="E260" s="44" t="n">
        <x:v>2000</x:v>
      </x:c>
      <x:c r="F260" s="44" t="n">
        <x:v>14000</x:v>
      </x:c>
      <x:c r="G260" s="41" t="n">
        <x:v>7</x:v>
      </x:c>
      <x:c r="H260" s="44" t="n">
        <x:f>MAX(G260,0)*E260</x:f>
        <x:v>14000</x:v>
      </x:c>
      <x:c r="I260" s="38" t="n">
        <x:v>0</x:v>
      </x:c>
      <x:c r="J260" s="44" t="n">
        <x:v>0</x:v>
      </x:c>
      <x:c r="K260" s="32" t="n">
        <x:v>0</x:v>
      </x:c>
      <x:c r="L260" s="50"/>
      <x:c r="M260" s="50"/>
      <x:c r="N260" s="32" t="str">
        <x:f>IF(M260="","",MAX(0,'Resumen'!$B$3-M260))</x:f>
      </x:c>
      <x:c r="O260" s="38" t="n">
        <x:v>0</x:v>
      </x:c>
      <x:c r="P260" s="38" t="n">
        <x:v>0</x:v>
      </x:c>
      <x:c r="Q260" s="38" t="n">
        <x:v>0</x:v>
      </x:c>
      <x:c r="R260" s="38" t="n">
        <x:f>MIN(D260,I260)</x:f>
        <x:v>0</x:v>
      </x:c>
      <x:c r="S260" s="47" t="n">
        <x:f>IFERROR(R260/D260,0)</x:f>
        <x:v>0</x:v>
      </x:c>
      <x:c r="T260" s="38" t="n">
        <x:f>MIN(MAX(G260,0),MAX(D260-I260,0))</x:f>
        <x:v>7</x:v>
      </x:c>
      <x:c r="U260" s="44" t="n">
        <x:f>T260*E260</x:f>
        <x:v>14000</x:v>
      </x:c>
      <x:c r="V260" s="38" t="n">
        <x:v>0</x:v>
      </x:c>
      <x:c r="W260" s="32" t="n">
        <x:v>0</x:v>
      </x:c>
      <x:c r="X260" s="50"/>
      <x:c r="Y260" s="44" t="n">
        <x:v>3500</x:v>
      </x:c>
      <x:c r="Z260" s="44" t="n">
        <x:f>IF(I260&gt;0,R260*(J260/I260),0)</x:f>
        <x:v>0</x:v>
      </x:c>
      <x:c r="AA260" s="44" t="n">
        <x:f>Z260-(R260*E260)</x:f>
        <x:v>0</x:v>
      </x:c>
      <x:c r="AB260" s="47" t="n">
        <x:f>IFERROR(AA260/Z260,0)</x:f>
        <x:v>0</x:v>
      </x:c>
      <x:c r="AC260" s="32" t="str">
        <x:f>IF(S260=0,"0%",IF(S260&lt;0.5,"1-49%",IF(S260&lt;0.8,"50-79%",IF(S260&lt;1,"80-99%","100%"))))</x:f>
        <x:v>0%</x:v>
      </x:c>
      <x:c r="AD260" s="33" t="str">
        <x:f>IF(G260&lt;0,"Stock negativo",IF(G260&lt;=0,"Sin stock actual",IF(I260&lt;=0,"Sin ventas desde compra",IF(Q260&lt;=0,"Con stock, sin ventas 365d",IF(S260&lt;0.5,"Rotación baja",IF(S260&lt;1,"Rotación media","Compra absorbida; stock repuesto"))))))</x:f>
        <x:v>Sin ventas desde compra</x:v>
      </x:c>
    </x:row>
    <x:row r="261">
      <x:c r="A261" s="31" t="str">
        <x:v>MOTS1056</x:v>
      </x:c>
      <x:c r="B261" s="53" t="str">
        <x:v>RETEN 26-32-5</x:v>
      </x:c>
      <x:c r="C261" s="32" t="n">
        <x:v>1</x:v>
      </x:c>
      <x:c r="D261" s="38" t="n">
        <x:v>2</x:v>
      </x:c>
      <x:c r="E261" s="44" t="n">
        <x:v>7000</x:v>
      </x:c>
      <x:c r="F261" s="44" t="n">
        <x:v>14000</x:v>
      </x:c>
      <x:c r="G261" s="41" t="n">
        <x:v>2</x:v>
      </x:c>
      <x:c r="H261" s="44" t="n">
        <x:f>MAX(G261,0)*E261</x:f>
        <x:v>14000</x:v>
      </x:c>
      <x:c r="I261" s="38" t="n">
        <x:v>0</x:v>
      </x:c>
      <x:c r="J261" s="44" t="n">
        <x:v>0</x:v>
      </x:c>
      <x:c r="K261" s="32" t="n">
        <x:v>0</x:v>
      </x:c>
      <x:c r="L261" s="50"/>
      <x:c r="M261" s="50"/>
      <x:c r="N261" s="32" t="str">
        <x:f>IF(M261="","",MAX(0,'Resumen'!$B$3-M261))</x:f>
      </x:c>
      <x:c r="O261" s="38" t="n">
        <x:v>0</x:v>
      </x:c>
      <x:c r="P261" s="38" t="n">
        <x:v>0</x:v>
      </x:c>
      <x:c r="Q261" s="38" t="n">
        <x:v>0</x:v>
      </x:c>
      <x:c r="R261" s="38" t="n">
        <x:f>MIN(D261,I261)</x:f>
        <x:v>0</x:v>
      </x:c>
      <x:c r="S261" s="47" t="n">
        <x:f>IFERROR(R261/D261,0)</x:f>
        <x:v>0</x:v>
      </x:c>
      <x:c r="T261" s="38" t="n">
        <x:f>MIN(MAX(G261,0),MAX(D261-I261,0))</x:f>
        <x:v>2</x:v>
      </x:c>
      <x:c r="U261" s="44" t="n">
        <x:f>T261*E261</x:f>
        <x:v>14000</x:v>
      </x:c>
      <x:c r="V261" s="38" t="n">
        <x:v>0</x:v>
      </x:c>
      <x:c r="W261" s="32" t="n">
        <x:v>0</x:v>
      </x:c>
      <x:c r="X261" s="50"/>
      <x:c r="Y261" s="44" t="n">
        <x:v>12000</x:v>
      </x:c>
      <x:c r="Z261" s="44" t="n">
        <x:f>IF(I261&gt;0,R261*(J261/I261),0)</x:f>
        <x:v>0</x:v>
      </x:c>
      <x:c r="AA261" s="44" t="n">
        <x:f>Z261-(R261*E261)</x:f>
        <x:v>0</x:v>
      </x:c>
      <x:c r="AB261" s="47" t="n">
        <x:f>IFERROR(AA261/Z261,0)</x:f>
        <x:v>0</x:v>
      </x:c>
      <x:c r="AC261" s="32" t="str">
        <x:f>IF(S261=0,"0%",IF(S261&lt;0.5,"1-49%",IF(S261&lt;0.8,"50-79%",IF(S261&lt;1,"80-99%","100%"))))</x:f>
        <x:v>0%</x:v>
      </x:c>
      <x:c r="AD261" s="33" t="str">
        <x:f>IF(G261&lt;0,"Stock negativo",IF(G261&lt;=0,"Sin stock actual",IF(I261&lt;=0,"Sin ventas desde compra",IF(Q261&lt;=0,"Con stock, sin ventas 365d",IF(S261&lt;0.5,"Rotación baja",IF(S261&lt;1,"Rotación media","Compra absorbida; stock repuesto"))))))</x:f>
        <x:v>Sin ventas desde compra</x:v>
      </x:c>
    </x:row>
    <x:row r="262">
      <x:c r="A262" s="31" t="str">
        <x:v>MOTS1182</x:v>
      </x:c>
      <x:c r="B262" s="53" t="str">
        <x:v>MANIGUETA DER XT2 125 ROCHN</x:v>
      </x:c>
      <x:c r="C262" s="32" t="n">
        <x:v>1</x:v>
      </x:c>
      <x:c r="D262" s="38" t="n">
        <x:v>2</x:v>
      </x:c>
      <x:c r="E262" s="44" t="n">
        <x:v>7000</x:v>
      </x:c>
      <x:c r="F262" s="44" t="n">
        <x:v>14000</x:v>
      </x:c>
      <x:c r="G262" s="41" t="n">
        <x:v>0</x:v>
      </x:c>
      <x:c r="H262" s="44" t="n">
        <x:f>MAX(G262,0)*E262</x:f>
        <x:v>0</x:v>
      </x:c>
      <x:c r="I262" s="38" t="n">
        <x:v>2</x:v>
      </x:c>
      <x:c r="J262" s="44" t="n">
        <x:v>26000</x:v>
      </x:c>
      <x:c r="K262" s="32" t="n">
        <x:v>2</x:v>
      </x:c>
      <x:c r="L262" s="50" t="n">
        <x:v>45554.79425925926</x:v>
      </x:c>
      <x:c r="M262" s="50" t="n">
        <x:v>46190.70638888889</x:v>
      </x:c>
      <x:c r="N262" s="32" t="n">
        <x:f>IF(M262="","",MAX(0,'Resumen'!$B$3-M262))</x:f>
        <x:v>76.29361111111211</x:v>
      </x:c>
      <x:c r="O262" s="38" t="n">
        <x:v>0</x:v>
      </x:c>
      <x:c r="P262" s="38" t="n">
        <x:v>1</x:v>
      </x:c>
      <x:c r="Q262" s="38" t="n">
        <x:v>1</x:v>
      </x:c>
      <x:c r="R262" s="38" t="n">
        <x:f>MIN(D262,I262)</x:f>
        <x:v>2</x:v>
      </x:c>
      <x:c r="S262" s="47" t="n">
        <x:f>IFERROR(R262/D262,0)</x:f>
        <x:v>1</x:v>
      </x:c>
      <x:c r="T262" s="38" t="n">
        <x:f>MIN(MAX(G262,0),MAX(D262-I262,0))</x:f>
        <x:v>0</x:v>
      </x:c>
      <x:c r="U262" s="44" t="n">
        <x:f>T262*E262</x:f>
        <x:v>0</x:v>
      </x:c>
      <x:c r="V262" s="38" t="n">
        <x:v>0</x:v>
      </x:c>
      <x:c r="W262" s="32" t="n">
        <x:v>0</x:v>
      </x:c>
      <x:c r="X262" s="50"/>
      <x:c r="Y262" s="44" t="n">
        <x:v>12000</x:v>
      </x:c>
      <x:c r="Z262" s="44" t="n">
        <x:f>IF(I262&gt;0,R262*(J262/I262),0)</x:f>
        <x:v>26000</x:v>
      </x:c>
      <x:c r="AA262" s="44" t="n">
        <x:f>Z262-(R262*E262)</x:f>
        <x:v>12000</x:v>
      </x:c>
      <x:c r="AB262" s="47" t="n">
        <x:f>IFERROR(AA262/Z262,0)</x:f>
        <x:v>0.46153846153846156</x:v>
      </x:c>
      <x:c r="AC262" s="32" t="str">
        <x:f>IF(S262=0,"0%",IF(S262&lt;0.5,"1-49%",IF(S262&lt;0.8,"50-79%",IF(S262&lt;1,"80-99%","100%"))))</x:f>
        <x:v>100%</x:v>
      </x:c>
      <x:c r="AD262" s="33" t="str">
        <x:f>IF(G262&lt;0,"Stock negativo",IF(G262&lt;=0,"Sin stock actual",IF(I262&lt;=0,"Sin ventas desde compra",IF(Q262&lt;=0,"Con stock, sin ventas 365d",IF(S262&lt;0.5,"Rotación baja",IF(S262&lt;1,"Rotación media","Compra absorbida; stock repuesto"))))))</x:f>
        <x:v>Sin stock actual</x:v>
      </x:c>
    </x:row>
    <x:row r="263">
      <x:c r="A263" s="31" t="str">
        <x:v>MOTS1185</x:v>
      </x:c>
      <x:c r="B263" s="53" t="str">
        <x:v>MANIGUETA IZQ BWS 125 EVOL</x:v>
      </x:c>
      <x:c r="C263" s="32" t="n">
        <x:v>1</x:v>
      </x:c>
      <x:c r="D263" s="38" t="n">
        <x:v>2</x:v>
      </x:c>
      <x:c r="E263" s="44" t="n">
        <x:v>7000</x:v>
      </x:c>
      <x:c r="F263" s="44" t="n">
        <x:v>14000</x:v>
      </x:c>
      <x:c r="G263" s="41" t="n">
        <x:v>0</x:v>
      </x:c>
      <x:c r="H263" s="44" t="n">
        <x:f>MAX(G263,0)*E263</x:f>
        <x:v>0</x:v>
      </x:c>
      <x:c r="I263" s="38" t="n">
        <x:v>2</x:v>
      </x:c>
      <x:c r="J263" s="44" t="n">
        <x:v>22000</x:v>
      </x:c>
      <x:c r="K263" s="32" t="n">
        <x:v>2</x:v>
      </x:c>
      <x:c r="L263" s="50" t="n">
        <x:v>45602.57146990741</x:v>
      </x:c>
      <x:c r="M263" s="50" t="n">
        <x:v>45761.59059027778</x:v>
      </x:c>
      <x:c r="N263" s="32" t="n">
        <x:f>IF(M263="","",MAX(0,'Resumen'!$B$3-M263))</x:f>
        <x:v>505.4094097222187</x:v>
      </x:c>
      <x:c r="O263" s="38" t="n">
        <x:v>0</x:v>
      </x:c>
      <x:c r="P263" s="38" t="n">
        <x:v>0</x:v>
      </x:c>
      <x:c r="Q263" s="38" t="n">
        <x:v>0</x:v>
      </x:c>
      <x:c r="R263" s="38" t="n">
        <x:f>MIN(D263,I263)</x:f>
        <x:v>2</x:v>
      </x:c>
      <x:c r="S263" s="47" t="n">
        <x:f>IFERROR(R263/D263,0)</x:f>
        <x:v>1</x:v>
      </x:c>
      <x:c r="T263" s="38" t="n">
        <x:f>MIN(MAX(G263,0),MAX(D263-I263,0))</x:f>
        <x:v>0</x:v>
      </x:c>
      <x:c r="U263" s="44" t="n">
        <x:f>T263*E263</x:f>
        <x:v>0</x:v>
      </x:c>
      <x:c r="V263" s="38" t="n">
        <x:v>0</x:v>
      </x:c>
      <x:c r="W263" s="32" t="n">
        <x:v>0</x:v>
      </x:c>
      <x:c r="X263" s="50"/>
      <x:c r="Y263" s="44" t="n">
        <x:v>12000</x:v>
      </x:c>
      <x:c r="Z263" s="44" t="n">
        <x:f>IF(I263&gt;0,R263*(J263/I263),0)</x:f>
        <x:v>22000</x:v>
      </x:c>
      <x:c r="AA263" s="44" t="n">
        <x:f>Z263-(R263*E263)</x:f>
        <x:v>8000</x:v>
      </x:c>
      <x:c r="AB263" s="47" t="n">
        <x:f>IFERROR(AA263/Z263,0)</x:f>
        <x:v>0.36363636363636365</x:v>
      </x:c>
      <x:c r="AC263" s="32" t="str">
        <x:f>IF(S263=0,"0%",IF(S263&lt;0.5,"1-49%",IF(S263&lt;0.8,"50-79%",IF(S263&lt;1,"80-99%","100%"))))</x:f>
        <x:v>100%</x:v>
      </x:c>
      <x:c r="AD263" s="33" t="str">
        <x:f>IF(G263&lt;0,"Stock negativo",IF(G263&lt;=0,"Sin stock actual",IF(I263&lt;=0,"Sin ventas desde compra",IF(Q263&lt;=0,"Con stock, sin ventas 365d",IF(S263&lt;0.5,"Rotación baja",IF(S263&lt;1,"Rotación media","Compra absorbida; stock repuesto"))))))</x:f>
        <x:v>Sin stock actual</x:v>
      </x:c>
    </x:row>
    <x:row r="264">
      <x:c r="A264" s="31" t="str">
        <x:v>MOTS1189</x:v>
      </x:c>
      <x:c r="B264" s="53" t="str">
        <x:v>AMPOYECTAS FRENO VARIAS</x:v>
      </x:c>
      <x:c r="C264" s="32" t="n">
        <x:v>1</x:v>
      </x:c>
      <x:c r="D264" s="38" t="n">
        <x:v>7</x:v>
      </x:c>
      <x:c r="E264" s="44" t="n">
        <x:v>2000</x:v>
      </x:c>
      <x:c r="F264" s="44" t="n">
        <x:v>14000</x:v>
      </x:c>
      <x:c r="G264" s="41" t="n">
        <x:v>5</x:v>
      </x:c>
      <x:c r="H264" s="44" t="n">
        <x:f>MAX(G264,0)*E264</x:f>
        <x:v>10000</x:v>
      </x:c>
      <x:c r="I264" s="38" t="n">
        <x:v>2</x:v>
      </x:c>
      <x:c r="J264" s="44" t="n">
        <x:v>7000</x:v>
      </x:c>
      <x:c r="K264" s="32" t="n">
        <x:v>2</x:v>
      </x:c>
      <x:c r="L264" s="50" t="n">
        <x:v>45506.89162037037</x:v>
      </x:c>
      <x:c r="M264" s="50" t="n">
        <x:v>45518.56767361111</x:v>
      </x:c>
      <x:c r="N264" s="32" t="n">
        <x:f>IF(M264="","",MAX(0,'Resumen'!$B$3-M264))</x:f>
        <x:v>748.4323263888873</x:v>
      </x:c>
      <x:c r="O264" s="38" t="n">
        <x:v>0</x:v>
      </x:c>
      <x:c r="P264" s="38" t="n">
        <x:v>0</x:v>
      </x:c>
      <x:c r="Q264" s="38" t="n">
        <x:v>0</x:v>
      </x:c>
      <x:c r="R264" s="38" t="n">
        <x:f>MIN(D264,I264)</x:f>
        <x:v>2</x:v>
      </x:c>
      <x:c r="S264" s="47" t="n">
        <x:f>IFERROR(R264/D264,0)</x:f>
        <x:v>0.2857142857142857</x:v>
      </x:c>
      <x:c r="T264" s="38" t="n">
        <x:f>MIN(MAX(G264,0),MAX(D264-I264,0))</x:f>
        <x:v>5</x:v>
      </x:c>
      <x:c r="U264" s="44" t="n">
        <x:f>T264*E264</x:f>
        <x:v>10000</x:v>
      </x:c>
      <x:c r="V264" s="38" t="n">
        <x:v>0</x:v>
      </x:c>
      <x:c r="W264" s="32" t="n">
        <x:v>0</x:v>
      </x:c>
      <x:c r="X264" s="50"/>
      <x:c r="Y264" s="44" t="n">
        <x:v>3500</x:v>
      </x:c>
      <x:c r="Z264" s="44" t="n">
        <x:f>IF(I264&gt;0,R264*(J264/I264),0)</x:f>
        <x:v>7000</x:v>
      </x:c>
      <x:c r="AA264" s="44" t="n">
        <x:f>Z264-(R264*E264)</x:f>
        <x:v>3000</x:v>
      </x:c>
      <x:c r="AB264" s="47" t="n">
        <x:f>IFERROR(AA264/Z264,0)</x:f>
        <x:v>0.42857142857142855</x:v>
      </x:c>
      <x:c r="AC264" s="32" t="str">
        <x:f>IF(S264=0,"0%",IF(S264&lt;0.5,"1-49%",IF(S264&lt;0.8,"50-79%",IF(S264&lt;1,"80-99%","100%"))))</x:f>
        <x:v>1-49%</x:v>
      </x:c>
      <x:c r="AD264" s="33" t="str">
        <x:f>IF(G264&lt;0,"Stock negativo",IF(G264&lt;=0,"Sin stock actual",IF(I264&lt;=0,"Sin ventas desde compra",IF(Q264&lt;=0,"Con stock, sin ventas 365d",IF(S264&lt;0.5,"Rotación baja",IF(S264&lt;1,"Rotación media","Compra absorbida; stock repuesto"))))))</x:f>
        <x:v>Con stock, sin ventas 365d</x:v>
      </x:c>
    </x:row>
    <x:row r="265">
      <x:c r="A265" s="31" t="str">
        <x:v>MOTS1228</x:v>
      </x:c>
      <x:c r="B265" s="53" t="str">
        <x:v>BALINERA 6002 2PS C3 AFI BEARING</x:v>
      </x:c>
      <x:c r="C265" s="32" t="n">
        <x:v>1</x:v>
      </x:c>
      <x:c r="D265" s="38" t="n">
        <x:v>4</x:v>
      </x:c>
      <x:c r="E265" s="44" t="n">
        <x:v>3500</x:v>
      </x:c>
      <x:c r="F265" s="44" t="n">
        <x:v>14000</x:v>
      </x:c>
      <x:c r="G265" s="41" t="n">
        <x:v>3</x:v>
      </x:c>
      <x:c r="H265" s="44" t="n">
        <x:f>MAX(G265,0)*E265</x:f>
        <x:v>10500</x:v>
      </x:c>
      <x:c r="I265" s="38" t="n">
        <x:v>1</x:v>
      </x:c>
      <x:c r="J265" s="44" t="n">
        <x:v>6000</x:v>
      </x:c>
      <x:c r="K265" s="32" t="n">
        <x:v>1</x:v>
      </x:c>
      <x:c r="L265" s="50" t="n">
        <x:v>45728.96939814815</x:v>
      </x:c>
      <x:c r="M265" s="50" t="n">
        <x:v>45728.96939814815</x:v>
      </x:c>
      <x:c r="N265" s="32" t="n">
        <x:f>IF(M265="","",MAX(0,'Resumen'!$B$3-M265))</x:f>
        <x:v>538.0306018518531</x:v>
      </x:c>
      <x:c r="O265" s="38" t="n">
        <x:v>0</x:v>
      </x:c>
      <x:c r="P265" s="38" t="n">
        <x:v>0</x:v>
      </x:c>
      <x:c r="Q265" s="38" t="n">
        <x:v>0</x:v>
      </x:c>
      <x:c r="R265" s="38" t="n">
        <x:f>MIN(D265,I265)</x:f>
        <x:v>1</x:v>
      </x:c>
      <x:c r="S265" s="47" t="n">
        <x:f>IFERROR(R265/D265,0)</x:f>
        <x:v>0.25</x:v>
      </x:c>
      <x:c r="T265" s="38" t="n">
        <x:f>MIN(MAX(G265,0),MAX(D265-I265,0))</x:f>
        <x:v>3</x:v>
      </x:c>
      <x:c r="U265" s="44" t="n">
        <x:f>T265*E265</x:f>
        <x:v>10500</x:v>
      </x:c>
      <x:c r="V265" s="38" t="n">
        <x:v>0</x:v>
      </x:c>
      <x:c r="W265" s="32" t="n">
        <x:v>0</x:v>
      </x:c>
      <x:c r="X265" s="50"/>
      <x:c r="Y265" s="44" t="n">
        <x:v>6000</x:v>
      </x:c>
      <x:c r="Z265" s="44" t="n">
        <x:f>IF(I265&gt;0,R265*(J265/I265),0)</x:f>
        <x:v>6000</x:v>
      </x:c>
      <x:c r="AA265" s="44" t="n">
        <x:f>Z265-(R265*E265)</x:f>
        <x:v>2500</x:v>
      </x:c>
      <x:c r="AB265" s="47" t="n">
        <x:f>IFERROR(AA265/Z265,0)</x:f>
        <x:v>0.4166666666666667</x:v>
      </x:c>
      <x:c r="AC265" s="32" t="str">
        <x:f>IF(S265=0,"0%",IF(S265&lt;0.5,"1-49%",IF(S265&lt;0.8,"50-79%",IF(S265&lt;1,"80-99%","100%"))))</x:f>
        <x:v>1-49%</x:v>
      </x:c>
      <x:c r="AD265" s="33" t="str">
        <x:f>IF(G265&lt;0,"Stock negativo",IF(G265&lt;=0,"Sin stock actual",IF(I265&lt;=0,"Sin ventas desde compra",IF(Q265&lt;=0,"Con stock, sin ventas 365d",IF(S265&lt;0.5,"Rotación baja",IF(S265&lt;1,"Rotación media","Compra absorbida; stock repuesto"))))))</x:f>
        <x:v>Con stock, sin ventas 365d</x:v>
      </x:c>
    </x:row>
    <x:row r="266">
      <x:c r="A266" s="31" t="str">
        <x:v>MOTS1264</x:v>
      </x:c>
      <x:c r="B266" s="53" t="str">
        <x:v>GUAYA VELOCIMETRO DT 125 / GS 125 FAMA</x:v>
      </x:c>
      <x:c r="C266" s="32" t="n">
        <x:v>1</x:v>
      </x:c>
      <x:c r="D266" s="38" t="n">
        <x:v>2</x:v>
      </x:c>
      <x:c r="E266" s="44" t="n">
        <x:v>7000</x:v>
      </x:c>
      <x:c r="F266" s="44" t="n">
        <x:v>14000</x:v>
      </x:c>
      <x:c r="G266" s="41" t="n">
        <x:v>2</x:v>
      </x:c>
      <x:c r="H266" s="44" t="n">
        <x:f>MAX(G266,0)*E266</x:f>
        <x:v>14000</x:v>
      </x:c>
      <x:c r="I266" s="38" t="n">
        <x:v>0</x:v>
      </x:c>
      <x:c r="J266" s="44" t="n">
        <x:v>0</x:v>
      </x:c>
      <x:c r="K266" s="32" t="n">
        <x:v>0</x:v>
      </x:c>
      <x:c r="L266" s="50"/>
      <x:c r="M266" s="50"/>
      <x:c r="N266" s="32" t="str">
        <x:f>IF(M266="","",MAX(0,'Resumen'!$B$3-M266))</x:f>
      </x:c>
      <x:c r="O266" s="38" t="n">
        <x:v>0</x:v>
      </x:c>
      <x:c r="P266" s="38" t="n">
        <x:v>0</x:v>
      </x:c>
      <x:c r="Q266" s="38" t="n">
        <x:v>0</x:v>
      </x:c>
      <x:c r="R266" s="38" t="n">
        <x:f>MIN(D266,I266)</x:f>
        <x:v>0</x:v>
      </x:c>
      <x:c r="S266" s="47" t="n">
        <x:f>IFERROR(R266/D266,0)</x:f>
        <x:v>0</x:v>
      </x:c>
      <x:c r="T266" s="38" t="n">
        <x:f>MIN(MAX(G266,0),MAX(D266-I266,0))</x:f>
        <x:v>2</x:v>
      </x:c>
      <x:c r="U266" s="44" t="n">
        <x:f>T266*E266</x:f>
        <x:v>14000</x:v>
      </x:c>
      <x:c r="V266" s="38" t="n">
        <x:v>0</x:v>
      </x:c>
      <x:c r="W266" s="32" t="n">
        <x:v>0</x:v>
      </x:c>
      <x:c r="X266" s="50"/>
      <x:c r="Y266" s="44" t="n">
        <x:v>12000</x:v>
      </x:c>
      <x:c r="Z266" s="44" t="n">
        <x:f>IF(I266&gt;0,R266*(J266/I266),0)</x:f>
        <x:v>0</x:v>
      </x:c>
      <x:c r="AA266" s="44" t="n">
        <x:f>Z266-(R266*E266)</x:f>
        <x:v>0</x:v>
      </x:c>
      <x:c r="AB266" s="47" t="n">
        <x:f>IFERROR(AA266/Z266,0)</x:f>
        <x:v>0</x:v>
      </x:c>
      <x:c r="AC266" s="32" t="str">
        <x:f>IF(S266=0,"0%",IF(S266&lt;0.5,"1-49%",IF(S266&lt;0.8,"50-79%",IF(S266&lt;1,"80-99%","100%"))))</x:f>
        <x:v>0%</x:v>
      </x:c>
      <x:c r="AD266" s="33" t="str">
        <x:f>IF(G266&lt;0,"Stock negativo",IF(G266&lt;=0,"Sin stock actual",IF(I266&lt;=0,"Sin ventas desde compra",IF(Q266&lt;=0,"Con stock, sin ventas 365d",IF(S266&lt;0.5,"Rotación baja",IF(S266&lt;1,"Rotación media","Compra absorbida; stock repuesto"))))))</x:f>
        <x:v>Sin ventas desde compra</x:v>
      </x:c>
    </x:row>
    <x:row r="267">
      <x:c r="A267" s="31" t="str">
        <x:v>MOTS1266</x:v>
      </x:c>
      <x:c r="B267" s="53" t="str">
        <x:v>GUAYA VELOCIMETRO DT 125 GUAYAS Y PARTES</x:v>
      </x:c>
      <x:c r="C267" s="32" t="n">
        <x:v>1</x:v>
      </x:c>
      <x:c r="D267" s="38" t="n">
        <x:v>2</x:v>
      </x:c>
      <x:c r="E267" s="44" t="n">
        <x:v>7000</x:v>
      </x:c>
      <x:c r="F267" s="44" t="n">
        <x:v>14000</x:v>
      </x:c>
      <x:c r="G267" s="41" t="n">
        <x:v>2</x:v>
      </x:c>
      <x:c r="H267" s="44" t="n">
        <x:f>MAX(G267,0)*E267</x:f>
        <x:v>14000</x:v>
      </x:c>
      <x:c r="I267" s="38" t="n">
        <x:v>0</x:v>
      </x:c>
      <x:c r="J267" s="44" t="n">
        <x:v>0</x:v>
      </x:c>
      <x:c r="K267" s="32" t="n">
        <x:v>0</x:v>
      </x:c>
      <x:c r="L267" s="50"/>
      <x:c r="M267" s="50"/>
      <x:c r="N267" s="32" t="str">
        <x:f>IF(M267="","",MAX(0,'Resumen'!$B$3-M267))</x:f>
      </x:c>
      <x:c r="O267" s="38" t="n">
        <x:v>0</x:v>
      </x:c>
      <x:c r="P267" s="38" t="n">
        <x:v>0</x:v>
      </x:c>
      <x:c r="Q267" s="38" t="n">
        <x:v>0</x:v>
      </x:c>
      <x:c r="R267" s="38" t="n">
        <x:f>MIN(D267,I267)</x:f>
        <x:v>0</x:v>
      </x:c>
      <x:c r="S267" s="47" t="n">
        <x:f>IFERROR(R267/D267,0)</x:f>
        <x:v>0</x:v>
      </x:c>
      <x:c r="T267" s="38" t="n">
        <x:f>MIN(MAX(G267,0),MAX(D267-I267,0))</x:f>
        <x:v>2</x:v>
      </x:c>
      <x:c r="U267" s="44" t="n">
        <x:f>T267*E267</x:f>
        <x:v>14000</x:v>
      </x:c>
      <x:c r="V267" s="38" t="n">
        <x:v>0</x:v>
      </x:c>
      <x:c r="W267" s="32" t="n">
        <x:v>0</x:v>
      </x:c>
      <x:c r="X267" s="50"/>
      <x:c r="Y267" s="44" t="n">
        <x:v>12000</x:v>
      </x:c>
      <x:c r="Z267" s="44" t="n">
        <x:f>IF(I267&gt;0,R267*(J267/I267),0)</x:f>
        <x:v>0</x:v>
      </x:c>
      <x:c r="AA267" s="44" t="n">
        <x:f>Z267-(R267*E267)</x:f>
        <x:v>0</x:v>
      </x:c>
      <x:c r="AB267" s="47" t="n">
        <x:f>IFERROR(AA267/Z267,0)</x:f>
        <x:v>0</x:v>
      </x:c>
      <x:c r="AC267" s="32" t="str">
        <x:f>IF(S267=0,"0%",IF(S267&lt;0.5,"1-49%",IF(S267&lt;0.8,"50-79%",IF(S267&lt;1,"80-99%","100%"))))</x:f>
        <x:v>0%</x:v>
      </x:c>
      <x:c r="AD267" s="33" t="str">
        <x:f>IF(G267&lt;0,"Stock negativo",IF(G267&lt;=0,"Sin stock actual",IF(I267&lt;=0,"Sin ventas desde compra",IF(Q267&lt;=0,"Con stock, sin ventas 365d",IF(S267&lt;0.5,"Rotación baja",IF(S267&lt;1,"Rotación media","Compra absorbida; stock repuesto"))))))</x:f>
        <x:v>Sin ventas desde compra</x:v>
      </x:c>
    </x:row>
    <x:row r="268">
      <x:c r="A268" s="31" t="str">
        <x:v>MOTS1298</x:v>
      </x:c>
      <x:c r="B268" s="53" t="str">
        <x:v>MANGUERA GASOLINA MT ORIGINAL</x:v>
      </x:c>
      <x:c r="C268" s="32" t="n">
        <x:v>1</x:v>
      </x:c>
      <x:c r="D268" s="38" t="n">
        <x:v>28</x:v>
      </x:c>
      <x:c r="E268" s="44" t="n">
        <x:v>500</x:v>
      </x:c>
      <x:c r="F268" s="44" t="n">
        <x:v>14000</x:v>
      </x:c>
      <x:c r="G268" s="41" t="n">
        <x:v>8</x:v>
      </x:c>
      <x:c r="H268" s="44" t="n">
        <x:f>MAX(G268,0)*E268</x:f>
        <x:v>4000</x:v>
      </x:c>
      <x:c r="I268" s="38" t="n">
        <x:v>108</x:v>
      </x:c>
      <x:c r="J268" s="44" t="n">
        <x:v>210000</x:v>
      </x:c>
      <x:c r="K268" s="32" t="n">
        <x:v>73</x:v>
      </x:c>
      <x:c r="L268" s="50" t="n">
        <x:v>45521.701527777775</x:v>
      </x:c>
      <x:c r="M268" s="50" t="n">
        <x:v>45837.016377314816</x:v>
      </x:c>
      <x:c r="N268" s="32" t="n">
        <x:f>IF(M268="","",MAX(0,'Resumen'!$B$3-M268))</x:f>
        <x:v>429.98362268518395</x:v>
      </x:c>
      <x:c r="O268" s="38" t="n">
        <x:v>0</x:v>
      </x:c>
      <x:c r="P268" s="38" t="n">
        <x:v>0</x:v>
      </x:c>
      <x:c r="Q268" s="38" t="n">
        <x:v>0</x:v>
      </x:c>
      <x:c r="R268" s="38" t="n">
        <x:f>MIN(D268,I268)</x:f>
        <x:v>28</x:v>
      </x:c>
      <x:c r="S268" s="47" t="n">
        <x:f>IFERROR(R268/D268,0)</x:f>
        <x:v>1</x:v>
      </x:c>
      <x:c r="T268" s="38" t="n">
        <x:f>MIN(MAX(G268,0),MAX(D268-I268,0))</x:f>
        <x:v>0</x:v>
      </x:c>
      <x:c r="U268" s="44" t="n">
        <x:f>T268*E268</x:f>
        <x:v>0</x:v>
      </x:c>
      <x:c r="V268" s="38" t="n">
        <x:v>88</x:v>
      </x:c>
      <x:c r="W268" s="32" t="n">
        <x:v>8</x:v>
      </x:c>
      <x:c r="X268" s="50" t="n">
        <x:v>45804</x:v>
      </x:c>
      <x:c r="Y268" s="44" t="n">
        <x:v>2000</x:v>
      </x:c>
      <x:c r="Z268" s="44" t="n">
        <x:f>IF(I268&gt;0,R268*(J268/I268),0)</x:f>
        <x:v>54444.44444444444</x:v>
      </x:c>
      <x:c r="AA268" s="44" t="n">
        <x:f>Z268-(R268*E268)</x:f>
        <x:v>40444.44444444444</x:v>
      </x:c>
      <x:c r="AB268" s="47" t="n">
        <x:f>IFERROR(AA268/Z268,0)</x:f>
        <x:v>0.7428571428571428</x:v>
      </x:c>
      <x:c r="AC268" s="32" t="str">
        <x:f>IF(S268=0,"0%",IF(S268&lt;0.5,"1-49%",IF(S268&lt;0.8,"50-79%",IF(S268&lt;1,"80-99%","100%"))))</x:f>
        <x:v>100%</x:v>
      </x:c>
      <x:c r="AD268" s="33" t="str">
        <x:f>IF(G268&lt;0,"Stock negativo",IF(G268&lt;=0,"Sin stock actual",IF(I268&lt;=0,"Sin ventas desde compra",IF(Q268&lt;=0,"Con stock, sin ventas 365d",IF(S268&lt;0.5,"Rotación baja",IF(S268&lt;1,"Rotación media","Compra absorbida; stock repuesto"))))))</x:f>
        <x:v>Con stock, sin ventas 365d</x:v>
      </x:c>
    </x:row>
    <x:row r="269">
      <x:c r="A269" s="31" t="str">
        <x:v>KIT - 051069</x:v>
      </x:c>
      <x:c r="B269" s="53" t="str">
        <x:v>KIT TIJERA TEFLON ECO 100 SYK</x:v>
      </x:c>
      <x:c r="C269" s="32" t="n">
        <x:v>1</x:v>
      </x:c>
      <x:c r="D269" s="38" t="n">
        <x:v>1</x:v>
      </x:c>
      <x:c r="E269" s="44" t="n">
        <x:v>13950</x:v>
      </x:c>
      <x:c r="F269" s="44" t="n">
        <x:v>13950</x:v>
      </x:c>
      <x:c r="G269" s="41" t="n">
        <x:v>1</x:v>
      </x:c>
      <x:c r="H269" s="44" t="n">
        <x:f>MAX(G269,0)*E269</x:f>
        <x:v>13950</x:v>
      </x:c>
      <x:c r="I269" s="38" t="n">
        <x:v>0</x:v>
      </x:c>
      <x:c r="J269" s="44" t="n">
        <x:v>0</x:v>
      </x:c>
      <x:c r="K269" s="32" t="n">
        <x:v>0</x:v>
      </x:c>
      <x:c r="L269" s="50"/>
      <x:c r="M269" s="50"/>
      <x:c r="N269" s="32" t="str">
        <x:f>IF(M269="","",MAX(0,'Resumen'!$B$3-M269))</x:f>
      </x:c>
      <x:c r="O269" s="38" t="n">
        <x:v>0</x:v>
      </x:c>
      <x:c r="P269" s="38" t="n">
        <x:v>0</x:v>
      </x:c>
      <x:c r="Q269" s="38" t="n">
        <x:v>0</x:v>
      </x:c>
      <x:c r="R269" s="38" t="n">
        <x:f>MIN(D269,I269)</x:f>
        <x:v>0</x:v>
      </x:c>
      <x:c r="S269" s="47" t="n">
        <x:f>IFERROR(R269/D269,0)</x:f>
        <x:v>0</x:v>
      </x:c>
      <x:c r="T269" s="38" t="n">
        <x:f>MIN(MAX(G269,0),MAX(D269-I269,0))</x:f>
        <x:v>1</x:v>
      </x:c>
      <x:c r="U269" s="44" t="n">
        <x:f>T269*E269</x:f>
        <x:v>13950</x:v>
      </x:c>
      <x:c r="V269" s="38" t="n">
        <x:v>0</x:v>
      </x:c>
      <x:c r="W269" s="32" t="n">
        <x:v>0</x:v>
      </x:c>
      <x:c r="X269" s="50"/>
      <x:c r="Y269" s="44" t="n">
        <x:v>23500</x:v>
      </x:c>
      <x:c r="Z269" s="44" t="n">
        <x:f>IF(I269&gt;0,R269*(J269/I269),0)</x:f>
        <x:v>0</x:v>
      </x:c>
      <x:c r="AA269" s="44" t="n">
        <x:f>Z269-(R269*E269)</x:f>
        <x:v>0</x:v>
      </x:c>
      <x:c r="AB269" s="47" t="n">
        <x:f>IFERROR(AA269/Z269,0)</x:f>
        <x:v>0</x:v>
      </x:c>
      <x:c r="AC269" s="32" t="str">
        <x:f>IF(S269=0,"0%",IF(S269&lt;0.5,"1-49%",IF(S269&lt;0.8,"50-79%",IF(S269&lt;1,"80-99%","100%"))))</x:f>
        <x:v>0%</x:v>
      </x:c>
      <x:c r="AD269" s="33" t="str">
        <x:f>IF(G269&lt;0,"Stock negativo",IF(G269&lt;=0,"Sin stock actual",IF(I269&lt;=0,"Sin ventas desde compra",IF(Q269&lt;=0,"Con stock, sin ventas 365d",IF(S269&lt;0.5,"Rotación baja",IF(S269&lt;1,"Rotación media","Compra absorbida; stock repuesto"))))))</x:f>
        <x:v>Sin ventas desde compra</x:v>
      </x:c>
    </x:row>
    <x:row r="270">
      <x:c r="A270" s="31" t="str">
        <x:v>BK1960</x:v>
      </x:c>
      <x:c r="B270" s="53" t="str">
        <x:v>DIRECCIONAL PULSAR 135 CLEAR PARA BYWARD</x:v>
      </x:c>
      <x:c r="C270" s="32" t="n">
        <x:v>1</x:v>
      </x:c>
      <x:c r="D270" s="38" t="n">
        <x:v>1</x:v>
      </x:c>
      <x:c r="E270" s="44" t="n">
        <x:v>13900</x:v>
      </x:c>
      <x:c r="F270" s="44" t="n">
        <x:v>13900</x:v>
      </x:c>
      <x:c r="G270" s="41" t="n">
        <x:v>8</x:v>
      </x:c>
      <x:c r="H270" s="44" t="n">
        <x:f>MAX(G270,0)*E270</x:f>
        <x:v>111200</x:v>
      </x:c>
      <x:c r="I270" s="38" t="n">
        <x:v>9</x:v>
      </x:c>
      <x:c r="J270" s="44" t="n">
        <x:v>126500</x:v>
      </x:c>
      <x:c r="K270" s="32" t="n">
        <x:v>5</x:v>
      </x:c>
      <x:c r="L270" s="50" t="n">
        <x:v>45580.6483912037</x:v>
      </x:c>
      <x:c r="M270" s="50" t="n">
        <x:v>46231.91798611111</x:v>
      </x:c>
      <x:c r="N270" s="32" t="n">
        <x:f>IF(M270="","",MAX(0,'Resumen'!$B$3-M270))</x:f>
        <x:v>35.08201388888847</x:v>
      </x:c>
      <x:c r="O270" s="38" t="n">
        <x:v>0</x:v>
      </x:c>
      <x:c r="P270" s="38" t="n">
        <x:v>4</x:v>
      </x:c>
      <x:c r="Q270" s="38" t="n">
        <x:v>8</x:v>
      </x:c>
      <x:c r="R270" s="38" t="n">
        <x:f>MIN(D270,I270)</x:f>
        <x:v>1</x:v>
      </x:c>
      <x:c r="S270" s="47" t="n">
        <x:f>IFERROR(R270/D270,0)</x:f>
        <x:v>1</x:v>
      </x:c>
      <x:c r="T270" s="38" t="n">
        <x:f>MIN(MAX(G270,0),MAX(D270-I270,0))</x:f>
        <x:v>0</x:v>
      </x:c>
      <x:c r="U270" s="44" t="n">
        <x:f>T270*E270</x:f>
        <x:v>0</x:v>
      </x:c>
      <x:c r="V270" s="38" t="n">
        <x:v>16</x:v>
      </x:c>
      <x:c r="W270" s="32" t="n">
        <x:v>3</x:v>
      </x:c>
      <x:c r="X270" s="50" t="n">
        <x:v>46262</x:v>
      </x:c>
      <x:c r="Y270" s="44" t="n">
        <x:v>13300</x:v>
      </x:c>
      <x:c r="Z270" s="44" t="n">
        <x:f>IF(I270&gt;0,R270*(J270/I270),0)</x:f>
        <x:v>14055.555555555555</x:v>
      </x:c>
      <x:c r="AA270" s="44" t="n">
        <x:f>Z270-(R270*E270)</x:f>
        <x:v>155.55555555555475</x:v>
      </x:c>
      <x:c r="AB270" s="47" t="n">
        <x:f>IFERROR(AA270/Z270,0)</x:f>
        <x:v>0.011067193675889271</x:v>
      </x:c>
      <x:c r="AC270" s="32" t="str">
        <x:f>IF(S270=0,"0%",IF(S270&lt;0.5,"1-49%",IF(S270&lt;0.8,"50-79%",IF(S270&lt;1,"80-99%","100%"))))</x:f>
        <x:v>100%</x:v>
      </x:c>
      <x:c r="AD270" s="33" t="str">
        <x:f>IF(G270&lt;0,"Stock negativo",IF(G270&lt;=0,"Sin stock actual",IF(I270&lt;=0,"Sin ventas desde compra",IF(Q270&lt;=0,"Con stock, sin ventas 365d",IF(S270&lt;0.5,"Rotación baja",IF(S270&lt;1,"Rotación media","Compra absorbida; stock repuesto"))))))</x:f>
        <x:v>Compra absorbida; stock repuesto</x:v>
      </x:c>
    </x:row>
    <x:row r="271">
      <x:c r="A271" s="31" t="str">
        <x:v>699-FA007</x:v>
      </x:c>
      <x:c r="B271" s="53" t="str">
        <x:v>FILTRO ACEITE PULSAR 200 NS GPP</x:v>
      </x:c>
      <x:c r="C271" s="32" t="n">
        <x:v>1</x:v>
      </x:c>
      <x:c r="D271" s="38" t="n">
        <x:v>3</x:v>
      </x:c>
      <x:c r="E271" s="44" t="n">
        <x:v>4500</x:v>
      </x:c>
      <x:c r="F271" s="44" t="n">
        <x:v>13500</x:v>
      </x:c>
      <x:c r="G271" s="41" t="n">
        <x:v>0</x:v>
      </x:c>
      <x:c r="H271" s="44" t="n">
        <x:f>MAX(G271,0)*E271</x:f>
        <x:v>0</x:v>
      </x:c>
      <x:c r="I271" s="38" t="n">
        <x:v>3</x:v>
      </x:c>
      <x:c r="J271" s="44" t="n">
        <x:v>20000</x:v>
      </x:c>
      <x:c r="K271" s="32" t="n">
        <x:v>3</x:v>
      </x:c>
      <x:c r="L271" s="50" t="n">
        <x:v>45611.696493055555</x:v>
      </x:c>
      <x:c r="M271" s="50" t="n">
        <x:v>45660.911678240744</x:v>
      </x:c>
      <x:c r="N271" s="32" t="n">
        <x:f>IF(M271="","",MAX(0,'Resumen'!$B$3-M271))</x:f>
        <x:v>606.0883217592564</x:v>
      </x:c>
      <x:c r="O271" s="38" t="n">
        <x:v>0</x:v>
      </x:c>
      <x:c r="P271" s="38" t="n">
        <x:v>0</x:v>
      </x:c>
      <x:c r="Q271" s="38" t="n">
        <x:v>0</x:v>
      </x:c>
      <x:c r="R271" s="38" t="n">
        <x:f>MIN(D271,I271)</x:f>
        <x:v>3</x:v>
      </x:c>
      <x:c r="S271" s="47" t="n">
        <x:f>IFERROR(R271/D271,0)</x:f>
        <x:v>1</x:v>
      </x:c>
      <x:c r="T271" s="38" t="n">
        <x:f>MIN(MAX(G271,0),MAX(D271-I271,0))</x:f>
        <x:v>0</x:v>
      </x:c>
      <x:c r="U271" s="44" t="n">
        <x:f>T271*E271</x:f>
        <x:v>0</x:v>
      </x:c>
      <x:c r="V271" s="38" t="n">
        <x:v>0</x:v>
      </x:c>
      <x:c r="W271" s="32" t="n">
        <x:v>0</x:v>
      </x:c>
      <x:c r="X271" s="50"/>
      <x:c r="Y271" s="44" t="n">
        <x:v>7500</x:v>
      </x:c>
      <x:c r="Z271" s="44" t="n">
        <x:f>IF(I271&gt;0,R271*(J271/I271),0)</x:f>
        <x:v>20000</x:v>
      </x:c>
      <x:c r="AA271" s="44" t="n">
        <x:f>Z271-(R271*E271)</x:f>
        <x:v>6500</x:v>
      </x:c>
      <x:c r="AB271" s="47" t="n">
        <x:f>IFERROR(AA271/Z271,0)</x:f>
        <x:v>0.325</x:v>
      </x:c>
      <x:c r="AC271" s="32" t="str">
        <x:f>IF(S271=0,"0%",IF(S271&lt;0.5,"1-49%",IF(S271&lt;0.8,"50-79%",IF(S271&lt;1,"80-99%","100%"))))</x:f>
        <x:v>100%</x:v>
      </x:c>
      <x:c r="AD271" s="33" t="str">
        <x:f>IF(G271&lt;0,"Stock negativo",IF(G271&lt;=0,"Sin stock actual",IF(I271&lt;=0,"Sin ventas desde compra",IF(Q271&lt;=0,"Con stock, sin ventas 365d",IF(S271&lt;0.5,"Rotación baja",IF(S271&lt;1,"Rotación media","Compra absorbida; stock repuesto"))))))</x:f>
        <x:v>Sin stock actual</x:v>
      </x:c>
    </x:row>
    <x:row r="272">
      <x:c r="A272" s="31" t="str">
        <x:v>902638</x:v>
      </x:c>
      <x:c r="B272" s="53" t="str">
        <x:v>MANIGUETA DER RX 115 ESP. JAPON</x:v>
      </x:c>
      <x:c r="C272" s="32" t="n">
        <x:v>1</x:v>
      </x:c>
      <x:c r="D272" s="38" t="n">
        <x:v>3</x:v>
      </x:c>
      <x:c r="E272" s="44" t="n">
        <x:v>4500</x:v>
      </x:c>
      <x:c r="F272" s="44" t="n">
        <x:v>13500</x:v>
      </x:c>
      <x:c r="G272" s="41" t="n">
        <x:v>1</x:v>
      </x:c>
      <x:c r="H272" s="44" t="n">
        <x:f>MAX(G272,0)*E272</x:f>
        <x:v>4500</x:v>
      </x:c>
      <x:c r="I272" s="38" t="n">
        <x:v>2</x:v>
      </x:c>
      <x:c r="J272" s="44" t="n">
        <x:v>15000</x:v>
      </x:c>
      <x:c r="K272" s="32" t="n">
        <x:v>2</x:v>
      </x:c>
      <x:c r="L272" s="50" t="n">
        <x:v>45798.63234953704</x:v>
      </x:c>
      <x:c r="M272" s="50" t="n">
        <x:v>45798.70866898148</x:v>
      </x:c>
      <x:c r="N272" s="32" t="n">
        <x:f>IF(M272="","",MAX(0,'Resumen'!$B$3-M272))</x:f>
        <x:v>468.29133101851767</x:v>
      </x:c>
      <x:c r="O272" s="38" t="n">
        <x:v>0</x:v>
      </x:c>
      <x:c r="P272" s="38" t="n">
        <x:v>0</x:v>
      </x:c>
      <x:c r="Q272" s="38" t="n">
        <x:v>0</x:v>
      </x:c>
      <x:c r="R272" s="38" t="n">
        <x:f>MIN(D272,I272)</x:f>
        <x:v>2</x:v>
      </x:c>
      <x:c r="S272" s="47" t="n">
        <x:f>IFERROR(R272/D272,0)</x:f>
        <x:v>0.6666666666666666</x:v>
      </x:c>
      <x:c r="T272" s="38" t="n">
        <x:f>MIN(MAX(G272,0),MAX(D272-I272,0))</x:f>
        <x:v>1</x:v>
      </x:c>
      <x:c r="U272" s="44" t="n">
        <x:f>T272*E272</x:f>
        <x:v>4500</x:v>
      </x:c>
      <x:c r="V272" s="38" t="n">
        <x:v>0</x:v>
      </x:c>
      <x:c r="W272" s="32" t="n">
        <x:v>0</x:v>
      </x:c>
      <x:c r="X272" s="50"/>
      <x:c r="Y272" s="44" t="n">
        <x:v>7500</x:v>
      </x:c>
      <x:c r="Z272" s="44" t="n">
        <x:f>IF(I272&gt;0,R272*(J272/I272),0)</x:f>
        <x:v>15000</x:v>
      </x:c>
      <x:c r="AA272" s="44" t="n">
        <x:f>Z272-(R272*E272)</x:f>
        <x:v>6000</x:v>
      </x:c>
      <x:c r="AB272" s="47" t="n">
        <x:f>IFERROR(AA272/Z272,0)</x:f>
        <x:v>0.4</x:v>
      </x:c>
      <x:c r="AC272" s="32" t="str">
        <x:f>IF(S272=0,"0%",IF(S272&lt;0.5,"1-49%",IF(S272&lt;0.8,"50-79%",IF(S272&lt;1,"80-99%","100%"))))</x:f>
        <x:v>50-79%</x:v>
      </x:c>
      <x:c r="AD272" s="33" t="str">
        <x:f>IF(G272&lt;0,"Stock negativo",IF(G272&lt;=0,"Sin stock actual",IF(I272&lt;=0,"Sin ventas desde compra",IF(Q272&lt;=0,"Con stock, sin ventas 365d",IF(S272&lt;0.5,"Rotación baja",IF(S272&lt;1,"Rotación media","Compra absorbida; stock repuesto"))))))</x:f>
        <x:v>Con stock, sin ventas 365d</x:v>
      </x:c>
    </x:row>
    <x:row r="273">
      <x:c r="A273" s="31" t="str">
        <x:v>MAN - 000979</x:v>
      </x:c>
      <x:c r="B273" s="53" t="str">
        <x:v>MANIGUETA DER RX 135 - 115 JAPON</x:v>
      </x:c>
      <x:c r="C273" s="32" t="n">
        <x:v>1</x:v>
      </x:c>
      <x:c r="D273" s="38" t="n">
        <x:v>3</x:v>
      </x:c>
      <x:c r="E273" s="44" t="n">
        <x:v>4500</x:v>
      </x:c>
      <x:c r="F273" s="44" t="n">
        <x:v>13500</x:v>
      </x:c>
      <x:c r="G273" s="41" t="n">
        <x:v>3</x:v>
      </x:c>
      <x:c r="H273" s="44" t="n">
        <x:f>MAX(G273,0)*E273</x:f>
        <x:v>13500</x:v>
      </x:c>
      <x:c r="I273" s="38" t="n">
        <x:v>0</x:v>
      </x:c>
      <x:c r="J273" s="44" t="n">
        <x:v>0</x:v>
      </x:c>
      <x:c r="K273" s="32" t="n">
        <x:v>0</x:v>
      </x:c>
      <x:c r="L273" s="50"/>
      <x:c r="M273" s="50"/>
      <x:c r="N273" s="32" t="str">
        <x:f>IF(M273="","",MAX(0,'Resumen'!$B$3-M273))</x:f>
      </x:c>
      <x:c r="O273" s="38" t="n">
        <x:v>0</x:v>
      </x:c>
      <x:c r="P273" s="38" t="n">
        <x:v>0</x:v>
      </x:c>
      <x:c r="Q273" s="38" t="n">
        <x:v>0</x:v>
      </x:c>
      <x:c r="R273" s="38" t="n">
        <x:f>MIN(D273,I273)</x:f>
        <x:v>0</x:v>
      </x:c>
      <x:c r="S273" s="47" t="n">
        <x:f>IFERROR(R273/D273,0)</x:f>
        <x:v>0</x:v>
      </x:c>
      <x:c r="T273" s="38" t="n">
        <x:f>MIN(MAX(G273,0),MAX(D273-I273,0))</x:f>
        <x:v>3</x:v>
      </x:c>
      <x:c r="U273" s="44" t="n">
        <x:f>T273*E273</x:f>
        <x:v>13500</x:v>
      </x:c>
      <x:c r="V273" s="38" t="n">
        <x:v>0</x:v>
      </x:c>
      <x:c r="W273" s="32" t="n">
        <x:v>0</x:v>
      </x:c>
      <x:c r="X273" s="50"/>
      <x:c r="Y273" s="44" t="n">
        <x:v>7500</x:v>
      </x:c>
      <x:c r="Z273" s="44" t="n">
        <x:f>IF(I273&gt;0,R273*(J273/I273),0)</x:f>
        <x:v>0</x:v>
      </x:c>
      <x:c r="AA273" s="44" t="n">
        <x:f>Z273-(R273*E273)</x:f>
        <x:v>0</x:v>
      </x:c>
      <x:c r="AB273" s="47" t="n">
        <x:f>IFERROR(AA273/Z273,0)</x:f>
        <x:v>0</x:v>
      </x:c>
      <x:c r="AC273" s="32" t="str">
        <x:f>IF(S273=0,"0%",IF(S273&lt;0.5,"1-49%",IF(S273&lt;0.8,"50-79%",IF(S273&lt;1,"80-99%","100%"))))</x:f>
        <x:v>0%</x:v>
      </x:c>
      <x:c r="AD273" s="33" t="str">
        <x:f>IF(G273&lt;0,"Stock negativo",IF(G273&lt;=0,"Sin stock actual",IF(I273&lt;=0,"Sin ventas desde compra",IF(Q273&lt;=0,"Con stock, sin ventas 365d",IF(S273&lt;0.5,"Rotación baja",IF(S273&lt;1,"Rotación media","Compra absorbida; stock repuesto"))))))</x:f>
        <x:v>Sin ventas desde compra</x:v>
      </x:c>
    </x:row>
    <x:row r="274">
      <x:c r="A274" s="31" t="str">
        <x:v>MOTS1126</x:v>
      </x:c>
      <x:c r="B274" s="53" t="str">
        <x:v>TAPA VALVULA TUERCA</x:v>
      </x:c>
      <x:c r="C274" s="32" t="n">
        <x:v>1</x:v>
      </x:c>
      <x:c r="D274" s="38" t="n">
        <x:v>18</x:v>
      </x:c>
      <x:c r="E274" s="44" t="n">
        <x:v>750</x:v>
      </x:c>
      <x:c r="F274" s="44" t="n">
        <x:v>13500</x:v>
      </x:c>
      <x:c r="G274" s="41" t="n">
        <x:v>18</x:v>
      </x:c>
      <x:c r="H274" s="44" t="n">
        <x:f>MAX(G274,0)*E274</x:f>
        <x:v>13500</x:v>
      </x:c>
      <x:c r="I274" s="38" t="n">
        <x:v>0</x:v>
      </x:c>
      <x:c r="J274" s="44" t="n">
        <x:v>0</x:v>
      </x:c>
      <x:c r="K274" s="32" t="n">
        <x:v>0</x:v>
      </x:c>
      <x:c r="L274" s="50"/>
      <x:c r="M274" s="50"/>
      <x:c r="N274" s="32" t="str">
        <x:f>IF(M274="","",MAX(0,'Resumen'!$B$3-M274))</x:f>
      </x:c>
      <x:c r="O274" s="38" t="n">
        <x:v>0</x:v>
      </x:c>
      <x:c r="P274" s="38" t="n">
        <x:v>0</x:v>
      </x:c>
      <x:c r="Q274" s="38" t="n">
        <x:v>0</x:v>
      </x:c>
      <x:c r="R274" s="38" t="n">
        <x:f>MIN(D274,I274)</x:f>
        <x:v>0</x:v>
      </x:c>
      <x:c r="S274" s="47" t="n">
        <x:f>IFERROR(R274/D274,0)</x:f>
        <x:v>0</x:v>
      </x:c>
      <x:c r="T274" s="38" t="n">
        <x:f>MIN(MAX(G274,0),MAX(D274-I274,0))</x:f>
        <x:v>18</x:v>
      </x:c>
      <x:c r="U274" s="44" t="n">
        <x:f>T274*E274</x:f>
        <x:v>13500</x:v>
      </x:c>
      <x:c r="V274" s="38" t="n">
        <x:v>0</x:v>
      </x:c>
      <x:c r="W274" s="32" t="n">
        <x:v>0</x:v>
      </x:c>
      <x:c r="X274" s="50"/>
      <x:c r="Y274" s="44" t="n">
        <x:v>1250</x:v>
      </x:c>
      <x:c r="Z274" s="44" t="n">
        <x:f>IF(I274&gt;0,R274*(J274/I274),0)</x:f>
        <x:v>0</x:v>
      </x:c>
      <x:c r="AA274" s="44" t="n">
        <x:f>Z274-(R274*E274)</x:f>
        <x:v>0</x:v>
      </x:c>
      <x:c r="AB274" s="47" t="n">
        <x:f>IFERROR(AA274/Z274,0)</x:f>
        <x:v>0</x:v>
      </x:c>
      <x:c r="AC274" s="32" t="str">
        <x:f>IF(S274=0,"0%",IF(S274&lt;0.5,"1-49%",IF(S274&lt;0.8,"50-79%",IF(S274&lt;1,"80-99%","100%"))))</x:f>
        <x:v>0%</x:v>
      </x:c>
      <x:c r="AD274" s="33" t="str">
        <x:f>IF(G274&lt;0,"Stock negativo",IF(G274&lt;=0,"Sin stock actual",IF(I274&lt;=0,"Sin ventas desde compra",IF(Q274&lt;=0,"Con stock, sin ventas 365d",IF(S274&lt;0.5,"Rotación baja",IF(S274&lt;1,"Rotación media","Compra absorbida; stock repuesto"))))))</x:f>
        <x:v>Sin ventas desde compra</x:v>
      </x:c>
    </x:row>
    <x:row r="275">
      <x:c r="A275" s="31" t="str">
        <x:v>MOTS1175</x:v>
      </x:c>
      <x:c r="B275" s="53" t="str">
        <x:v>ALTPO GASOLINA UNIVERSAL TAPAROJA</x:v>
      </x:c>
      <x:c r="C275" s="32" t="n">
        <x:v>1</x:v>
      </x:c>
      <x:c r="D275" s="38" t="n">
        <x:v>9</x:v>
      </x:c>
      <x:c r="E275" s="44" t="n">
        <x:v>1500</x:v>
      </x:c>
      <x:c r="F275" s="44" t="n">
        <x:v>13500</x:v>
      </x:c>
      <x:c r="G275" s="41" t="n">
        <x:v>5</x:v>
      </x:c>
      <x:c r="H275" s="44" t="n">
        <x:f>MAX(G275,0)*E275</x:f>
        <x:v>7500</x:v>
      </x:c>
      <x:c r="I275" s="38" t="n">
        <x:v>5</x:v>
      </x:c>
      <x:c r="J275" s="44" t="n">
        <x:v>12000</x:v>
      </x:c>
      <x:c r="K275" s="32" t="n">
        <x:v>4</x:v>
      </x:c>
      <x:c r="L275" s="50" t="n">
        <x:v>45564.592986111114</x:v>
      </x:c>
      <x:c r="M275" s="50" t="n">
        <x:v>45857.94361111111</x:v>
      </x:c>
      <x:c r="N275" s="32" t="n">
        <x:f>IF(M275="","",MAX(0,'Resumen'!$B$3-M275))</x:f>
        <x:v>409.05638888888643</x:v>
      </x:c>
      <x:c r="O275" s="38" t="n">
        <x:v>0</x:v>
      </x:c>
      <x:c r="P275" s="38" t="n">
        <x:v>0</x:v>
      </x:c>
      <x:c r="Q275" s="38" t="n">
        <x:v>0</x:v>
      </x:c>
      <x:c r="R275" s="38" t="n">
        <x:f>MIN(D275,I275)</x:f>
        <x:v>5</x:v>
      </x:c>
      <x:c r="S275" s="47" t="n">
        <x:f>IFERROR(R275/D275,0)</x:f>
        <x:v>0.5555555555555556</x:v>
      </x:c>
      <x:c r="T275" s="38" t="n">
        <x:f>MIN(MAX(G275,0),MAX(D275-I275,0))</x:f>
        <x:v>4</x:v>
      </x:c>
      <x:c r="U275" s="44" t="n">
        <x:f>T275*E275</x:f>
        <x:v>6000</x:v>
      </x:c>
      <x:c r="V275" s="38" t="n">
        <x:v>1</x:v>
      </x:c>
      <x:c r="W275" s="32" t="n">
        <x:v>1</x:v>
      </x:c>
      <x:c r="X275" s="50" t="n">
        <x:v>45849</x:v>
      </x:c>
      <x:c r="Y275" s="44" t="n">
        <x:v>2500</x:v>
      </x:c>
      <x:c r="Z275" s="44" t="n">
        <x:f>IF(I275&gt;0,R275*(J275/I275),0)</x:f>
        <x:v>12000</x:v>
      </x:c>
      <x:c r="AA275" s="44" t="n">
        <x:f>Z275-(R275*E275)</x:f>
        <x:v>4500</x:v>
      </x:c>
      <x:c r="AB275" s="47" t="n">
        <x:f>IFERROR(AA275/Z275,0)</x:f>
        <x:v>0.375</x:v>
      </x:c>
      <x:c r="AC275" s="32" t="str">
        <x:f>IF(S275=0,"0%",IF(S275&lt;0.5,"1-49%",IF(S275&lt;0.8,"50-79%",IF(S275&lt;1,"80-99%","100%"))))</x:f>
        <x:v>50-79%</x:v>
      </x:c>
      <x:c r="AD275" s="33" t="str">
        <x:f>IF(G275&lt;0,"Stock negativo",IF(G275&lt;=0,"Sin stock actual",IF(I275&lt;=0,"Sin ventas desde compra",IF(Q275&lt;=0,"Con stock, sin ventas 365d",IF(S275&lt;0.5,"Rotación baja",IF(S275&lt;1,"Rotación media","Compra absorbida; stock repuesto"))))))</x:f>
        <x:v>Con stock, sin ventas 365d</x:v>
      </x:c>
    </x:row>
    <x:row r="276">
      <x:c r="A276" s="31" t="str">
        <x:v>MOTS1211</x:v>
      </x:c>
      <x:c r="B276" s="53" t="str">
        <x:v>BANDA FRENO TRA  BUJS 125 JAPAN</x:v>
      </x:c>
      <x:c r="C276" s="32" t="n">
        <x:v>1</x:v>
      </x:c>
      <x:c r="D276" s="38" t="n">
        <x:v>1</x:v>
      </x:c>
      <x:c r="E276" s="44" t="n">
        <x:v>13500</x:v>
      </x:c>
      <x:c r="F276" s="44" t="n">
        <x:v>13500</x:v>
      </x:c>
      <x:c r="G276" s="41" t="n">
        <x:v>0</x:v>
      </x:c>
      <x:c r="H276" s="44" t="n">
        <x:f>MAX(G276,0)*E276</x:f>
        <x:v>0</x:v>
      </x:c>
      <x:c r="I276" s="38" t="n">
        <x:v>1</x:v>
      </x:c>
      <x:c r="J276" s="44" t="n">
        <x:v>19000</x:v>
      </x:c>
      <x:c r="K276" s="32" t="n">
        <x:v>1</x:v>
      </x:c>
      <x:c r="L276" s="50" t="n">
        <x:v>45562.54728009259</x:v>
      </x:c>
      <x:c r="M276" s="50" t="n">
        <x:v>45562.54728009259</x:v>
      </x:c>
      <x:c r="N276" s="32" t="n">
        <x:f>IF(M276="","",MAX(0,'Resumen'!$B$3-M276))</x:f>
        <x:v>704.4527199074073</x:v>
      </x:c>
      <x:c r="O276" s="38" t="n">
        <x:v>0</x:v>
      </x:c>
      <x:c r="P276" s="38" t="n">
        <x:v>0</x:v>
      </x:c>
      <x:c r="Q276" s="38" t="n">
        <x:v>0</x:v>
      </x:c>
      <x:c r="R276" s="38" t="n">
        <x:f>MIN(D276,I276)</x:f>
        <x:v>1</x:v>
      </x:c>
      <x:c r="S276" s="47" t="n">
        <x:f>IFERROR(R276/D276,0)</x:f>
        <x:v>1</x:v>
      </x:c>
      <x:c r="T276" s="38" t="n">
        <x:f>MIN(MAX(G276,0),MAX(D276-I276,0))</x:f>
        <x:v>0</x:v>
      </x:c>
      <x:c r="U276" s="44" t="n">
        <x:f>T276*E276</x:f>
        <x:v>0</x:v>
      </x:c>
      <x:c r="V276" s="38" t="n">
        <x:v>0</x:v>
      </x:c>
      <x:c r="W276" s="32" t="n">
        <x:v>0</x:v>
      </x:c>
      <x:c r="X276" s="50"/>
      <x:c r="Y276" s="44" t="n">
        <x:v>22500</x:v>
      </x:c>
      <x:c r="Z276" s="44" t="n">
        <x:f>IF(I276&gt;0,R276*(J276/I276),0)</x:f>
        <x:v>19000</x:v>
      </x:c>
      <x:c r="AA276" s="44" t="n">
        <x:f>Z276-(R276*E276)</x:f>
        <x:v>5500</x:v>
      </x:c>
      <x:c r="AB276" s="47" t="n">
        <x:f>IFERROR(AA276/Z276,0)</x:f>
        <x:v>0.2894736842105263</x:v>
      </x:c>
      <x:c r="AC276" s="32" t="str">
        <x:f>IF(S276=0,"0%",IF(S276&lt;0.5,"1-49%",IF(S276&lt;0.8,"50-79%",IF(S276&lt;1,"80-99%","100%"))))</x:f>
        <x:v>100%</x:v>
      </x:c>
      <x:c r="AD276" s="33" t="str">
        <x:f>IF(G276&lt;0,"Stock negativo",IF(G276&lt;=0,"Sin stock actual",IF(I276&lt;=0,"Sin ventas desde compra",IF(Q276&lt;=0,"Con stock, sin ventas 365d",IF(S276&lt;0.5,"Rotación baja",IF(S276&lt;1,"Rotación media","Compra absorbida; stock repuesto"))))))</x:f>
        <x:v>Sin stock actual</x:v>
      </x:c>
    </x:row>
    <x:row r="277">
      <x:c r="A277" s="31" t="str">
        <x:v>OYQ 179M</x:v>
      </x:c>
      <x:c r="B277" s="53" t="str">
        <x:v>EMPAQUE EXOSTO PULSAR 150 760 / PULSAR 180 06 -200-220</x:v>
      </x:c>
      <x:c r="C277" s="32" t="n">
        <x:v>1</x:v>
      </x:c>
      <x:c r="D277" s="38" t="n">
        <x:v>9</x:v>
      </x:c>
      <x:c r="E277" s="44" t="n">
        <x:v>1500</x:v>
      </x:c>
      <x:c r="F277" s="44" t="n">
        <x:v>13500</x:v>
      </x:c>
      <x:c r="G277" s="41" t="n">
        <x:v>6</x:v>
      </x:c>
      <x:c r="H277" s="44" t="n">
        <x:f>MAX(G277,0)*E277</x:f>
        <x:v>9000</x:v>
      </x:c>
      <x:c r="I277" s="38" t="n">
        <x:v>3</x:v>
      </x:c>
      <x:c r="J277" s="44" t="n">
        <x:v>8000</x:v>
      </x:c>
      <x:c r="K277" s="32" t="n">
        <x:v>3</x:v>
      </x:c>
      <x:c r="L277" s="50" t="n">
        <x:v>45575.853483796294</x:v>
      </x:c>
      <x:c r="M277" s="50" t="n">
        <x:v>46102.90314814815</x:v>
      </x:c>
      <x:c r="N277" s="32" t="n">
        <x:f>IF(M277="","",MAX(0,'Resumen'!$B$3-M277))</x:f>
        <x:v>164.09685185184935</x:v>
      </x:c>
      <x:c r="O277" s="38" t="n">
        <x:v>0</x:v>
      </x:c>
      <x:c r="P277" s="38" t="n">
        <x:v>0</x:v>
      </x:c>
      <x:c r="Q277" s="38" t="n">
        <x:v>1</x:v>
      </x:c>
      <x:c r="R277" s="38" t="n">
        <x:f>MIN(D277,I277)</x:f>
        <x:v>3</x:v>
      </x:c>
      <x:c r="S277" s="47" t="n">
        <x:f>IFERROR(R277/D277,0)</x:f>
        <x:v>0.3333333333333333</x:v>
      </x:c>
      <x:c r="T277" s="38" t="n">
        <x:f>MIN(MAX(G277,0),MAX(D277-I277,0))</x:f>
        <x:v>6</x:v>
      </x:c>
      <x:c r="U277" s="44" t="n">
        <x:f>T277*E277</x:f>
        <x:v>9000</x:v>
      </x:c>
      <x:c r="V277" s="38" t="n">
        <x:v>0</x:v>
      </x:c>
      <x:c r="W277" s="32" t="n">
        <x:v>0</x:v>
      </x:c>
      <x:c r="X277" s="50"/>
      <x:c r="Y277" s="44" t="n">
        <x:v>2500</x:v>
      </x:c>
      <x:c r="Z277" s="44" t="n">
        <x:f>IF(I277&gt;0,R277*(J277/I277),0)</x:f>
        <x:v>8000</x:v>
      </x:c>
      <x:c r="AA277" s="44" t="n">
        <x:f>Z277-(R277*E277)</x:f>
        <x:v>3500</x:v>
      </x:c>
      <x:c r="AB277" s="47" t="n">
        <x:f>IFERROR(AA277/Z277,0)</x:f>
        <x:v>0.4375</x:v>
      </x:c>
      <x:c r="AC277" s="32" t="str">
        <x:f>IF(S277=0,"0%",IF(S277&lt;0.5,"1-49%",IF(S277&lt;0.8,"50-79%",IF(S277&lt;1,"80-99%","100%"))))</x:f>
        <x:v>1-49%</x:v>
      </x:c>
      <x:c r="AD277" s="33" t="str">
        <x:f>IF(G277&lt;0,"Stock negativo",IF(G277&lt;=0,"Sin stock actual",IF(I277&lt;=0,"Sin ventas desde compra",IF(Q277&lt;=0,"Con stock, sin ventas 365d",IF(S277&lt;0.5,"Rotación baja",IF(S277&lt;1,"Rotación media","Compra absorbida; stock repuesto"))))))</x:f>
        <x:v>Rotación baja</x:v>
      </x:c>
    </x:row>
    <x:row r="278">
      <x:c r="A278" s="31" t="str">
        <x:v>MOTS1033</x:v>
      </x:c>
      <x:c r="B278" s="53" t="str">
        <x:v>DIRECCIONAL TRAS FZ 20 TRANSPARENTE  SET X2 SYK</x:v>
      </x:c>
      <x:c r="C278" s="32" t="n">
        <x:v>1</x:v>
      </x:c>
      <x:c r="D278" s="38" t="n">
        <x:v>1</x:v>
      </x:c>
      <x:c r="E278" s="44" t="n">
        <x:v>13150</x:v>
      </x:c>
      <x:c r="F278" s="44" t="n">
        <x:v>13150</x:v>
      </x:c>
      <x:c r="G278" s="41" t="n">
        <x:v>1</x:v>
      </x:c>
      <x:c r="H278" s="44" t="n">
        <x:f>MAX(G278,0)*E278</x:f>
        <x:v>13150</x:v>
      </x:c>
      <x:c r="I278" s="38" t="n">
        <x:v>1</x:v>
      </x:c>
      <x:c r="J278" s="44" t="n">
        <x:v>20000</x:v>
      </x:c>
      <x:c r="K278" s="32" t="n">
        <x:v>1</x:v>
      </x:c>
      <x:c r="L278" s="50" t="n">
        <x:v>45564.592986111114</x:v>
      </x:c>
      <x:c r="M278" s="50" t="n">
        <x:v>45564.592986111114</x:v>
      </x:c>
      <x:c r="N278" s="32" t="n">
        <x:f>IF(M278="","",MAX(0,'Resumen'!$B$3-M278))</x:f>
        <x:v>702.4070138888856</x:v>
      </x:c>
      <x:c r="O278" s="38" t="n">
        <x:v>0</x:v>
      </x:c>
      <x:c r="P278" s="38" t="n">
        <x:v>0</x:v>
      </x:c>
      <x:c r="Q278" s="38" t="n">
        <x:v>0</x:v>
      </x:c>
      <x:c r="R278" s="38" t="n">
        <x:f>MIN(D278,I278)</x:f>
        <x:v>1</x:v>
      </x:c>
      <x:c r="S278" s="47" t="n">
        <x:f>IFERROR(R278/D278,0)</x:f>
        <x:v>1</x:v>
      </x:c>
      <x:c r="T278" s="38" t="n">
        <x:f>MIN(MAX(G278,0),MAX(D278-I278,0))</x:f>
        <x:v>0</x:v>
      </x:c>
      <x:c r="U278" s="44" t="n">
        <x:f>T278*E278</x:f>
        <x:v>0</x:v>
      </x:c>
      <x:c r="V278" s="38" t="n">
        <x:v>1</x:v>
      </x:c>
      <x:c r="W278" s="32" t="n">
        <x:v>1</x:v>
      </x:c>
      <x:c r="X278" s="50" t="n">
        <x:v>45512</x:v>
      </x:c>
      <x:c r="Y278" s="44" t="n">
        <x:v>22000</x:v>
      </x:c>
      <x:c r="Z278" s="44" t="n">
        <x:f>IF(I278&gt;0,R278*(J278/I278),0)</x:f>
        <x:v>20000</x:v>
      </x:c>
      <x:c r="AA278" s="44" t="n">
        <x:f>Z278-(R278*E278)</x:f>
        <x:v>6850</x:v>
      </x:c>
      <x:c r="AB278" s="47" t="n">
        <x:f>IFERROR(AA278/Z278,0)</x:f>
        <x:v>0.3425</x:v>
      </x:c>
      <x:c r="AC278" s="32" t="str">
        <x:f>IF(S278=0,"0%",IF(S278&lt;0.5,"1-49%",IF(S278&lt;0.8,"50-79%",IF(S278&lt;1,"80-99%","100%"))))</x:f>
        <x:v>100%</x:v>
      </x:c>
      <x:c r="AD278" s="33" t="str">
        <x:f>IF(G278&lt;0,"Stock negativo",IF(G278&lt;=0,"Sin stock actual",IF(I278&lt;=0,"Sin ventas desde compra",IF(Q278&lt;=0,"Con stock, sin ventas 365d",IF(S278&lt;0.5,"Rotación baja",IF(S278&lt;1,"Rotación media","Compra absorbida; stock repuesto"))))))</x:f>
        <x:v>Con stock, sin ventas 365d</x:v>
      </x:c>
    </x:row>
    <x:row r="279">
      <x:c r="A279" s="31" t="str">
        <x:v>17119</x:v>
      </x:c>
      <x:c r="B279" s="53" t="str">
        <x:v>GUAYA CLUCTH XT2 125 MOTOTEC</x:v>
      </x:c>
      <x:c r="C279" s="32" t="n">
        <x:v>1</x:v>
      </x:c>
      <x:c r="D279" s="38" t="n">
        <x:v>2</x:v>
      </x:c>
      <x:c r="E279" s="44" t="n">
        <x:v>6500</x:v>
      </x:c>
      <x:c r="F279" s="44" t="n">
        <x:v>13000</x:v>
      </x:c>
      <x:c r="G279" s="41" t="n">
        <x:v>0</x:v>
      </x:c>
      <x:c r="H279" s="44" t="n">
        <x:f>MAX(G279,0)*E279</x:f>
        <x:v>0</x:v>
      </x:c>
      <x:c r="I279" s="38" t="n">
        <x:v>2</x:v>
      </x:c>
      <x:c r="J279" s="44" t="n">
        <x:v>21000</x:v>
      </x:c>
      <x:c r="K279" s="32" t="n">
        <x:v>2</x:v>
      </x:c>
      <x:c r="L279" s="50" t="n">
        <x:v>45538.83324074074</x:v>
      </x:c>
      <x:c r="M279" s="50" t="n">
        <x:v>45560.890497685185</x:v>
      </x:c>
      <x:c r="N279" s="32" t="n">
        <x:f>IF(M279="","",MAX(0,'Resumen'!$B$3-M279))</x:f>
        <x:v>706.1095023148155</x:v>
      </x:c>
      <x:c r="O279" s="38" t="n">
        <x:v>0</x:v>
      </x:c>
      <x:c r="P279" s="38" t="n">
        <x:v>0</x:v>
      </x:c>
      <x:c r="Q279" s="38" t="n">
        <x:v>0</x:v>
      </x:c>
      <x:c r="R279" s="38" t="n">
        <x:f>MIN(D279,I279)</x:f>
        <x:v>2</x:v>
      </x:c>
      <x:c r="S279" s="47" t="n">
        <x:f>IFERROR(R279/D279,0)</x:f>
        <x:v>1</x:v>
      </x:c>
      <x:c r="T279" s="38" t="n">
        <x:f>MIN(MAX(G279,0),MAX(D279-I279,0))</x:f>
        <x:v>0</x:v>
      </x:c>
      <x:c r="U279" s="44" t="n">
        <x:f>T279*E279</x:f>
        <x:v>0</x:v>
      </x:c>
      <x:c r="V279" s="38" t="n">
        <x:v>0</x:v>
      </x:c>
      <x:c r="W279" s="32" t="n">
        <x:v>0</x:v>
      </x:c>
      <x:c r="X279" s="50"/>
      <x:c r="Y279" s="44" t="n">
        <x:v>11000</x:v>
      </x:c>
      <x:c r="Z279" s="44" t="n">
        <x:f>IF(I279&gt;0,R279*(J279/I279),0)</x:f>
        <x:v>21000</x:v>
      </x:c>
      <x:c r="AA279" s="44" t="n">
        <x:f>Z279-(R279*E279)</x:f>
        <x:v>8000</x:v>
      </x:c>
      <x:c r="AB279" s="47" t="n">
        <x:f>IFERROR(AA279/Z279,0)</x:f>
        <x:v>0.38095238095238093</x:v>
      </x:c>
      <x:c r="AC279" s="32" t="str">
        <x:f>IF(S279=0,"0%",IF(S279&lt;0.5,"1-49%",IF(S279&lt;0.8,"50-79%",IF(S279&lt;1,"80-99%","100%"))))</x:f>
        <x:v>100%</x:v>
      </x:c>
      <x:c r="AD279" s="33" t="str">
        <x:f>IF(G279&lt;0,"Stock negativo",IF(G279&lt;=0,"Sin stock actual",IF(I279&lt;=0,"Sin ventas desde compra",IF(Q279&lt;=0,"Con stock, sin ventas 365d",IF(S279&lt;0.5,"Rotación baja",IF(S279&lt;1,"Rotación media","Compra absorbida; stock repuesto"))))))</x:f>
        <x:v>Sin stock actual</x:v>
      </x:c>
    </x:row>
    <x:row r="280">
      <x:c r="A280" s="31" t="str">
        <x:v>19L295E</x:v>
      </x:c>
      <x:c r="B280" s="53" t="str">
        <x:v>KIT MEDIO XT2 125 DAIR ROW</x:v>
      </x:c>
      <x:c r="C280" s="32" t="n">
        <x:v>1</x:v>
      </x:c>
      <x:c r="D280" s="38" t="n">
        <x:v>2</x:v>
      </x:c>
      <x:c r="E280" s="44" t="n">
        <x:v>6500</x:v>
      </x:c>
      <x:c r="F280" s="44" t="n">
        <x:v>13000</x:v>
      </x:c>
      <x:c r="G280" s="41" t="n">
        <x:v>3</x:v>
      </x:c>
      <x:c r="H280" s="44" t="n">
        <x:f>MAX(G280,0)*E280</x:f>
        <x:v>19500</x:v>
      </x:c>
      <x:c r="I280" s="38" t="n">
        <x:v>1</x:v>
      </x:c>
      <x:c r="J280" s="44" t="n">
        <x:v>10000</x:v>
      </x:c>
      <x:c r="K280" s="32" t="n">
        <x:v>1</x:v>
      </x:c>
      <x:c r="L280" s="50" t="n">
        <x:v>45857.74827546296</x:v>
      </x:c>
      <x:c r="M280" s="50" t="n">
        <x:v>45857.74827546296</x:v>
      </x:c>
      <x:c r="N280" s="32" t="n">
        <x:f>IF(M280="","",MAX(0,'Resumen'!$B$3-M280))</x:f>
        <x:v>409.25172453704</x:v>
      </x:c>
      <x:c r="O280" s="38" t="n">
        <x:v>0</x:v>
      </x:c>
      <x:c r="P280" s="38" t="n">
        <x:v>0</x:v>
      </x:c>
      <x:c r="Q280" s="38" t="n">
        <x:v>0</x:v>
      </x:c>
      <x:c r="R280" s="38" t="n">
        <x:f>MIN(D280,I280)</x:f>
        <x:v>1</x:v>
      </x:c>
      <x:c r="S280" s="47" t="n">
        <x:f>IFERROR(R280/D280,0)</x:f>
        <x:v>0.5</x:v>
      </x:c>
      <x:c r="T280" s="38" t="n">
        <x:f>MIN(MAX(G280,0),MAX(D280-I280,0))</x:f>
        <x:v>1</x:v>
      </x:c>
      <x:c r="U280" s="44" t="n">
        <x:f>T280*E280</x:f>
        <x:v>6500</x:v>
      </x:c>
      <x:c r="V280" s="38" t="n">
        <x:v>2</x:v>
      </x:c>
      <x:c r="W280" s="32" t="n">
        <x:v>2</x:v>
      </x:c>
      <x:c r="X280" s="50" t="n">
        <x:v>45983</x:v>
      </x:c>
      <x:c r="Y280" s="44" t="n">
        <x:v>11000</x:v>
      </x:c>
      <x:c r="Z280" s="44" t="n">
        <x:f>IF(I280&gt;0,R280*(J280/I280),0)</x:f>
        <x:v>10000</x:v>
      </x:c>
      <x:c r="AA280" s="44" t="n">
        <x:f>Z280-(R280*E280)</x:f>
        <x:v>3500</x:v>
      </x:c>
      <x:c r="AB280" s="47" t="n">
        <x:f>IFERROR(AA280/Z280,0)</x:f>
        <x:v>0.35</x:v>
      </x:c>
      <x:c r="AC280" s="32" t="str">
        <x:f>IF(S280=0,"0%",IF(S280&lt;0.5,"1-49%",IF(S280&lt;0.8,"50-79%",IF(S280&lt;1,"80-99%","100%"))))</x:f>
        <x:v>50-79%</x:v>
      </x:c>
      <x:c r="AD280" s="33" t="str">
        <x:f>IF(G280&lt;0,"Stock negativo",IF(G280&lt;=0,"Sin stock actual",IF(I280&lt;=0,"Sin ventas desde compra",IF(Q280&lt;=0,"Con stock, sin ventas 365d",IF(S280&lt;0.5,"Rotación baja",IF(S280&lt;1,"Rotación media","Compra absorbida; stock repuesto"))))))</x:f>
        <x:v>Con stock, sin ventas 365d</x:v>
      </x:c>
    </x:row>
    <x:row r="281">
      <x:c r="A281" s="31" t="str">
        <x:v>BAN - 053</x:v>
      </x:c>
      <x:c r="B281" s="53" t="str">
        <x:v>BANDA FRENO TRA - DT / XT2 YAMAHA</x:v>
      </x:c>
      <x:c r="C281" s="32" t="n">
        <x:v>1</x:v>
      </x:c>
      <x:c r="D281" s="38" t="n">
        <x:v>1</x:v>
      </x:c>
      <x:c r="E281" s="44" t="n">
        <x:v>13000</x:v>
      </x:c>
      <x:c r="F281" s="44" t="n">
        <x:v>13000</x:v>
      </x:c>
      <x:c r="G281" s="41" t="n">
        <x:v>0</x:v>
      </x:c>
      <x:c r="H281" s="44" t="n">
        <x:f>MAX(G281,0)*E281</x:f>
        <x:v>0</x:v>
      </x:c>
      <x:c r="I281" s="38" t="n">
        <x:v>1</x:v>
      </x:c>
      <x:c r="J281" s="44" t="n">
        <x:v>20000</x:v>
      </x:c>
      <x:c r="K281" s="32" t="n">
        <x:v>1</x:v>
      </x:c>
      <x:c r="L281" s="50" t="n">
        <x:v>46065.566041666665</x:v>
      </x:c>
      <x:c r="M281" s="50" t="n">
        <x:v>46065.566041666665</x:v>
      </x:c>
      <x:c r="N281" s="32" t="n">
        <x:f>IF(M281="","",MAX(0,'Resumen'!$B$3-M281))</x:f>
        <x:v>201.43395833333489</x:v>
      </x:c>
      <x:c r="O281" s="38" t="n">
        <x:v>0</x:v>
      </x:c>
      <x:c r="P281" s="38" t="n">
        <x:v>0</x:v>
      </x:c>
      <x:c r="Q281" s="38" t="n">
        <x:v>1</x:v>
      </x:c>
      <x:c r="R281" s="38" t="n">
        <x:f>MIN(D281,I281)</x:f>
        <x:v>1</x:v>
      </x:c>
      <x:c r="S281" s="47" t="n">
        <x:f>IFERROR(R281/D281,0)</x:f>
        <x:v>1</x:v>
      </x:c>
      <x:c r="T281" s="38" t="n">
        <x:f>MIN(MAX(G281,0),MAX(D281-I281,0))</x:f>
        <x:v>0</x:v>
      </x:c>
      <x:c r="U281" s="44" t="n">
        <x:f>T281*E281</x:f>
        <x:v>0</x:v>
      </x:c>
      <x:c r="V281" s="38" t="n">
        <x:v>0</x:v>
      </x:c>
      <x:c r="W281" s="32" t="n">
        <x:v>0</x:v>
      </x:c>
      <x:c r="X281" s="50"/>
      <x:c r="Y281" s="44" t="n">
        <x:v>22000</x:v>
      </x:c>
      <x:c r="Z281" s="44" t="n">
        <x:f>IF(I281&gt;0,R281*(J281/I281),0)</x:f>
        <x:v>20000</x:v>
      </x:c>
      <x:c r="AA281" s="44" t="n">
        <x:f>Z281-(R281*E281)</x:f>
        <x:v>7000</x:v>
      </x:c>
      <x:c r="AB281" s="47" t="n">
        <x:f>IFERROR(AA281/Z281,0)</x:f>
        <x:v>0.35</x:v>
      </x:c>
      <x:c r="AC281" s="32" t="str">
        <x:f>IF(S281=0,"0%",IF(S281&lt;0.5,"1-49%",IF(S281&lt;0.8,"50-79%",IF(S281&lt;1,"80-99%","100%"))))</x:f>
        <x:v>100%</x:v>
      </x:c>
      <x:c r="AD281" s="33" t="str">
        <x:f>IF(G281&lt;0,"Stock negativo",IF(G281&lt;=0,"Sin stock actual",IF(I281&lt;=0,"Sin ventas desde compra",IF(Q281&lt;=0,"Con stock, sin ventas 365d",IF(S281&lt;0.5,"Rotación baja",IF(S281&lt;1,"Rotación media","Compra absorbida; stock repuesto"))))))</x:f>
        <x:v>Sin stock actual</x:v>
      </x:c>
    </x:row>
    <x:row r="282">
      <x:c r="A282" s="31" t="str">
        <x:v>MOTS1252</x:v>
      </x:c>
      <x:c r="B282" s="53" t="str">
        <x:v>PASTILLAS FRENO BWS X DEL JAPAN</x:v>
      </x:c>
      <x:c r="C282" s="32" t="n">
        <x:v>1</x:v>
      </x:c>
      <x:c r="D282" s="38" t="n">
        <x:v>1</x:v>
      </x:c>
      <x:c r="E282" s="44" t="n">
        <x:v>13000</x:v>
      </x:c>
      <x:c r="F282" s="44" t="n">
        <x:v>13000</x:v>
      </x:c>
      <x:c r="G282" s="41" t="n">
        <x:v>0</x:v>
      </x:c>
      <x:c r="H282" s="44" t="n">
        <x:f>MAX(G282,0)*E282</x:f>
        <x:v>0</x:v>
      </x:c>
      <x:c r="I282" s="38" t="n">
        <x:v>1</x:v>
      </x:c>
      <x:c r="J282" s="44" t="n">
        <x:v>22000</x:v>
      </x:c>
      <x:c r="K282" s="32" t="n">
        <x:v>1</x:v>
      </x:c>
      <x:c r="L282" s="50" t="n">
        <x:v>45517.87482638889</x:v>
      </x:c>
      <x:c r="M282" s="50" t="n">
        <x:v>45517.87482638889</x:v>
      </x:c>
      <x:c r="N282" s="32" t="n">
        <x:f>IF(M282="","",MAX(0,'Resumen'!$B$3-M282))</x:f>
        <x:v>749.125173611108</x:v>
      </x:c>
      <x:c r="O282" s="38" t="n">
        <x:v>0</x:v>
      </x:c>
      <x:c r="P282" s="38" t="n">
        <x:v>0</x:v>
      </x:c>
      <x:c r="Q282" s="38" t="n">
        <x:v>0</x:v>
      </x:c>
      <x:c r="R282" s="38" t="n">
        <x:f>MIN(D282,I282)</x:f>
        <x:v>1</x:v>
      </x:c>
      <x:c r="S282" s="47" t="n">
        <x:f>IFERROR(R282/D282,0)</x:f>
        <x:v>1</x:v>
      </x:c>
      <x:c r="T282" s="38" t="n">
        <x:f>MIN(MAX(G282,0),MAX(D282-I282,0))</x:f>
        <x:v>0</x:v>
      </x:c>
      <x:c r="U282" s="44" t="n">
        <x:f>T282*E282</x:f>
        <x:v>0</x:v>
      </x:c>
      <x:c r="V282" s="38" t="n">
        <x:v>0</x:v>
      </x:c>
      <x:c r="W282" s="32" t="n">
        <x:v>0</x:v>
      </x:c>
      <x:c r="X282" s="50"/>
      <x:c r="Y282" s="44" t="n">
        <x:v>22000</x:v>
      </x:c>
      <x:c r="Z282" s="44" t="n">
        <x:f>IF(I282&gt;0,R282*(J282/I282),0)</x:f>
        <x:v>22000</x:v>
      </x:c>
      <x:c r="AA282" s="44" t="n">
        <x:f>Z282-(R282*E282)</x:f>
        <x:v>9000</x:v>
      </x:c>
      <x:c r="AB282" s="47" t="n">
        <x:f>IFERROR(AA282/Z282,0)</x:f>
        <x:v>0.4090909090909091</x:v>
      </x:c>
      <x:c r="AC282" s="32" t="str">
        <x:f>IF(S282=0,"0%",IF(S282&lt;0.5,"1-49%",IF(S282&lt;0.8,"50-79%",IF(S282&lt;1,"80-99%","100%"))))</x:f>
        <x:v>100%</x:v>
      </x:c>
      <x:c r="AD282" s="33" t="str">
        <x:f>IF(G282&lt;0,"Stock negativo",IF(G282&lt;=0,"Sin stock actual",IF(I282&lt;=0,"Sin ventas desde compra",IF(Q282&lt;=0,"Con stock, sin ventas 365d",IF(S282&lt;0.5,"Rotación baja",IF(S282&lt;1,"Rotación media","Compra absorbida; stock repuesto"))))))</x:f>
        <x:v>Sin stock actual</x:v>
      </x:c>
    </x:row>
    <x:row r="283">
      <x:c r="A283" s="31" t="str">
        <x:v>MOTS1315</x:v>
      </x:c>
      <x:c r="B283" s="53" t="str">
        <x:v>BOMBILLO DIRECCIONAL 12V DUNA</x:v>
      </x:c>
      <x:c r="C283" s="32" t="n">
        <x:v>1</x:v>
      </x:c>
      <x:c r="D283" s="38" t="n">
        <x:v>26</x:v>
      </x:c>
      <x:c r="E283" s="44" t="n">
        <x:v>500</x:v>
      </x:c>
      <x:c r="F283" s="44" t="n">
        <x:v>13000</x:v>
      </x:c>
      <x:c r="G283" s="41" t="n">
        <x:v>24</x:v>
      </x:c>
      <x:c r="H283" s="44" t="n">
        <x:f>MAX(G283,0)*E283</x:f>
        <x:v>12000</x:v>
      </x:c>
      <x:c r="I283" s="38" t="n">
        <x:v>2</x:v>
      </x:c>
      <x:c r="J283" s="44" t="n">
        <x:v>2000</x:v>
      </x:c>
      <x:c r="K283" s="32" t="n">
        <x:v>2</x:v>
      </x:c>
      <x:c r="L283" s="50" t="n">
        <x:v>45566.7884375</x:v>
      </x:c>
      <x:c r="M283" s="50" t="n">
        <x:v>45994.861805555556</x:v>
      </x:c>
      <x:c r="N283" s="32" t="n">
        <x:f>IF(M283="","",MAX(0,'Resumen'!$B$3-M283))</x:f>
        <x:v>272.1381944444438</x:v>
      </x:c>
      <x:c r="O283" s="38" t="n">
        <x:v>0</x:v>
      </x:c>
      <x:c r="P283" s="38" t="n">
        <x:v>0</x:v>
      </x:c>
      <x:c r="Q283" s="38" t="n">
        <x:v>1</x:v>
      </x:c>
      <x:c r="R283" s="38" t="n">
        <x:f>MIN(D283,I283)</x:f>
        <x:v>2</x:v>
      </x:c>
      <x:c r="S283" s="47" t="n">
        <x:f>IFERROR(R283/D283,0)</x:f>
        <x:v>0.07692307692307693</x:v>
      </x:c>
      <x:c r="T283" s="38" t="n">
        <x:f>MIN(MAX(G283,0),MAX(D283-I283,0))</x:f>
        <x:v>24</x:v>
      </x:c>
      <x:c r="U283" s="44" t="n">
        <x:f>T283*E283</x:f>
        <x:v>12000</x:v>
      </x:c>
      <x:c r="V283" s="38" t="n">
        <x:v>0</x:v>
      </x:c>
      <x:c r="W283" s="32" t="n">
        <x:v>0</x:v>
      </x:c>
      <x:c r="X283" s="50"/>
      <x:c r="Y283" s="44" t="n">
        <x:v>1000</x:v>
      </x:c>
      <x:c r="Z283" s="44" t="n">
        <x:f>IF(I283&gt;0,R283*(J283/I283),0)</x:f>
        <x:v>2000</x:v>
      </x:c>
      <x:c r="AA283" s="44" t="n">
        <x:f>Z283-(R283*E283)</x:f>
        <x:v>1000</x:v>
      </x:c>
      <x:c r="AB283" s="47" t="n">
        <x:f>IFERROR(AA283/Z283,0)</x:f>
        <x:v>0.5</x:v>
      </x:c>
      <x:c r="AC283" s="32" t="str">
        <x:f>IF(S283=0,"0%",IF(S283&lt;0.5,"1-49%",IF(S283&lt;0.8,"50-79%",IF(S283&lt;1,"80-99%","100%"))))</x:f>
        <x:v>1-49%</x:v>
      </x:c>
      <x:c r="AD283" s="33" t="str">
        <x:f>IF(G283&lt;0,"Stock negativo",IF(G283&lt;=0,"Sin stock actual",IF(I283&lt;=0,"Sin ventas desde compra",IF(Q283&lt;=0,"Con stock, sin ventas 365d",IF(S283&lt;0.5,"Rotación baja",IF(S283&lt;1,"Rotación media","Compra absorbida; stock repuesto"))))))</x:f>
        <x:v>Rotación baja</x:v>
      </x:c>
    </x:row>
    <x:row r="284">
      <x:c r="A284" s="31" t="str">
        <x:v>TAP-004</x:v>
      </x:c>
      <x:c r="B284" s="53" t="str">
        <x:v>TAPON CARTER # 10</x:v>
      </x:c>
      <x:c r="C284" s="32" t="n">
        <x:v>1</x:v>
      </x:c>
      <x:c r="D284" s="38" t="n">
        <x:v>10</x:v>
      </x:c>
      <x:c r="E284" s="44" t="n">
        <x:v>1300</x:v>
      </x:c>
      <x:c r="F284" s="44" t="n">
        <x:v>13000</x:v>
      </x:c>
      <x:c r="G284" s="41" t="n">
        <x:v>9</x:v>
      </x:c>
      <x:c r="H284" s="44" t="n">
        <x:f>MAX(G284,0)*E284</x:f>
        <x:v>11700</x:v>
      </x:c>
      <x:c r="I284" s="38" t="n">
        <x:v>1</x:v>
      </x:c>
      <x:c r="J284" s="44" t="n">
        <x:v>2500</x:v>
      </x:c>
      <x:c r="K284" s="32" t="n">
        <x:v>1</x:v>
      </x:c>
      <x:c r="L284" s="50" t="n">
        <x:v>46109.5643287037</x:v>
      </x:c>
      <x:c r="M284" s="50" t="n">
        <x:v>46109.5643287037</x:v>
      </x:c>
      <x:c r="N284" s="32" t="n">
        <x:f>IF(M284="","",MAX(0,'Resumen'!$B$3-M284))</x:f>
        <x:v>157.4356712962981</x:v>
      </x:c>
      <x:c r="O284" s="38" t="n">
        <x:v>0</x:v>
      </x:c>
      <x:c r="P284" s="38" t="n">
        <x:v>0</x:v>
      </x:c>
      <x:c r="Q284" s="38" t="n">
        <x:v>1</x:v>
      </x:c>
      <x:c r="R284" s="38" t="n">
        <x:f>MIN(D284,I284)</x:f>
        <x:v>1</x:v>
      </x:c>
      <x:c r="S284" s="47" t="n">
        <x:f>IFERROR(R284/D284,0)</x:f>
        <x:v>0.1</x:v>
      </x:c>
      <x:c r="T284" s="38" t="n">
        <x:f>MIN(MAX(G284,0),MAX(D284-I284,0))</x:f>
        <x:v>9</x:v>
      </x:c>
      <x:c r="U284" s="44" t="n">
        <x:f>T284*E284</x:f>
        <x:v>11700</x:v>
      </x:c>
      <x:c r="V284" s="38" t="n">
        <x:v>0</x:v>
      </x:c>
      <x:c r="W284" s="32" t="n">
        <x:v>0</x:v>
      </x:c>
      <x:c r="X284" s="50"/>
      <x:c r="Y284" s="44" t="n">
        <x:v>2500</x:v>
      </x:c>
      <x:c r="Z284" s="44" t="n">
        <x:f>IF(I284&gt;0,R284*(J284/I284),0)</x:f>
        <x:v>2500</x:v>
      </x:c>
      <x:c r="AA284" s="44" t="n">
        <x:f>Z284-(R284*E284)</x:f>
        <x:v>1200</x:v>
      </x:c>
      <x:c r="AB284" s="47" t="n">
        <x:f>IFERROR(AA284/Z284,0)</x:f>
        <x:v>0.48</x:v>
      </x:c>
      <x:c r="AC284" s="32" t="str">
        <x:f>IF(S284=0,"0%",IF(S284&lt;0.5,"1-49%",IF(S284&lt;0.8,"50-79%",IF(S284&lt;1,"80-99%","100%"))))</x:f>
        <x:v>1-49%</x:v>
      </x:c>
      <x:c r="AD284" s="33" t="str">
        <x:f>IF(G284&lt;0,"Stock negativo",IF(G284&lt;=0,"Sin stock actual",IF(I284&lt;=0,"Sin ventas desde compra",IF(Q284&lt;=0,"Con stock, sin ventas 365d",IF(S284&lt;0.5,"Rotación baja",IF(S284&lt;1,"Rotación media","Compra absorbida; stock repuesto"))))))</x:f>
        <x:v>Rotación baja</x:v>
      </x:c>
    </x:row>
    <x:row r="285">
      <x:c r="A285" s="31" t="str">
        <x:v>TOR - 4369</x:v>
      </x:c>
      <x:c r="B285" s="53" t="str">
        <x:v>TORNILLO BRISTOL 8 X70 TORNIFRENOS</x:v>
      </x:c>
      <x:c r="C285" s="32" t="n">
        <x:v>1</x:v>
      </x:c>
      <x:c r="D285" s="38" t="n">
        <x:v>16</x:v>
      </x:c>
      <x:c r="E285" s="44" t="n">
        <x:v>791</x:v>
      </x:c>
      <x:c r="F285" s="44" t="n">
        <x:v>12656</x:v>
      </x:c>
      <x:c r="G285" s="41" t="n">
        <x:v>15</x:v>
      </x:c>
      <x:c r="H285" s="44" t="n">
        <x:f>MAX(G285,0)*E285</x:f>
        <x:v>11865</x:v>
      </x:c>
      <x:c r="I285" s="38" t="n">
        <x:v>1</x:v>
      </x:c>
      <x:c r="J285" s="44" t="n">
        <x:v>1500</x:v>
      </x:c>
      <x:c r="K285" s="32" t="n">
        <x:v>1</x:v>
      </x:c>
      <x:c r="L285" s="50" t="n">
        <x:v>45681.83741898148</x:v>
      </x:c>
      <x:c r="M285" s="50" t="n">
        <x:v>45681.83741898148</x:v>
      </x:c>
      <x:c r="N285" s="32" t="n">
        <x:f>IF(M285="","",MAX(0,'Resumen'!$B$3-M285))</x:f>
        <x:v>585.1625810185215</x:v>
      </x:c>
      <x:c r="O285" s="38" t="n">
        <x:v>0</x:v>
      </x:c>
      <x:c r="P285" s="38" t="n">
        <x:v>0</x:v>
      </x:c>
      <x:c r="Q285" s="38" t="n">
        <x:v>0</x:v>
      </x:c>
      <x:c r="R285" s="38" t="n">
        <x:f>MIN(D285,I285)</x:f>
        <x:v>1</x:v>
      </x:c>
      <x:c r="S285" s="47" t="n">
        <x:f>IFERROR(R285/D285,0)</x:f>
        <x:v>0.0625</x:v>
      </x:c>
      <x:c r="T285" s="38" t="n">
        <x:f>MIN(MAX(G285,0),MAX(D285-I285,0))</x:f>
        <x:v>15</x:v>
      </x:c>
      <x:c r="U285" s="44" t="n">
        <x:f>T285*E285</x:f>
        <x:v>11865</x:v>
      </x:c>
      <x:c r="V285" s="38" t="n">
        <x:v>0</x:v>
      </x:c>
      <x:c r="W285" s="32" t="n">
        <x:v>0</x:v>
      </x:c>
      <x:c r="X285" s="50"/>
      <x:c r="Y285" s="44" t="n">
        <x:v>1500</x:v>
      </x:c>
      <x:c r="Z285" s="44" t="n">
        <x:f>IF(I285&gt;0,R285*(J285/I285),0)</x:f>
        <x:v>1500</x:v>
      </x:c>
      <x:c r="AA285" s="44" t="n">
        <x:f>Z285-(R285*E285)</x:f>
        <x:v>709</x:v>
      </x:c>
      <x:c r="AB285" s="47" t="n">
        <x:f>IFERROR(AA285/Z285,0)</x:f>
        <x:v>0.4726666666666667</x:v>
      </x:c>
      <x:c r="AC285" s="32" t="str">
        <x:f>IF(S285=0,"0%",IF(S285&lt;0.5,"1-49%",IF(S285&lt;0.8,"50-79%",IF(S285&lt;1,"80-99%","100%"))))</x:f>
        <x:v>1-49%</x:v>
      </x:c>
      <x:c r="AD285" s="33" t="str">
        <x:f>IF(G285&lt;0,"Stock negativo",IF(G285&lt;=0,"Sin stock actual",IF(I285&lt;=0,"Sin ventas desde compra",IF(Q285&lt;=0,"Con stock, sin ventas 365d",IF(S285&lt;0.5,"Rotación baja",IF(S285&lt;1,"Rotación media","Compra absorbida; stock repuesto"))))))</x:f>
        <x:v>Con stock, sin ventas 365d</x:v>
      </x:c>
    </x:row>
    <x:row r="286">
      <x:c r="A286" s="31" t="str">
        <x:v>51667</x:v>
      </x:c>
      <x:c r="B286" s="53" t="str">
        <x:v>NEUMATICO 110/30-17 REEPARTS</x:v>
      </x:c>
      <x:c r="C286" s="32" t="n">
        <x:v>1</x:v>
      </x:c>
      <x:c r="D286" s="38" t="n">
        <x:v>1</x:v>
      </x:c>
      <x:c r="E286" s="44" t="n">
        <x:v>12600</x:v>
      </x:c>
      <x:c r="F286" s="44" t="n">
        <x:v>12600</x:v>
      </x:c>
      <x:c r="G286" s="41" t="n">
        <x:v>5</x:v>
      </x:c>
      <x:c r="H286" s="44" t="n">
        <x:f>MAX(G286,0)*E286</x:f>
        <x:v>63000</x:v>
      </x:c>
      <x:c r="I286" s="38" t="n">
        <x:v>9</x:v>
      </x:c>
      <x:c r="J286" s="44" t="n">
        <x:v>189300</x:v>
      </x:c>
      <x:c r="K286" s="32" t="n">
        <x:v>9</x:v>
      </x:c>
      <x:c r="L286" s="50" t="n">
        <x:v>45807.87982638889</x:v>
      </x:c>
      <x:c r="M286" s="50" t="n">
        <x:v>46156.60103009259</x:v>
      </x:c>
      <x:c r="N286" s="32" t="n">
        <x:f>IF(M286="","",MAX(0,'Resumen'!$B$3-M286))</x:f>
        <x:v>110.39896990740817</x:v>
      </x:c>
      <x:c r="O286" s="38" t="n">
        <x:v>0</x:v>
      </x:c>
      <x:c r="P286" s="38" t="n">
        <x:v>0</x:v>
      </x:c>
      <x:c r="Q286" s="38" t="n">
        <x:v>6</x:v>
      </x:c>
      <x:c r="R286" s="38" t="n">
        <x:f>MIN(D286,I286)</x:f>
        <x:v>1</x:v>
      </x:c>
      <x:c r="S286" s="47" t="n">
        <x:f>IFERROR(R286/D286,0)</x:f>
        <x:v>1</x:v>
      </x:c>
      <x:c r="T286" s="38" t="n">
        <x:f>MIN(MAX(G286,0),MAX(D286-I286,0))</x:f>
        <x:v>0</x:v>
      </x:c>
      <x:c r="U286" s="44" t="n">
        <x:f>T286*E286</x:f>
        <x:v>0</x:v>
      </x:c>
      <x:c r="V286" s="38" t="n">
        <x:v>13</x:v>
      </x:c>
      <x:c r="W286" s="32" t="n">
        <x:v>3</x:v>
      </x:c>
      <x:c r="X286" s="50" t="n">
        <x:v>46053</x:v>
      </x:c>
      <x:c r="Y286" s="44" t="n">
        <x:v>23300</x:v>
      </x:c>
      <x:c r="Z286" s="44" t="n">
        <x:f>IF(I286&gt;0,R286*(J286/I286),0)</x:f>
        <x:v>21033.333333333332</x:v>
      </x:c>
      <x:c r="AA286" s="44" t="n">
        <x:f>Z286-(R286*E286)</x:f>
        <x:v>8433.333333333332</x:v>
      </x:c>
      <x:c r="AB286" s="47" t="n">
        <x:f>IFERROR(AA286/Z286,0)</x:f>
        <x:v>0.4009508716323296</x:v>
      </x:c>
      <x:c r="AC286" s="32" t="str">
        <x:f>IF(S286=0,"0%",IF(S286&lt;0.5,"1-49%",IF(S286&lt;0.8,"50-79%",IF(S286&lt;1,"80-99%","100%"))))</x:f>
        <x:v>100%</x:v>
      </x:c>
      <x:c r="AD286" s="33" t="str">
        <x:f>IF(G286&lt;0,"Stock negativo",IF(G286&lt;=0,"Sin stock actual",IF(I286&lt;=0,"Sin ventas desde compra",IF(Q286&lt;=0,"Con stock, sin ventas 365d",IF(S286&lt;0.5,"Rotación baja",IF(S286&lt;1,"Rotación media","Compra absorbida; stock repuesto"))))))</x:f>
        <x:v>Compra absorbida; stock repuesto</x:v>
      </x:c>
    </x:row>
    <x:row r="287">
      <x:c r="A287" s="31" t="str">
        <x:v>MOTS1220</x:v>
      </x:c>
      <x:c r="B287" s="53" t="str">
        <x:v>BALINERA 6201 2RS GX MOTOR</x:v>
      </x:c>
      <x:c r="C287" s="32" t="n">
        <x:v>1</x:v>
      </x:c>
      <x:c r="D287" s="38" t="n">
        <x:v>3</x:v>
      </x:c>
      <x:c r="E287" s="44" t="n">
        <x:v>4200</x:v>
      </x:c>
      <x:c r="F287" s="44" t="n">
        <x:v>12600</x:v>
      </x:c>
      <x:c r="G287" s="41" t="n">
        <x:v>0</x:v>
      </x:c>
      <x:c r="H287" s="44" t="n">
        <x:f>MAX(G287,0)*E287</x:f>
        <x:v>0</x:v>
      </x:c>
      <x:c r="I287" s="38" t="n">
        <x:v>3</x:v>
      </x:c>
      <x:c r="J287" s="44" t="n">
        <x:v>21000</x:v>
      </x:c>
      <x:c r="K287" s="32" t="n">
        <x:v>3</x:v>
      </x:c>
      <x:c r="L287" s="50" t="n">
        <x:v>45543.70805555556</x:v>
      </x:c>
      <x:c r="M287" s="50" t="n">
        <x:v>45659.657164351855</x:v>
      </x:c>
      <x:c r="N287" s="32" t="n">
        <x:f>IF(M287="","",MAX(0,'Resumen'!$B$3-M287))</x:f>
        <x:v>607.3428356481454</x:v>
      </x:c>
      <x:c r="O287" s="38" t="n">
        <x:v>0</x:v>
      </x:c>
      <x:c r="P287" s="38" t="n">
        <x:v>0</x:v>
      </x:c>
      <x:c r="Q287" s="38" t="n">
        <x:v>0</x:v>
      </x:c>
      <x:c r="R287" s="38" t="n">
        <x:f>MIN(D287,I287)</x:f>
        <x:v>3</x:v>
      </x:c>
      <x:c r="S287" s="47" t="n">
        <x:f>IFERROR(R287/D287,0)</x:f>
        <x:v>1</x:v>
      </x:c>
      <x:c r="T287" s="38" t="n">
        <x:f>MIN(MAX(G287,0),MAX(D287-I287,0))</x:f>
        <x:v>0</x:v>
      </x:c>
      <x:c r="U287" s="44" t="n">
        <x:f>T287*E287</x:f>
        <x:v>0</x:v>
      </x:c>
      <x:c r="V287" s="38" t="n">
        <x:v>0</x:v>
      </x:c>
      <x:c r="W287" s="32" t="n">
        <x:v>0</x:v>
      </x:c>
      <x:c r="X287" s="50"/>
      <x:c r="Y287" s="44" t="n">
        <x:v>7000</x:v>
      </x:c>
      <x:c r="Z287" s="44" t="n">
        <x:f>IF(I287&gt;0,R287*(J287/I287),0)</x:f>
        <x:v>21000</x:v>
      </x:c>
      <x:c r="AA287" s="44" t="n">
        <x:f>Z287-(R287*E287)</x:f>
        <x:v>8400</x:v>
      </x:c>
      <x:c r="AB287" s="47" t="n">
        <x:f>IFERROR(AA287/Z287,0)</x:f>
        <x:v>0.4</x:v>
      </x:c>
      <x:c r="AC287" s="32" t="str">
        <x:f>IF(S287=0,"0%",IF(S287&lt;0.5,"1-49%",IF(S287&lt;0.8,"50-79%",IF(S287&lt;1,"80-99%","100%"))))</x:f>
        <x:v>100%</x:v>
      </x:c>
      <x:c r="AD287" s="33" t="str">
        <x:f>IF(G287&lt;0,"Stock negativo",IF(G287&lt;=0,"Sin stock actual",IF(I287&lt;=0,"Sin ventas desde compra",IF(Q287&lt;=0,"Con stock, sin ventas 365d",IF(S287&lt;0.5,"Rotación baja",IF(S287&lt;1,"Rotación media","Compra absorbida; stock repuesto"))))))</x:f>
        <x:v>Sin stock actual</x:v>
      </x:c>
    </x:row>
    <x:row r="288">
      <x:c r="A288" s="31" t="str">
        <x:v>AOEU67799</x:v>
      </x:c>
      <x:c r="B288" s="53" t="str">
        <x:v>PORTA FUSIBLE UNIVERSAL VAOX</x:v>
      </x:c>
      <x:c r="C288" s="32" t="n">
        <x:v>1</x:v>
      </x:c>
      <x:c r="D288" s="38" t="n">
        <x:v>5</x:v>
      </x:c>
      <x:c r="E288" s="44" t="n">
        <x:v>2500</x:v>
      </x:c>
      <x:c r="F288" s="44" t="n">
        <x:v>12500</x:v>
      </x:c>
      <x:c r="G288" s="41" t="n">
        <x:v>0</x:v>
      </x:c>
      <x:c r="H288" s="44" t="n">
        <x:f>MAX(G288,0)*E288</x:f>
        <x:v>0</x:v>
      </x:c>
      <x:c r="I288" s="38" t="n">
        <x:v>5</x:v>
      </x:c>
      <x:c r="J288" s="44" t="n">
        <x:v>22500</x:v>
      </x:c>
      <x:c r="K288" s="32" t="n">
        <x:v>4</x:v>
      </x:c>
      <x:c r="L288" s="50" t="n">
        <x:v>45602.57146990741</x:v>
      </x:c>
      <x:c r="M288" s="50" t="n">
        <x:v>45728.801932870374</x:v>
      </x:c>
      <x:c r="N288" s="32" t="n">
        <x:f>IF(M288="","",MAX(0,'Resumen'!$B$3-M288))</x:f>
        <x:v>538.198067129626</x:v>
      </x:c>
      <x:c r="O288" s="38" t="n">
        <x:v>0</x:v>
      </x:c>
      <x:c r="P288" s="38" t="n">
        <x:v>0</x:v>
      </x:c>
      <x:c r="Q288" s="38" t="n">
        <x:v>0</x:v>
      </x:c>
      <x:c r="R288" s="38" t="n">
        <x:f>MIN(D288,I288)</x:f>
        <x:v>5</x:v>
      </x:c>
      <x:c r="S288" s="47" t="n">
        <x:f>IFERROR(R288/D288,0)</x:f>
        <x:v>1</x:v>
      </x:c>
      <x:c r="T288" s="38" t="n">
        <x:f>MIN(MAX(G288,0),MAX(D288-I288,0))</x:f>
        <x:v>0</x:v>
      </x:c>
      <x:c r="U288" s="44" t="n">
        <x:f>T288*E288</x:f>
        <x:v>0</x:v>
      </x:c>
      <x:c r="V288" s="38" t="n">
        <x:v>0</x:v>
      </x:c>
      <x:c r="W288" s="32" t="n">
        <x:v>0</x:v>
      </x:c>
      <x:c r="X288" s="50"/>
      <x:c r="Y288" s="44" t="n">
        <x:v>4500</x:v>
      </x:c>
      <x:c r="Z288" s="44" t="n">
        <x:f>IF(I288&gt;0,R288*(J288/I288),0)</x:f>
        <x:v>22500</x:v>
      </x:c>
      <x:c r="AA288" s="44" t="n">
        <x:f>Z288-(R288*E288)</x:f>
        <x:v>10000</x:v>
      </x:c>
      <x:c r="AB288" s="47" t="n">
        <x:f>IFERROR(AA288/Z288,0)</x:f>
        <x:v>0.4444444444444444</x:v>
      </x:c>
      <x:c r="AC288" s="32" t="str">
        <x:f>IF(S288=0,"0%",IF(S288&lt;0.5,"1-49%",IF(S288&lt;0.8,"50-79%",IF(S288&lt;1,"80-99%","100%"))))</x:f>
        <x:v>100%</x:v>
      </x:c>
      <x:c r="AD288" s="33" t="str">
        <x:f>IF(G288&lt;0,"Stock negativo",IF(G288&lt;=0,"Sin stock actual",IF(I288&lt;=0,"Sin ventas desde compra",IF(Q288&lt;=0,"Con stock, sin ventas 365d",IF(S288&lt;0.5,"Rotación baja",IF(S288&lt;1,"Rotación media","Compra absorbida; stock repuesto"))))))</x:f>
        <x:v>Sin stock actual</x:v>
      </x:c>
    </x:row>
    <x:row r="289">
      <x:c r="A289" s="31" t="str">
        <x:v>MOTS1247</x:v>
      </x:c>
      <x:c r="B289" s="53" t="str">
        <x:v>PASTILLA FRENO BWS FI DEJ OPP</x:v>
      </x:c>
      <x:c r="C289" s="32" t="n">
        <x:v>1</x:v>
      </x:c>
      <x:c r="D289" s="38" t="n">
        <x:v>1</x:v>
      </x:c>
      <x:c r="E289" s="44" t="n">
        <x:v>12500</x:v>
      </x:c>
      <x:c r="F289" s="44" t="n">
        <x:v>12500</x:v>
      </x:c>
      <x:c r="G289" s="41" t="n">
        <x:v>-1</x:v>
      </x:c>
      <x:c r="H289" s="44" t="n">
        <x:f>MAX(G289,0)*E289</x:f>
        <x:v>0</x:v>
      </x:c>
      <x:c r="I289" s="38" t="n">
        <x:v>2</x:v>
      </x:c>
      <x:c r="J289" s="44" t="n">
        <x:v>37000</x:v>
      </x:c>
      <x:c r="K289" s="32" t="n">
        <x:v>2</x:v>
      </x:c>
      <x:c r="L289" s="50" t="n">
        <x:v>45540.88712962963</x:v>
      </x:c>
      <x:c r="M289" s="50" t="n">
        <x:v>45664.63412037037</x:v>
      </x:c>
      <x:c r="N289" s="32" t="n">
        <x:f>IF(M289="","",MAX(0,'Resumen'!$B$3-M289))</x:f>
        <x:v>602.3658796296295</x:v>
      </x:c>
      <x:c r="O289" s="38" t="n">
        <x:v>0</x:v>
      </x:c>
      <x:c r="P289" s="38" t="n">
        <x:v>0</x:v>
      </x:c>
      <x:c r="Q289" s="38" t="n">
        <x:v>0</x:v>
      </x:c>
      <x:c r="R289" s="38" t="n">
        <x:f>MIN(D289,I289)</x:f>
        <x:v>1</x:v>
      </x:c>
      <x:c r="S289" s="47" t="n">
        <x:f>IFERROR(R289/D289,0)</x:f>
        <x:v>1</x:v>
      </x:c>
      <x:c r="T289" s="38" t="n">
        <x:f>MIN(MAX(G289,0),MAX(D289-I289,0))</x:f>
        <x:v>0</x:v>
      </x:c>
      <x:c r="U289" s="44" t="n">
        <x:f>T289*E289</x:f>
        <x:v>0</x:v>
      </x:c>
      <x:c r="V289" s="38" t="n">
        <x:v>0</x:v>
      </x:c>
      <x:c r="W289" s="32" t="n">
        <x:v>0</x:v>
      </x:c>
      <x:c r="X289" s="50"/>
      <x:c r="Y289" s="44" t="n">
        <x:v>21000</x:v>
      </x:c>
      <x:c r="Z289" s="44" t="n">
        <x:f>IF(I289&gt;0,R289*(J289/I289),0)</x:f>
        <x:v>18500</x:v>
      </x:c>
      <x:c r="AA289" s="44" t="n">
        <x:f>Z289-(R289*E289)</x:f>
        <x:v>6000</x:v>
      </x:c>
      <x:c r="AB289" s="47" t="n">
        <x:f>IFERROR(AA289/Z289,0)</x:f>
        <x:v>0.32432432432432434</x:v>
      </x:c>
      <x:c r="AC289" s="32" t="str">
        <x:f>IF(S289=0,"0%",IF(S289&lt;0.5,"1-49%",IF(S289&lt;0.8,"50-79%",IF(S289&lt;1,"80-99%","100%"))))</x:f>
        <x:v>100%</x:v>
      </x:c>
      <x:c r="AD289" s="33" t="str">
        <x:f>IF(G289&lt;0,"Stock negativo",IF(G289&lt;=0,"Sin stock actual",IF(I289&lt;=0,"Sin ventas desde compra",IF(Q289&lt;=0,"Con stock, sin ventas 365d",IF(S289&lt;0.5,"Rotación baja",IF(S289&lt;1,"Rotación media","Compra absorbida; stock repuesto"))))))</x:f>
        <x:v>Stock negativo</x:v>
      </x:c>
    </x:row>
    <x:row r="290">
      <x:c r="A290" s="31" t="str">
        <x:v>17158</x:v>
      </x:c>
      <x:c r="B290" s="53" t="str">
        <x:v>GUAYA ACELERADOR CB 110 MOTOTEC</x:v>
      </x:c>
      <x:c r="C290" s="32" t="n">
        <x:v>1</x:v>
      </x:c>
      <x:c r="D290" s="38" t="n">
        <x:v>2</x:v>
      </x:c>
      <x:c r="E290" s="44" t="n">
        <x:v>6000</x:v>
      </x:c>
      <x:c r="F290" s="44" t="n">
        <x:v>12000</x:v>
      </x:c>
      <x:c r="G290" s="41" t="n">
        <x:v>1</x:v>
      </x:c>
      <x:c r="H290" s="44" t="n">
        <x:f>MAX(G290,0)*E290</x:f>
        <x:v>6000</x:v>
      </x:c>
      <x:c r="I290" s="38" t="n">
        <x:v>1</x:v>
      </x:c>
      <x:c r="J290" s="44" t="n">
        <x:v>10000</x:v>
      </x:c>
      <x:c r="K290" s="32" t="n">
        <x:v>1</x:v>
      </x:c>
      <x:c r="L290" s="50" t="n">
        <x:v>45614.53251157407</x:v>
      </x:c>
      <x:c r="M290" s="50" t="n">
        <x:v>45614.53251157407</x:v>
      </x:c>
      <x:c r="N290" s="32" t="n">
        <x:f>IF(M290="","",MAX(0,'Resumen'!$B$3-M290))</x:f>
        <x:v>652.4674884259293</x:v>
      </x:c>
      <x:c r="O290" s="38" t="n">
        <x:v>0</x:v>
      </x:c>
      <x:c r="P290" s="38" t="n">
        <x:v>0</x:v>
      </x:c>
      <x:c r="Q290" s="38" t="n">
        <x:v>0</x:v>
      </x:c>
      <x:c r="R290" s="38" t="n">
        <x:f>MIN(D290,I290)</x:f>
        <x:v>1</x:v>
      </x:c>
      <x:c r="S290" s="47" t="n">
        <x:f>IFERROR(R290/D290,0)</x:f>
        <x:v>0.5</x:v>
      </x:c>
      <x:c r="T290" s="38" t="n">
        <x:f>MIN(MAX(G290,0),MAX(D290-I290,0))</x:f>
        <x:v>1</x:v>
      </x:c>
      <x:c r="U290" s="44" t="n">
        <x:f>T290*E290</x:f>
        <x:v>6000</x:v>
      </x:c>
      <x:c r="V290" s="38" t="n">
        <x:v>0</x:v>
      </x:c>
      <x:c r="W290" s="32" t="n">
        <x:v>0</x:v>
      </x:c>
      <x:c r="X290" s="50"/>
      <x:c r="Y290" s="44" t="n">
        <x:v>10000</x:v>
      </x:c>
      <x:c r="Z290" s="44" t="n">
        <x:f>IF(I290&gt;0,R290*(J290/I290),0)</x:f>
        <x:v>10000</x:v>
      </x:c>
      <x:c r="AA290" s="44" t="n">
        <x:f>Z290-(R290*E290)</x:f>
        <x:v>4000</x:v>
      </x:c>
      <x:c r="AB290" s="47" t="n">
        <x:f>IFERROR(AA290/Z290,0)</x:f>
        <x:v>0.4</x:v>
      </x:c>
      <x:c r="AC290" s="32" t="str">
        <x:f>IF(S290=0,"0%",IF(S290&lt;0.5,"1-49%",IF(S290&lt;0.8,"50-79%",IF(S290&lt;1,"80-99%","100%"))))</x:f>
        <x:v>50-79%</x:v>
      </x:c>
      <x:c r="AD290" s="33" t="str">
        <x:f>IF(G290&lt;0,"Stock negativo",IF(G290&lt;=0,"Sin stock actual",IF(I290&lt;=0,"Sin ventas desde compra",IF(Q290&lt;=0,"Con stock, sin ventas 365d",IF(S290&lt;0.5,"Rotación baja",IF(S290&lt;1,"Rotación media","Compra absorbida; stock repuesto"))))))</x:f>
        <x:v>Con stock, sin ventas 365d</x:v>
      </x:c>
    </x:row>
    <x:row r="291">
      <x:c r="A291" s="31" t="str">
        <x:v>DA2300</x:v>
      </x:c>
      <x:c r="B291" s="53" t="str">
        <x:v>GUAYA ACELERADOR PULSAR 200 NS SUPRAPARTS</x:v>
      </x:c>
      <x:c r="C291" s="32" t="n">
        <x:v>1</x:v>
      </x:c>
      <x:c r="D291" s="38" t="n">
        <x:v>1</x:v>
      </x:c>
      <x:c r="E291" s="44" t="n">
        <x:v>12000</x:v>
      </x:c>
      <x:c r="F291" s="44" t="n">
        <x:v>12000</x:v>
      </x:c>
      <x:c r="G291" s="41" t="n">
        <x:v>0</x:v>
      </x:c>
      <x:c r="H291" s="44" t="n">
        <x:f>MAX(G291,0)*E291</x:f>
        <x:v>0</x:v>
      </x:c>
      <x:c r="I291" s="38" t="n">
        <x:v>1</x:v>
      </x:c>
      <x:c r="J291" s="44" t="n">
        <x:v>20000</x:v>
      </x:c>
      <x:c r="K291" s="32" t="n">
        <x:v>1</x:v>
      </x:c>
      <x:c r="L291" s="50" t="n">
        <x:v>45530.551157407404</x:v>
      </x:c>
      <x:c r="M291" s="50" t="n">
        <x:v>45530.551157407404</x:v>
      </x:c>
      <x:c r="N291" s="32" t="n">
        <x:f>IF(M291="","",MAX(0,'Resumen'!$B$3-M291))</x:f>
        <x:v>736.4488425925956</x:v>
      </x:c>
      <x:c r="O291" s="38" t="n">
        <x:v>0</x:v>
      </x:c>
      <x:c r="P291" s="38" t="n">
        <x:v>0</x:v>
      </x:c>
      <x:c r="Q291" s="38" t="n">
        <x:v>0</x:v>
      </x:c>
      <x:c r="R291" s="38" t="n">
        <x:f>MIN(D291,I291)</x:f>
        <x:v>1</x:v>
      </x:c>
      <x:c r="S291" s="47" t="n">
        <x:f>IFERROR(R291/D291,0)</x:f>
        <x:v>1</x:v>
      </x:c>
      <x:c r="T291" s="38" t="n">
        <x:f>MIN(MAX(G291,0),MAX(D291-I291,0))</x:f>
        <x:v>0</x:v>
      </x:c>
      <x:c r="U291" s="44" t="n">
        <x:f>T291*E291</x:f>
        <x:v>0</x:v>
      </x:c>
      <x:c r="V291" s="38" t="n">
        <x:v>0</x:v>
      </x:c>
      <x:c r="W291" s="32" t="n">
        <x:v>0</x:v>
      </x:c>
      <x:c r="X291" s="50"/>
      <x:c r="Y291" s="44" t="n">
        <x:v>20000</x:v>
      </x:c>
      <x:c r="Z291" s="44" t="n">
        <x:f>IF(I291&gt;0,R291*(J291/I291),0)</x:f>
        <x:v>20000</x:v>
      </x:c>
      <x:c r="AA291" s="44" t="n">
        <x:f>Z291-(R291*E291)</x:f>
        <x:v>8000</x:v>
      </x:c>
      <x:c r="AB291" s="47" t="n">
        <x:f>IFERROR(AA291/Z291,0)</x:f>
        <x:v>0.4</x:v>
      </x:c>
      <x:c r="AC291" s="32" t="str">
        <x:f>IF(S291=0,"0%",IF(S291&lt;0.5,"1-49%",IF(S291&lt;0.8,"50-79%",IF(S291&lt;1,"80-99%","100%"))))</x:f>
        <x:v>100%</x:v>
      </x:c>
      <x:c r="AD291" s="33" t="str">
        <x:f>IF(G291&lt;0,"Stock negativo",IF(G291&lt;=0,"Sin stock actual",IF(I291&lt;=0,"Sin ventas desde compra",IF(Q291&lt;=0,"Con stock, sin ventas 365d",IF(S291&lt;0.5,"Rotación baja",IF(S291&lt;1,"Rotación media","Compra absorbida; stock repuesto"))))))</x:f>
        <x:v>Sin stock actual</x:v>
      </x:c>
    </x:row>
    <x:row r="292">
      <x:c r="A292" s="31" t="str">
        <x:v>FIL - 001018</x:v>
      </x:c>
      <x:c r="B292" s="53" t="str">
        <x:v>FILTRO AIRE ECO DELUXE GRAYONES FILTROS</x:v>
      </x:c>
      <x:c r="C292" s="32" t="n">
        <x:v>1</x:v>
      </x:c>
      <x:c r="D292" s="38" t="n">
        <x:v>3</x:v>
      </x:c>
      <x:c r="E292" s="44" t="n">
        <x:v>4000</x:v>
      </x:c>
      <x:c r="F292" s="44" t="n">
        <x:v>12000</x:v>
      </x:c>
      <x:c r="G292" s="41" t="n">
        <x:v>3</x:v>
      </x:c>
      <x:c r="H292" s="44" t="n">
        <x:f>MAX(G292,0)*E292</x:f>
        <x:v>12000</x:v>
      </x:c>
      <x:c r="I292" s="38" t="n">
        <x:v>0</x:v>
      </x:c>
      <x:c r="J292" s="44" t="n">
        <x:v>0</x:v>
      </x:c>
      <x:c r="K292" s="32" t="n">
        <x:v>0</x:v>
      </x:c>
      <x:c r="L292" s="50"/>
      <x:c r="M292" s="50"/>
      <x:c r="N292" s="32" t="str">
        <x:f>IF(M292="","",MAX(0,'Resumen'!$B$3-M292))</x:f>
      </x:c>
      <x:c r="O292" s="38" t="n">
        <x:v>0</x:v>
      </x:c>
      <x:c r="P292" s="38" t="n">
        <x:v>0</x:v>
      </x:c>
      <x:c r="Q292" s="38" t="n">
        <x:v>0</x:v>
      </x:c>
      <x:c r="R292" s="38" t="n">
        <x:f>MIN(D292,I292)</x:f>
        <x:v>0</x:v>
      </x:c>
      <x:c r="S292" s="47" t="n">
        <x:f>IFERROR(R292/D292,0)</x:f>
        <x:v>0</x:v>
      </x:c>
      <x:c r="T292" s="38" t="n">
        <x:f>MIN(MAX(G292,0),MAX(D292-I292,0))</x:f>
        <x:v>3</x:v>
      </x:c>
      <x:c r="U292" s="44" t="n">
        <x:f>T292*E292</x:f>
        <x:v>12000</x:v>
      </x:c>
      <x:c r="V292" s="38" t="n">
        <x:v>0</x:v>
      </x:c>
      <x:c r="W292" s="32" t="n">
        <x:v>0</x:v>
      </x:c>
      <x:c r="X292" s="50"/>
      <x:c r="Y292" s="44" t="n">
        <x:v>7000</x:v>
      </x:c>
      <x:c r="Z292" s="44" t="n">
        <x:f>IF(I292&gt;0,R292*(J292/I292),0)</x:f>
        <x:v>0</x:v>
      </x:c>
      <x:c r="AA292" s="44" t="n">
        <x:f>Z292-(R292*E292)</x:f>
        <x:v>0</x:v>
      </x:c>
      <x:c r="AB292" s="47" t="n">
        <x:f>IFERROR(AA292/Z292,0)</x:f>
        <x:v>0</x:v>
      </x:c>
      <x:c r="AC292" s="32" t="str">
        <x:f>IF(S292=0,"0%",IF(S292&lt;0.5,"1-49%",IF(S292&lt;0.8,"50-79%",IF(S292&lt;1,"80-99%","100%"))))</x:f>
        <x:v>0%</x:v>
      </x:c>
      <x:c r="AD292" s="33" t="str">
        <x:f>IF(G292&lt;0,"Stock negativo",IF(G292&lt;=0,"Sin stock actual",IF(I292&lt;=0,"Sin ventas desde compra",IF(Q292&lt;=0,"Con stock, sin ventas 365d",IF(S292&lt;0.5,"Rotación baja",IF(S292&lt;1,"Rotación media","Compra absorbida; stock repuesto"))))))</x:f>
        <x:v>Sin ventas desde compra</x:v>
      </x:c>
    </x:row>
    <x:row r="293">
      <x:c r="A293" s="31" t="str">
        <x:v>H10798</x:v>
      </x:c>
      <x:c r="B293" s="53" t="str">
        <x:v>MEDIDOR ACEITE ECO / EPLENDOR MQP</x:v>
      </x:c>
      <x:c r="C293" s="32" t="n">
        <x:v>1</x:v>
      </x:c>
      <x:c r="D293" s="38" t="n">
        <x:v>8</x:v>
      </x:c>
      <x:c r="E293" s="44" t="n">
        <x:v>1500</x:v>
      </x:c>
      <x:c r="F293" s="44" t="n">
        <x:v>12000</x:v>
      </x:c>
      <x:c r="G293" s="41" t="n">
        <x:v>1</x:v>
      </x:c>
      <x:c r="H293" s="44" t="n">
        <x:f>MAX(G293,0)*E293</x:f>
        <x:v>1500</x:v>
      </x:c>
      <x:c r="I293" s="38" t="n">
        <x:v>7</x:v>
      </x:c>
      <x:c r="J293" s="44" t="n">
        <x:v>21000</x:v>
      </x:c>
      <x:c r="K293" s="32" t="n">
        <x:v>7</x:v>
      </x:c>
      <x:c r="L293" s="50" t="n">
        <x:v>45528.74116898148</x:v>
      </x:c>
      <x:c r="M293" s="50" t="n">
        <x:v>46143.715902777774</x:v>
      </x:c>
      <x:c r="N293" s="32" t="n">
        <x:f>IF(M293="","",MAX(0,'Resumen'!$B$3-M293))</x:f>
        <x:v>123.28409722222568</x:v>
      </x:c>
      <x:c r="O293" s="38" t="n">
        <x:v>0</x:v>
      </x:c>
      <x:c r="P293" s="38" t="n">
        <x:v>0</x:v>
      </x:c>
      <x:c r="Q293" s="38" t="n">
        <x:v>3</x:v>
      </x:c>
      <x:c r="R293" s="38" t="n">
        <x:f>MIN(D293,I293)</x:f>
        <x:v>7</x:v>
      </x:c>
      <x:c r="S293" s="47" t="n">
        <x:f>IFERROR(R293/D293,0)</x:f>
        <x:v>0.875</x:v>
      </x:c>
      <x:c r="T293" s="38" t="n">
        <x:f>MIN(MAX(G293,0),MAX(D293-I293,0))</x:f>
        <x:v>1</x:v>
      </x:c>
      <x:c r="U293" s="44" t="n">
        <x:f>T293*E293</x:f>
        <x:v>1500</x:v>
      </x:c>
      <x:c r="V293" s="38" t="n">
        <x:v>0</x:v>
      </x:c>
      <x:c r="W293" s="32" t="n">
        <x:v>0</x:v>
      </x:c>
      <x:c r="X293" s="50"/>
      <x:c r="Y293" s="44" t="n">
        <x:v>3000</x:v>
      </x:c>
      <x:c r="Z293" s="44" t="n">
        <x:f>IF(I293&gt;0,R293*(J293/I293),0)</x:f>
        <x:v>21000</x:v>
      </x:c>
      <x:c r="AA293" s="44" t="n">
        <x:f>Z293-(R293*E293)</x:f>
        <x:v>10500</x:v>
      </x:c>
      <x:c r="AB293" s="47" t="n">
        <x:f>IFERROR(AA293/Z293,0)</x:f>
        <x:v>0.5</x:v>
      </x:c>
      <x:c r="AC293" s="32" t="str">
        <x:f>IF(S293=0,"0%",IF(S293&lt;0.5,"1-49%",IF(S293&lt;0.8,"50-79%",IF(S293&lt;1,"80-99%","100%"))))</x:f>
        <x:v>80-99%</x:v>
      </x:c>
      <x:c r="AD293" s="33" t="str">
        <x:f>IF(G293&lt;0,"Stock negativo",IF(G293&lt;=0,"Sin stock actual",IF(I293&lt;=0,"Sin ventas desde compra",IF(Q293&lt;=0,"Con stock, sin ventas 365d",IF(S293&lt;0.5,"Rotación baja",IF(S293&lt;1,"Rotación media","Compra absorbida; stock repuesto"))))))</x:f>
        <x:v>Rotación media</x:v>
      </x:c>
    </x:row>
    <x:row r="294">
      <x:c r="A294" s="31" t="str">
        <x:v>MOTS1057</x:v>
      </x:c>
      <x:c r="B294" s="53" t="str">
        <x:v>RETEN 20-35-5</x:v>
      </x:c>
      <x:c r="C294" s="32" t="n">
        <x:v>1</x:v>
      </x:c>
      <x:c r="D294" s="38" t="n">
        <x:v>6</x:v>
      </x:c>
      <x:c r="E294" s="44" t="n">
        <x:v>2000</x:v>
      </x:c>
      <x:c r="F294" s="44" t="n">
        <x:v>12000</x:v>
      </x:c>
      <x:c r="G294" s="41" t="n">
        <x:v>6</x:v>
      </x:c>
      <x:c r="H294" s="44" t="n">
        <x:f>MAX(G294,0)*E294</x:f>
        <x:v>12000</x:v>
      </x:c>
      <x:c r="I294" s="38" t="n">
        <x:v>0</x:v>
      </x:c>
      <x:c r="J294" s="44" t="n">
        <x:v>0</x:v>
      </x:c>
      <x:c r="K294" s="32" t="n">
        <x:v>0</x:v>
      </x:c>
      <x:c r="L294" s="50"/>
      <x:c r="M294" s="50"/>
      <x:c r="N294" s="32" t="str">
        <x:f>IF(M294="","",MAX(0,'Resumen'!$B$3-M294))</x:f>
      </x:c>
      <x:c r="O294" s="38" t="n">
        <x:v>0</x:v>
      </x:c>
      <x:c r="P294" s="38" t="n">
        <x:v>0</x:v>
      </x:c>
      <x:c r="Q294" s="38" t="n">
        <x:v>0</x:v>
      </x:c>
      <x:c r="R294" s="38" t="n">
        <x:f>MIN(D294,I294)</x:f>
        <x:v>0</x:v>
      </x:c>
      <x:c r="S294" s="47" t="n">
        <x:f>IFERROR(R294/D294,0)</x:f>
        <x:v>0</x:v>
      </x:c>
      <x:c r="T294" s="38" t="n">
        <x:f>MIN(MAX(G294,0),MAX(D294-I294,0))</x:f>
        <x:v>6</x:v>
      </x:c>
      <x:c r="U294" s="44" t="n">
        <x:f>T294*E294</x:f>
        <x:v>12000</x:v>
      </x:c>
      <x:c r="V294" s="38" t="n">
        <x:v>0</x:v>
      </x:c>
      <x:c r="W294" s="32" t="n">
        <x:v>0</x:v>
      </x:c>
      <x:c r="X294" s="50"/>
      <x:c r="Y294" s="44" t="n">
        <x:v>3500</x:v>
      </x:c>
      <x:c r="Z294" s="44" t="n">
        <x:f>IF(I294&gt;0,R294*(J294/I294),0)</x:f>
        <x:v>0</x:v>
      </x:c>
      <x:c r="AA294" s="44" t="n">
        <x:f>Z294-(R294*E294)</x:f>
        <x:v>0</x:v>
      </x:c>
      <x:c r="AB294" s="47" t="n">
        <x:f>IFERROR(AA294/Z294,0)</x:f>
        <x:v>0</x:v>
      </x:c>
      <x:c r="AC294" s="32" t="str">
        <x:f>IF(S294=0,"0%",IF(S294&lt;0.5,"1-49%",IF(S294&lt;0.8,"50-79%",IF(S294&lt;1,"80-99%","100%"))))</x:f>
        <x:v>0%</x:v>
      </x:c>
      <x:c r="AD294" s="33" t="str">
        <x:f>IF(G294&lt;0,"Stock negativo",IF(G294&lt;=0,"Sin stock actual",IF(I294&lt;=0,"Sin ventas desde compra",IF(Q294&lt;=0,"Con stock, sin ventas 365d",IF(S294&lt;0.5,"Rotación baja",IF(S294&lt;1,"Rotación media","Compra absorbida; stock repuesto"))))))</x:f>
        <x:v>Sin ventas desde compra</x:v>
      </x:c>
    </x:row>
    <x:row r="295">
      <x:c r="A295" s="31" t="str">
        <x:v>MOTS1079</x:v>
      </x:c>
      <x:c r="B295" s="53" t="str">
        <x:v>RETEN 65-14-5</x:v>
      </x:c>
      <x:c r="C295" s="32" t="n">
        <x:v>1</x:v>
      </x:c>
      <x:c r="D295" s="38" t="n">
        <x:v>8</x:v>
      </x:c>
      <x:c r="E295" s="44" t="n">
        <x:v>1500</x:v>
      </x:c>
      <x:c r="F295" s="44" t="n">
        <x:v>12000</x:v>
      </x:c>
      <x:c r="G295" s="41" t="n">
        <x:v>8</x:v>
      </x:c>
      <x:c r="H295" s="44" t="n">
        <x:f>MAX(G295,0)*E295</x:f>
        <x:v>12000</x:v>
      </x:c>
      <x:c r="I295" s="38" t="n">
        <x:v>0</x:v>
      </x:c>
      <x:c r="J295" s="44" t="n">
        <x:v>0</x:v>
      </x:c>
      <x:c r="K295" s="32" t="n">
        <x:v>0</x:v>
      </x:c>
      <x:c r="L295" s="50"/>
      <x:c r="M295" s="50"/>
      <x:c r="N295" s="32" t="str">
        <x:f>IF(M295="","",MAX(0,'Resumen'!$B$3-M295))</x:f>
      </x:c>
      <x:c r="O295" s="38" t="n">
        <x:v>0</x:v>
      </x:c>
      <x:c r="P295" s="38" t="n">
        <x:v>0</x:v>
      </x:c>
      <x:c r="Q295" s="38" t="n">
        <x:v>0</x:v>
      </x:c>
      <x:c r="R295" s="38" t="n">
        <x:f>MIN(D295,I295)</x:f>
        <x:v>0</x:v>
      </x:c>
      <x:c r="S295" s="47" t="n">
        <x:f>IFERROR(R295/D295,0)</x:f>
        <x:v>0</x:v>
      </x:c>
      <x:c r="T295" s="38" t="n">
        <x:f>MIN(MAX(G295,0),MAX(D295-I295,0))</x:f>
        <x:v>8</x:v>
      </x:c>
      <x:c r="U295" s="44" t="n">
        <x:f>T295*E295</x:f>
        <x:v>12000</x:v>
      </x:c>
      <x:c r="V295" s="38" t="n">
        <x:v>0</x:v>
      </x:c>
      <x:c r="W295" s="32" t="n">
        <x:v>0</x:v>
      </x:c>
      <x:c r="X295" s="50"/>
      <x:c r="Y295" s="44" t="n">
        <x:v>2500</x:v>
      </x:c>
      <x:c r="Z295" s="44" t="n">
        <x:f>IF(I295&gt;0,R295*(J295/I295),0)</x:f>
        <x:v>0</x:v>
      </x:c>
      <x:c r="AA295" s="44" t="n">
        <x:f>Z295-(R295*E295)</x:f>
        <x:v>0</x:v>
      </x:c>
      <x:c r="AB295" s="47" t="n">
        <x:f>IFERROR(AA295/Z295,0)</x:f>
        <x:v>0</x:v>
      </x:c>
      <x:c r="AC295" s="32" t="str">
        <x:f>IF(S295=0,"0%",IF(S295&lt;0.5,"1-49%",IF(S295&lt;0.8,"50-79%",IF(S295&lt;1,"80-99%","100%"))))</x:f>
        <x:v>0%</x:v>
      </x:c>
      <x:c r="AD295" s="33" t="str">
        <x:f>IF(G295&lt;0,"Stock negativo",IF(G295&lt;=0,"Sin stock actual",IF(I295&lt;=0,"Sin ventas desde compra",IF(Q295&lt;=0,"Con stock, sin ventas 365d",IF(S295&lt;0.5,"Rotación baja",IF(S295&lt;1,"Rotación media","Compra absorbida; stock repuesto"))))))</x:f>
        <x:v>Sin ventas desde compra</x:v>
      </x:c>
    </x:row>
    <x:row r="296">
      <x:c r="A296" s="31" t="str">
        <x:v>MOTS1093</x:v>
      </x:c>
      <x:c r="B296" s="53" t="str">
        <x:v>RETEN 11.6-24-10</x:v>
      </x:c>
      <x:c r="C296" s="32" t="n">
        <x:v>1</x:v>
      </x:c>
      <x:c r="D296" s="38" t="n">
        <x:v>6</x:v>
      </x:c>
      <x:c r="E296" s="44" t="n">
        <x:v>2000</x:v>
      </x:c>
      <x:c r="F296" s="44" t="n">
        <x:v>12000</x:v>
      </x:c>
      <x:c r="G296" s="41" t="n">
        <x:v>0</x:v>
      </x:c>
      <x:c r="H296" s="44" t="n">
        <x:f>MAX(G296,0)*E296</x:f>
        <x:v>0</x:v>
      </x:c>
      <x:c r="I296" s="38" t="n">
        <x:v>6</x:v>
      </x:c>
      <x:c r="J296" s="44" t="n">
        <x:v>18500</x:v>
      </x:c>
      <x:c r="K296" s="32" t="n">
        <x:v>5</x:v>
      </x:c>
      <x:c r="L296" s="50" t="n">
        <x:v>45613.61109953704</x:v>
      </x:c>
      <x:c r="M296" s="50" t="n">
        <x:v>45828.6790625</x:v>
      </x:c>
      <x:c r="N296" s="32" t="n">
        <x:f>IF(M296="","",MAX(0,'Resumen'!$B$3-M296))</x:f>
        <x:v>438.3209375000006</x:v>
      </x:c>
      <x:c r="O296" s="38" t="n">
        <x:v>0</x:v>
      </x:c>
      <x:c r="P296" s="38" t="n">
        <x:v>0</x:v>
      </x:c>
      <x:c r="Q296" s="38" t="n">
        <x:v>0</x:v>
      </x:c>
      <x:c r="R296" s="38" t="n">
        <x:f>MIN(D296,I296)</x:f>
        <x:v>6</x:v>
      </x:c>
      <x:c r="S296" s="47" t="n">
        <x:f>IFERROR(R296/D296,0)</x:f>
        <x:v>1</x:v>
      </x:c>
      <x:c r="T296" s="38" t="n">
        <x:f>MIN(MAX(G296,0),MAX(D296-I296,0))</x:f>
        <x:v>0</x:v>
      </x:c>
      <x:c r="U296" s="44" t="n">
        <x:f>T296*E296</x:f>
        <x:v>0</x:v>
      </x:c>
      <x:c r="V296" s="38" t="n">
        <x:v>0</x:v>
      </x:c>
      <x:c r="W296" s="32" t="n">
        <x:v>0</x:v>
      </x:c>
      <x:c r="X296" s="50"/>
      <x:c r="Y296" s="44" t="n">
        <x:v>3500</x:v>
      </x:c>
      <x:c r="Z296" s="44" t="n">
        <x:f>IF(I296&gt;0,R296*(J296/I296),0)</x:f>
        <x:v>18500</x:v>
      </x:c>
      <x:c r="AA296" s="44" t="n">
        <x:f>Z296-(R296*E296)</x:f>
        <x:v>6500</x:v>
      </x:c>
      <x:c r="AB296" s="47" t="n">
        <x:f>IFERROR(AA296/Z296,0)</x:f>
        <x:v>0.35135135135135137</x:v>
      </x:c>
      <x:c r="AC296" s="32" t="str">
        <x:f>IF(S296=0,"0%",IF(S296&lt;0.5,"1-49%",IF(S296&lt;0.8,"50-79%",IF(S296&lt;1,"80-99%","100%"))))</x:f>
        <x:v>100%</x:v>
      </x:c>
      <x:c r="AD296" s="33" t="str">
        <x:f>IF(G296&lt;0,"Stock negativo",IF(G296&lt;=0,"Sin stock actual",IF(I296&lt;=0,"Sin ventas desde compra",IF(Q296&lt;=0,"Con stock, sin ventas 365d",IF(S296&lt;0.5,"Rotación baja",IF(S296&lt;1,"Rotación media","Compra absorbida; stock repuesto"))))))</x:f>
        <x:v>Sin stock actual</x:v>
      </x:c>
    </x:row>
    <x:row r="297">
      <x:c r="A297" s="31" t="str">
        <x:v>MOTS1103</x:v>
      </x:c>
      <x:c r="B297" s="53" t="str">
        <x:v>RETEN 17-25-4</x:v>
      </x:c>
      <x:c r="C297" s="32" t="n">
        <x:v>1</x:v>
      </x:c>
      <x:c r="D297" s="38" t="n">
        <x:v>8</x:v>
      </x:c>
      <x:c r="E297" s="44" t="n">
        <x:v>1500</x:v>
      </x:c>
      <x:c r="F297" s="44" t="n">
        <x:v>12000</x:v>
      </x:c>
      <x:c r="G297" s="41" t="n">
        <x:v>8</x:v>
      </x:c>
      <x:c r="H297" s="44" t="n">
        <x:f>MAX(G297,0)*E297</x:f>
        <x:v>12000</x:v>
      </x:c>
      <x:c r="I297" s="38" t="n">
        <x:v>0</x:v>
      </x:c>
      <x:c r="J297" s="44" t="n">
        <x:v>0</x:v>
      </x:c>
      <x:c r="K297" s="32" t="n">
        <x:v>0</x:v>
      </x:c>
      <x:c r="L297" s="50"/>
      <x:c r="M297" s="50"/>
      <x:c r="N297" s="32" t="str">
        <x:f>IF(M297="","",MAX(0,'Resumen'!$B$3-M297))</x:f>
      </x:c>
      <x:c r="O297" s="38" t="n">
        <x:v>0</x:v>
      </x:c>
      <x:c r="P297" s="38" t="n">
        <x:v>0</x:v>
      </x:c>
      <x:c r="Q297" s="38" t="n">
        <x:v>0</x:v>
      </x:c>
      <x:c r="R297" s="38" t="n">
        <x:f>MIN(D297,I297)</x:f>
        <x:v>0</x:v>
      </x:c>
      <x:c r="S297" s="47" t="n">
        <x:f>IFERROR(R297/D297,0)</x:f>
        <x:v>0</x:v>
      </x:c>
      <x:c r="T297" s="38" t="n">
        <x:f>MIN(MAX(G297,0),MAX(D297-I297,0))</x:f>
        <x:v>8</x:v>
      </x:c>
      <x:c r="U297" s="44" t="n">
        <x:f>T297*E297</x:f>
        <x:v>12000</x:v>
      </x:c>
      <x:c r="V297" s="38" t="n">
        <x:v>0</x:v>
      </x:c>
      <x:c r="W297" s="32" t="n">
        <x:v>0</x:v>
      </x:c>
      <x:c r="X297" s="50"/>
      <x:c r="Y297" s="44" t="n">
        <x:v>2500</x:v>
      </x:c>
      <x:c r="Z297" s="44" t="n">
        <x:f>IF(I297&gt;0,R297*(J297/I297),0)</x:f>
        <x:v>0</x:v>
      </x:c>
      <x:c r="AA297" s="44" t="n">
        <x:f>Z297-(R297*E297)</x:f>
        <x:v>0</x:v>
      </x:c>
      <x:c r="AB297" s="47" t="n">
        <x:f>IFERROR(AA297/Z297,0)</x:f>
        <x:v>0</x:v>
      </x:c>
      <x:c r="AC297" s="32" t="str">
        <x:f>IF(S297=0,"0%",IF(S297&lt;0.5,"1-49%",IF(S297&lt;0.8,"50-79%",IF(S297&lt;1,"80-99%","100%"))))</x:f>
        <x:v>0%</x:v>
      </x:c>
      <x:c r="AD297" s="33" t="str">
        <x:f>IF(G297&lt;0,"Stock negativo",IF(G297&lt;=0,"Sin stock actual",IF(I297&lt;=0,"Sin ventas desde compra",IF(Q297&lt;=0,"Con stock, sin ventas 365d",IF(S297&lt;0.5,"Rotación baja",IF(S297&lt;1,"Rotación media","Compra absorbida; stock repuesto"))))))</x:f>
        <x:v>Sin ventas desde compra</x:v>
      </x:c>
    </x:row>
    <x:row r="298">
      <x:c r="A298" s="31" t="str">
        <x:v>MOTS1123</x:v>
      </x:c>
      <x:c r="B298" s="53" t="str">
        <x:v>PESAS MANUBRIOS NARANJA PAR GAMOTOR</x:v>
      </x:c>
      <x:c r="C298" s="32" t="n">
        <x:v>1</x:v>
      </x:c>
      <x:c r="D298" s="38" t="n">
        <x:v>1</x:v>
      </x:c>
      <x:c r="E298" s="44" t="n">
        <x:v>12000</x:v>
      </x:c>
      <x:c r="F298" s="44" t="n">
        <x:v>12000</x:v>
      </x:c>
      <x:c r="G298" s="41" t="n">
        <x:v>0</x:v>
      </x:c>
      <x:c r="H298" s="44" t="n">
        <x:f>MAX(G298,0)*E298</x:f>
        <x:v>0</x:v>
      </x:c>
      <x:c r="I298" s="38" t="n">
        <x:v>1</x:v>
      </x:c>
      <x:c r="J298" s="44" t="n">
        <x:v>20000</x:v>
      </x:c>
      <x:c r="K298" s="32" t="n">
        <x:v>1</x:v>
      </x:c>
      <x:c r="L298" s="50" t="n">
        <x:v>45588.91780092593</x:v>
      </x:c>
      <x:c r="M298" s="50" t="n">
        <x:v>45588.91780092593</x:v>
      </x:c>
      <x:c r="N298" s="32" t="n">
        <x:f>IF(M298="","",MAX(0,'Resumen'!$B$3-M298))</x:f>
        <x:v>678.0821990740733</x:v>
      </x:c>
      <x:c r="O298" s="38" t="n">
        <x:v>0</x:v>
      </x:c>
      <x:c r="P298" s="38" t="n">
        <x:v>0</x:v>
      </x:c>
      <x:c r="Q298" s="38" t="n">
        <x:v>0</x:v>
      </x:c>
      <x:c r="R298" s="38" t="n">
        <x:f>MIN(D298,I298)</x:f>
        <x:v>1</x:v>
      </x:c>
      <x:c r="S298" s="47" t="n">
        <x:f>IFERROR(R298/D298,0)</x:f>
        <x:v>1</x:v>
      </x:c>
      <x:c r="T298" s="38" t="n">
        <x:f>MIN(MAX(G298,0),MAX(D298-I298,0))</x:f>
        <x:v>0</x:v>
      </x:c>
      <x:c r="U298" s="44" t="n">
        <x:f>T298*E298</x:f>
        <x:v>0</x:v>
      </x:c>
      <x:c r="V298" s="38" t="n">
        <x:v>0</x:v>
      </x:c>
      <x:c r="W298" s="32" t="n">
        <x:v>0</x:v>
      </x:c>
      <x:c r="X298" s="50"/>
      <x:c r="Y298" s="44" t="n">
        <x:v>20000</x:v>
      </x:c>
      <x:c r="Z298" s="44" t="n">
        <x:f>IF(I298&gt;0,R298*(J298/I298),0)</x:f>
        <x:v>20000</x:v>
      </x:c>
      <x:c r="AA298" s="44" t="n">
        <x:f>Z298-(R298*E298)</x:f>
        <x:v>8000</x:v>
      </x:c>
      <x:c r="AB298" s="47" t="n">
        <x:f>IFERROR(AA298/Z298,0)</x:f>
        <x:v>0.4</x:v>
      </x:c>
      <x:c r="AC298" s="32" t="str">
        <x:f>IF(S298=0,"0%",IF(S298&lt;0.5,"1-49%",IF(S298&lt;0.8,"50-79%",IF(S298&lt;1,"80-99%","100%"))))</x:f>
        <x:v>100%</x:v>
      </x:c>
      <x:c r="AD298" s="33" t="str">
        <x:f>IF(G298&lt;0,"Stock negativo",IF(G298&lt;=0,"Sin stock actual",IF(I298&lt;=0,"Sin ventas desde compra",IF(Q298&lt;=0,"Con stock, sin ventas 365d",IF(S298&lt;0.5,"Rotación baja",IF(S298&lt;1,"Rotación media","Compra absorbida; stock repuesto"))))))</x:f>
        <x:v>Sin stock actual</x:v>
      </x:c>
    </x:row>
    <x:row r="299">
      <x:c r="A299" s="31" t="str">
        <x:v>MOTS1137</x:v>
      </x:c>
      <x:c r="B299" s="53" t="str">
        <x:v>PROTECTOR TAPA TANQUE PULSAR ALUMINIO</x:v>
      </x:c>
      <x:c r="C299" s="32" t="n">
        <x:v>1</x:v>
      </x:c>
      <x:c r="D299" s="38" t="n">
        <x:v>2</x:v>
      </x:c>
      <x:c r="E299" s="44" t="n">
        <x:v>6000</x:v>
      </x:c>
      <x:c r="F299" s="44" t="n">
        <x:v>12000</x:v>
      </x:c>
      <x:c r="G299" s="41" t="n">
        <x:v>2</x:v>
      </x:c>
      <x:c r="H299" s="44" t="n">
        <x:f>MAX(G299,0)*E299</x:f>
        <x:v>12000</x:v>
      </x:c>
      <x:c r="I299" s="38" t="n">
        <x:v>0</x:v>
      </x:c>
      <x:c r="J299" s="44" t="n">
        <x:v>0</x:v>
      </x:c>
      <x:c r="K299" s="32" t="n">
        <x:v>0</x:v>
      </x:c>
      <x:c r="L299" s="50"/>
      <x:c r="M299" s="50"/>
      <x:c r="N299" s="32" t="str">
        <x:f>IF(M299="","",MAX(0,'Resumen'!$B$3-M299))</x:f>
      </x:c>
      <x:c r="O299" s="38" t="n">
        <x:v>0</x:v>
      </x:c>
      <x:c r="P299" s="38" t="n">
        <x:v>0</x:v>
      </x:c>
      <x:c r="Q299" s="38" t="n">
        <x:v>0</x:v>
      </x:c>
      <x:c r="R299" s="38" t="n">
        <x:f>MIN(D299,I299)</x:f>
        <x:v>0</x:v>
      </x:c>
      <x:c r="S299" s="47" t="n">
        <x:f>IFERROR(R299/D299,0)</x:f>
        <x:v>0</x:v>
      </x:c>
      <x:c r="T299" s="38" t="n">
        <x:f>MIN(MAX(G299,0),MAX(D299-I299,0))</x:f>
        <x:v>2</x:v>
      </x:c>
      <x:c r="U299" s="44" t="n">
        <x:f>T299*E299</x:f>
        <x:v>12000</x:v>
      </x:c>
      <x:c r="V299" s="38" t="n">
        <x:v>0</x:v>
      </x:c>
      <x:c r="W299" s="32" t="n">
        <x:v>0</x:v>
      </x:c>
      <x:c r="X299" s="50"/>
      <x:c r="Y299" s="44" t="n">
        <x:v>10000</x:v>
      </x:c>
      <x:c r="Z299" s="44" t="n">
        <x:f>IF(I299&gt;0,R299*(J299/I299),0)</x:f>
        <x:v>0</x:v>
      </x:c>
      <x:c r="AA299" s="44" t="n">
        <x:f>Z299-(R299*E299)</x:f>
        <x:v>0</x:v>
      </x:c>
      <x:c r="AB299" s="47" t="n">
        <x:f>IFERROR(AA299/Z299,0)</x:f>
        <x:v>0</x:v>
      </x:c>
      <x:c r="AC299" s="32" t="str">
        <x:f>IF(S299=0,"0%",IF(S299&lt;0.5,"1-49%",IF(S299&lt;0.8,"50-79%",IF(S299&lt;1,"80-99%","100%"))))</x:f>
        <x:v>0%</x:v>
      </x:c>
      <x:c r="AD299" s="33" t="str">
        <x:f>IF(G299&lt;0,"Stock negativo",IF(G299&lt;=0,"Sin stock actual",IF(I299&lt;=0,"Sin ventas desde compra",IF(Q299&lt;=0,"Con stock, sin ventas 365d",IF(S299&lt;0.5,"Rotación baja",IF(S299&lt;1,"Rotación media","Compra absorbida; stock repuesto"))))))</x:f>
        <x:v>Sin ventas desde compra</x:v>
      </x:c>
    </x:row>
    <x:row r="300">
      <x:c r="A300" s="31" t="str">
        <x:v>MOTS1146</x:v>
      </x:c>
      <x:c r="B300" s="53" t="str">
        <x:v>DIRECCIONAL AX 100 AMBAR PAR BYWARD</x:v>
      </x:c>
      <x:c r="C300" s="32" t="n">
        <x:v>1</x:v>
      </x:c>
      <x:c r="D300" s="38" t="n">
        <x:v>1</x:v>
      </x:c>
      <x:c r="E300" s="44" t="n">
        <x:v>12000</x:v>
      </x:c>
      <x:c r="F300" s="44" t="n">
        <x:v>12000</x:v>
      </x:c>
      <x:c r="G300" s="41" t="n">
        <x:v>0</x:v>
      </x:c>
      <x:c r="H300" s="44" t="n">
        <x:f>MAX(G300,0)*E300</x:f>
        <x:v>0</x:v>
      </x:c>
      <x:c r="I300" s="38" t="n">
        <x:v>1</x:v>
      </x:c>
      <x:c r="J300" s="44" t="n">
        <x:v>20000</x:v>
      </x:c>
      <x:c r="K300" s="32" t="n">
        <x:v>1</x:v>
      </x:c>
      <x:c r="L300" s="50" t="n">
        <x:v>45507.543125</x:v>
      </x:c>
      <x:c r="M300" s="50" t="n">
        <x:v>45507.543125</x:v>
      </x:c>
      <x:c r="N300" s="32" t="n">
        <x:f>IF(M300="","",MAX(0,'Resumen'!$B$3-M300))</x:f>
        <x:v>759.4568750000035</x:v>
      </x:c>
      <x:c r="O300" s="38" t="n">
        <x:v>0</x:v>
      </x:c>
      <x:c r="P300" s="38" t="n">
        <x:v>0</x:v>
      </x:c>
      <x:c r="Q300" s="38" t="n">
        <x:v>0</x:v>
      </x:c>
      <x:c r="R300" s="38" t="n">
        <x:f>MIN(D300,I300)</x:f>
        <x:v>1</x:v>
      </x:c>
      <x:c r="S300" s="47" t="n">
        <x:f>IFERROR(R300/D300,0)</x:f>
        <x:v>1</x:v>
      </x:c>
      <x:c r="T300" s="38" t="n">
        <x:f>MIN(MAX(G300,0),MAX(D300-I300,0))</x:f>
        <x:v>0</x:v>
      </x:c>
      <x:c r="U300" s="44" t="n">
        <x:f>T300*E300</x:f>
        <x:v>0</x:v>
      </x:c>
      <x:c r="V300" s="38" t="n">
        <x:v>0</x:v>
      </x:c>
      <x:c r="W300" s="32" t="n">
        <x:v>0</x:v>
      </x:c>
      <x:c r="X300" s="50"/>
      <x:c r="Y300" s="44" t="n">
        <x:v>20000</x:v>
      </x:c>
      <x:c r="Z300" s="44" t="n">
        <x:f>IF(I300&gt;0,R300*(J300/I300),0)</x:f>
        <x:v>20000</x:v>
      </x:c>
      <x:c r="AA300" s="44" t="n">
        <x:f>Z300-(R300*E300)</x:f>
        <x:v>8000</x:v>
      </x:c>
      <x:c r="AB300" s="47" t="n">
        <x:f>IFERROR(AA300/Z300,0)</x:f>
        <x:v>0.4</x:v>
      </x:c>
      <x:c r="AC300" s="32" t="str">
        <x:f>IF(S300=0,"0%",IF(S300&lt;0.5,"1-49%",IF(S300&lt;0.8,"50-79%",IF(S300&lt;1,"80-99%","100%"))))</x:f>
        <x:v>100%</x:v>
      </x:c>
      <x:c r="AD300" s="33" t="str">
        <x:f>IF(G300&lt;0,"Stock negativo",IF(G300&lt;=0,"Sin stock actual",IF(I300&lt;=0,"Sin ventas desde compra",IF(Q300&lt;=0,"Con stock, sin ventas 365d",IF(S300&lt;0.5,"Rotación baja",IF(S300&lt;1,"Rotación media","Compra absorbida; stock repuesto"))))))</x:f>
        <x:v>Sin stock actual</x:v>
      </x:c>
    </x:row>
    <x:row r="301">
      <x:c r="A301" s="31" t="str">
        <x:v>MOTS1157</x:v>
      </x:c>
      <x:c r="B301" s="53" t="str">
        <x:v>CAUCHO POSA PIE TRA- ECO 100 PAR IMBRA</x:v>
      </x:c>
      <x:c r="C301" s="32" t="n">
        <x:v>1</x:v>
      </x:c>
      <x:c r="D301" s="38" t="n">
        <x:v>4</x:v>
      </x:c>
      <x:c r="E301" s="44" t="n">
        <x:v>3000</x:v>
      </x:c>
      <x:c r="F301" s="44" t="n">
        <x:v>12000</x:v>
      </x:c>
      <x:c r="G301" s="41" t="n">
        <x:v>5</x:v>
      </x:c>
      <x:c r="H301" s="44" t="n">
        <x:f>MAX(G301,0)*E301</x:f>
        <x:v>15000</x:v>
      </x:c>
      <x:c r="I301" s="38" t="n">
        <x:v>0</x:v>
      </x:c>
      <x:c r="J301" s="44" t="n">
        <x:v>0</x:v>
      </x:c>
      <x:c r="K301" s="32" t="n">
        <x:v>0</x:v>
      </x:c>
      <x:c r="L301" s="50"/>
      <x:c r="M301" s="50"/>
      <x:c r="N301" s="32" t="str">
        <x:f>IF(M301="","",MAX(0,'Resumen'!$B$3-M301))</x:f>
      </x:c>
      <x:c r="O301" s="38" t="n">
        <x:v>0</x:v>
      </x:c>
      <x:c r="P301" s="38" t="n">
        <x:v>0</x:v>
      </x:c>
      <x:c r="Q301" s="38" t="n">
        <x:v>0</x:v>
      </x:c>
      <x:c r="R301" s="38" t="n">
        <x:f>MIN(D301,I301)</x:f>
        <x:v>0</x:v>
      </x:c>
      <x:c r="S301" s="47" t="n">
        <x:f>IFERROR(R301/D301,0)</x:f>
        <x:v>0</x:v>
      </x:c>
      <x:c r="T301" s="38" t="n">
        <x:f>MIN(MAX(G301,0),MAX(D301-I301,0))</x:f>
        <x:v>4</x:v>
      </x:c>
      <x:c r="U301" s="44" t="n">
        <x:f>T301*E301</x:f>
        <x:v>12000</x:v>
      </x:c>
      <x:c r="V301" s="38" t="n">
        <x:v>1</x:v>
      </x:c>
      <x:c r="W301" s="32" t="n">
        <x:v>1</x:v>
      </x:c>
      <x:c r="X301" s="50" t="n">
        <x:v>45726</x:v>
      </x:c>
      <x:c r="Y301" s="44" t="n">
        <x:v>5000</x:v>
      </x:c>
      <x:c r="Z301" s="44" t="n">
        <x:f>IF(I301&gt;0,R301*(J301/I301),0)</x:f>
        <x:v>0</x:v>
      </x:c>
      <x:c r="AA301" s="44" t="n">
        <x:f>Z301-(R301*E301)</x:f>
        <x:v>0</x:v>
      </x:c>
      <x:c r="AB301" s="47" t="n">
        <x:f>IFERROR(AA301/Z301,0)</x:f>
        <x:v>0</x:v>
      </x:c>
      <x:c r="AC301" s="32" t="str">
        <x:f>IF(S301=0,"0%",IF(S301&lt;0.5,"1-49%",IF(S301&lt;0.8,"50-79%",IF(S301&lt;1,"80-99%","100%"))))</x:f>
        <x:v>0%</x:v>
      </x:c>
      <x:c r="AD301" s="33" t="str">
        <x:f>IF(G301&lt;0,"Stock negativo",IF(G301&lt;=0,"Sin stock actual",IF(I301&lt;=0,"Sin ventas desde compra",IF(Q301&lt;=0,"Con stock, sin ventas 365d",IF(S301&lt;0.5,"Rotación baja",IF(S301&lt;1,"Rotación media","Compra absorbida; stock repuesto"))))))</x:f>
        <x:v>Sin ventas desde compra</x:v>
      </x:c>
    </x:row>
    <x:row r="302">
      <x:c r="A302" s="31" t="str">
        <x:v>MOTS1165</x:v>
      </x:c>
      <x:c r="B302" s="53" t="str">
        <x:v>ESPEJOS SUZUKI OS 125 PAR MULTIPARTES</x:v>
      </x:c>
      <x:c r="C302" s="32" t="n">
        <x:v>1</x:v>
      </x:c>
      <x:c r="D302" s="38" t="n">
        <x:v>1</x:v>
      </x:c>
      <x:c r="E302" s="44" t="n">
        <x:v>12000</x:v>
      </x:c>
      <x:c r="F302" s="44" t="n">
        <x:v>12000</x:v>
      </x:c>
      <x:c r="G302" s="41" t="n">
        <x:v>0</x:v>
      </x:c>
      <x:c r="H302" s="44" t="n">
        <x:f>MAX(G302,0)*E302</x:f>
        <x:v>0</x:v>
      </x:c>
      <x:c r="I302" s="38" t="n">
        <x:v>1</x:v>
      </x:c>
      <x:c r="J302" s="44" t="n">
        <x:v>28000</x:v>
      </x:c>
      <x:c r="K302" s="32" t="n">
        <x:v>1</x:v>
      </x:c>
      <x:c r="L302" s="50" t="n">
        <x:v>45504.88130787037</x:v>
      </x:c>
      <x:c r="M302" s="50" t="n">
        <x:v>45504.88130787037</x:v>
      </x:c>
      <x:c r="N302" s="32" t="n">
        <x:f>IF(M302="","",MAX(0,'Resumen'!$B$3-M302))</x:f>
        <x:v>762.1186921296321</x:v>
      </x:c>
      <x:c r="O302" s="38" t="n">
        <x:v>0</x:v>
      </x:c>
      <x:c r="P302" s="38" t="n">
        <x:v>0</x:v>
      </x:c>
      <x:c r="Q302" s="38" t="n">
        <x:v>0</x:v>
      </x:c>
      <x:c r="R302" s="38" t="n">
        <x:f>MIN(D302,I302)</x:f>
        <x:v>1</x:v>
      </x:c>
      <x:c r="S302" s="47" t="n">
        <x:f>IFERROR(R302/D302,0)</x:f>
        <x:v>1</x:v>
      </x:c>
      <x:c r="T302" s="38" t="n">
        <x:f>MIN(MAX(G302,0),MAX(D302-I302,0))</x:f>
        <x:v>0</x:v>
      </x:c>
      <x:c r="U302" s="44" t="n">
        <x:f>T302*E302</x:f>
        <x:v>0</x:v>
      </x:c>
      <x:c r="V302" s="38" t="n">
        <x:v>0</x:v>
      </x:c>
      <x:c r="W302" s="32" t="n">
        <x:v>0</x:v>
      </x:c>
      <x:c r="X302" s="50"/>
      <x:c r="Y302" s="44" t="n">
        <x:v>28000</x:v>
      </x:c>
      <x:c r="Z302" s="44" t="n">
        <x:f>IF(I302&gt;0,R302*(J302/I302),0)</x:f>
        <x:v>28000</x:v>
      </x:c>
      <x:c r="AA302" s="44" t="n">
        <x:f>Z302-(R302*E302)</x:f>
        <x:v>16000</x:v>
      </x:c>
      <x:c r="AB302" s="47" t="n">
        <x:f>IFERROR(AA302/Z302,0)</x:f>
        <x:v>0.5714285714285714</x:v>
      </x:c>
      <x:c r="AC302" s="32" t="str">
        <x:f>IF(S302=0,"0%",IF(S302&lt;0.5,"1-49%",IF(S302&lt;0.8,"50-79%",IF(S302&lt;1,"80-99%","100%"))))</x:f>
        <x:v>100%</x:v>
      </x:c>
      <x:c r="AD302" s="33" t="str">
        <x:f>IF(G302&lt;0,"Stock negativo",IF(G302&lt;=0,"Sin stock actual",IF(I302&lt;=0,"Sin ventas desde compra",IF(Q302&lt;=0,"Con stock, sin ventas 365d",IF(S302&lt;0.5,"Rotación baja",IF(S302&lt;1,"Rotación media","Compra absorbida; stock repuesto"))))))</x:f>
        <x:v>Sin stock actual</x:v>
      </x:c>
    </x:row>
    <x:row r="303">
      <x:c r="A303" s="31" t="str">
        <x:v>MOTS1191</x:v>
      </x:c>
      <x:c r="B303" s="53" t="str">
        <x:v>MANIQUETA IZQ RX 100 / DT 100 EVOL</x:v>
      </x:c>
      <x:c r="C303" s="32" t="n">
        <x:v>1</x:v>
      </x:c>
      <x:c r="D303" s="38" t="n">
        <x:v>2</x:v>
      </x:c>
      <x:c r="E303" s="44" t="n">
        <x:v>6000</x:v>
      </x:c>
      <x:c r="F303" s="44" t="n">
        <x:v>12000</x:v>
      </x:c>
      <x:c r="G303" s="41" t="n">
        <x:v>1</x:v>
      </x:c>
      <x:c r="H303" s="44" t="n">
        <x:f>MAX(G303,0)*E303</x:f>
        <x:v>6000</x:v>
      </x:c>
      <x:c r="I303" s="38" t="n">
        <x:v>1</x:v>
      </x:c>
      <x:c r="J303" s="44" t="n">
        <x:v>10000</x:v>
      </x:c>
      <x:c r="K303" s="32" t="n">
        <x:v>1</x:v>
      </x:c>
      <x:c r="L303" s="50" t="n">
        <x:v>45514.9002662037</x:v>
      </x:c>
      <x:c r="M303" s="50" t="n">
        <x:v>45514.9002662037</x:v>
      </x:c>
      <x:c r="N303" s="32" t="n">
        <x:f>IF(M303="","",MAX(0,'Resumen'!$B$3-M303))</x:f>
        <x:v>752.0997337962981</x:v>
      </x:c>
      <x:c r="O303" s="38" t="n">
        <x:v>0</x:v>
      </x:c>
      <x:c r="P303" s="38" t="n">
        <x:v>0</x:v>
      </x:c>
      <x:c r="Q303" s="38" t="n">
        <x:v>0</x:v>
      </x:c>
      <x:c r="R303" s="38" t="n">
        <x:f>MIN(D303,I303)</x:f>
        <x:v>1</x:v>
      </x:c>
      <x:c r="S303" s="47" t="n">
        <x:f>IFERROR(R303/D303,0)</x:f>
        <x:v>0.5</x:v>
      </x:c>
      <x:c r="T303" s="38" t="n">
        <x:f>MIN(MAX(G303,0),MAX(D303-I303,0))</x:f>
        <x:v>1</x:v>
      </x:c>
      <x:c r="U303" s="44" t="n">
        <x:f>T303*E303</x:f>
        <x:v>6000</x:v>
      </x:c>
      <x:c r="V303" s="38" t="n">
        <x:v>0</x:v>
      </x:c>
      <x:c r="W303" s="32" t="n">
        <x:v>0</x:v>
      </x:c>
      <x:c r="X303" s="50"/>
      <x:c r="Y303" s="44" t="n">
        <x:v>10000</x:v>
      </x:c>
      <x:c r="Z303" s="44" t="n">
        <x:f>IF(I303&gt;0,R303*(J303/I303),0)</x:f>
        <x:v>10000</x:v>
      </x:c>
      <x:c r="AA303" s="44" t="n">
        <x:f>Z303-(R303*E303)</x:f>
        <x:v>4000</x:v>
      </x:c>
      <x:c r="AB303" s="47" t="n">
        <x:f>IFERROR(AA303/Z303,0)</x:f>
        <x:v>0.4</x:v>
      </x:c>
      <x:c r="AC303" s="32" t="str">
        <x:f>IF(S303=0,"0%",IF(S303&lt;0.5,"1-49%",IF(S303&lt;0.8,"50-79%",IF(S303&lt;1,"80-99%","100%"))))</x:f>
        <x:v>50-79%</x:v>
      </x:c>
      <x:c r="AD303" s="33" t="str">
        <x:f>IF(G303&lt;0,"Stock negativo",IF(G303&lt;=0,"Sin stock actual",IF(I303&lt;=0,"Sin ventas desde compra",IF(Q303&lt;=0,"Con stock, sin ventas 365d",IF(S303&lt;0.5,"Rotación baja",IF(S303&lt;1,"Rotación media","Compra absorbida; stock repuesto"))))))</x:f>
        <x:v>Con stock, sin ventas 365d</x:v>
      </x:c>
    </x:row>
    <x:row r="304">
      <x:c r="A304" s="31" t="str">
        <x:v>MOTS1255</x:v>
      </x:c>
      <x:c r="B304" s="53" t="str">
        <x:v>PASTILLAS FRENO SIN EMPAQUE</x:v>
      </x:c>
      <x:c r="C304" s="32" t="n">
        <x:v>1</x:v>
      </x:c>
      <x:c r="D304" s="38" t="n">
        <x:v>2</x:v>
      </x:c>
      <x:c r="E304" s="44" t="n">
        <x:v>6000</x:v>
      </x:c>
      <x:c r="F304" s="44" t="n">
        <x:v>12000</x:v>
      </x:c>
      <x:c r="G304" s="41" t="n">
        <x:v>2</x:v>
      </x:c>
      <x:c r="H304" s="44" t="n">
        <x:f>MAX(G304,0)*E304</x:f>
        <x:v>12000</x:v>
      </x:c>
      <x:c r="I304" s="38" t="n">
        <x:v>0</x:v>
      </x:c>
      <x:c r="J304" s="44" t="n">
        <x:v>0</x:v>
      </x:c>
      <x:c r="K304" s="32" t="n">
        <x:v>0</x:v>
      </x:c>
      <x:c r="L304" s="50"/>
      <x:c r="M304" s="50"/>
      <x:c r="N304" s="32" t="str">
        <x:f>IF(M304="","",MAX(0,'Resumen'!$B$3-M304))</x:f>
      </x:c>
      <x:c r="O304" s="38" t="n">
        <x:v>0</x:v>
      </x:c>
      <x:c r="P304" s="38" t="n">
        <x:v>0</x:v>
      </x:c>
      <x:c r="Q304" s="38" t="n">
        <x:v>0</x:v>
      </x:c>
      <x:c r="R304" s="38" t="n">
        <x:f>MIN(D304,I304)</x:f>
        <x:v>0</x:v>
      </x:c>
      <x:c r="S304" s="47" t="n">
        <x:f>IFERROR(R304/D304,0)</x:f>
        <x:v>0</x:v>
      </x:c>
      <x:c r="T304" s="38" t="n">
        <x:f>MIN(MAX(G304,0),MAX(D304-I304,0))</x:f>
        <x:v>2</x:v>
      </x:c>
      <x:c r="U304" s="44" t="n">
        <x:f>T304*E304</x:f>
        <x:v>12000</x:v>
      </x:c>
      <x:c r="V304" s="38" t="n">
        <x:v>0</x:v>
      </x:c>
      <x:c r="W304" s="32" t="n">
        <x:v>0</x:v>
      </x:c>
      <x:c r="X304" s="50"/>
      <x:c r="Y304" s="44" t="n">
        <x:v>10000</x:v>
      </x:c>
      <x:c r="Z304" s="44" t="n">
        <x:f>IF(I304&gt;0,R304*(J304/I304),0)</x:f>
        <x:v>0</x:v>
      </x:c>
      <x:c r="AA304" s="44" t="n">
        <x:f>Z304-(R304*E304)</x:f>
        <x:v>0</x:v>
      </x:c>
      <x:c r="AB304" s="47" t="n">
        <x:f>IFERROR(AA304/Z304,0)</x:f>
        <x:v>0</x:v>
      </x:c>
      <x:c r="AC304" s="32" t="str">
        <x:f>IF(S304=0,"0%",IF(S304&lt;0.5,"1-49%",IF(S304&lt;0.8,"50-79%",IF(S304&lt;1,"80-99%","100%"))))</x:f>
        <x:v>0%</x:v>
      </x:c>
      <x:c r="AD304" s="33" t="str">
        <x:f>IF(G304&lt;0,"Stock negativo",IF(G304&lt;=0,"Sin stock actual",IF(I304&lt;=0,"Sin ventas desde compra",IF(Q304&lt;=0,"Con stock, sin ventas 365d",IF(S304&lt;0.5,"Rotación baja",IF(S304&lt;1,"Rotación media","Compra absorbida; stock repuesto"))))))</x:f>
        <x:v>Sin ventas desde compra</x:v>
      </x:c>
    </x:row>
    <x:row r="305">
      <x:c r="A305" s="31" t="str">
        <x:v>MOTS1288</x:v>
      </x:c>
      <x:c r="B305" s="53" t="str">
        <x:v>REPOSA PIE SUELTO UND</x:v>
      </x:c>
      <x:c r="C305" s="32" t="n">
        <x:v>1</x:v>
      </x:c>
      <x:c r="D305" s="38" t="n">
        <x:v>2</x:v>
      </x:c>
      <x:c r="E305" s="44" t="n">
        <x:v>6000</x:v>
      </x:c>
      <x:c r="F305" s="44" t="n">
        <x:v>12000</x:v>
      </x:c>
      <x:c r="G305" s="41" t="n">
        <x:v>1</x:v>
      </x:c>
      <x:c r="H305" s="44" t="n">
        <x:f>MAX(G305,0)*E305</x:f>
        <x:v>6000</x:v>
      </x:c>
      <x:c r="I305" s="38" t="n">
        <x:v>1</x:v>
      </x:c>
      <x:c r="J305" s="44" t="n">
        <x:v>10000</x:v>
      </x:c>
      <x:c r="K305" s="32" t="n">
        <x:v>1</x:v>
      </x:c>
      <x:c r="L305" s="50" t="n">
        <x:v>45611.93505787037</x:v>
      </x:c>
      <x:c r="M305" s="50" t="n">
        <x:v>45611.93505787037</x:v>
      </x:c>
      <x:c r="N305" s="32" t="n">
        <x:f>IF(M305="","",MAX(0,'Resumen'!$B$3-M305))</x:f>
        <x:v>655.064942129633</x:v>
      </x:c>
      <x:c r="O305" s="38" t="n">
        <x:v>0</x:v>
      </x:c>
      <x:c r="P305" s="38" t="n">
        <x:v>0</x:v>
      </x:c>
      <x:c r="Q305" s="38" t="n">
        <x:v>0</x:v>
      </x:c>
      <x:c r="R305" s="38" t="n">
        <x:f>MIN(D305,I305)</x:f>
        <x:v>1</x:v>
      </x:c>
      <x:c r="S305" s="47" t="n">
        <x:f>IFERROR(R305/D305,0)</x:f>
        <x:v>0.5</x:v>
      </x:c>
      <x:c r="T305" s="38" t="n">
        <x:f>MIN(MAX(G305,0),MAX(D305-I305,0))</x:f>
        <x:v>1</x:v>
      </x:c>
      <x:c r="U305" s="44" t="n">
        <x:f>T305*E305</x:f>
        <x:v>6000</x:v>
      </x:c>
      <x:c r="V305" s="38" t="n">
        <x:v>0</x:v>
      </x:c>
      <x:c r="W305" s="32" t="n">
        <x:v>0</x:v>
      </x:c>
      <x:c r="X305" s="50"/>
      <x:c r="Y305" s="44" t="n">
        <x:v>10000</x:v>
      </x:c>
      <x:c r="Z305" s="44" t="n">
        <x:f>IF(I305&gt;0,R305*(J305/I305),0)</x:f>
        <x:v>10000</x:v>
      </x:c>
      <x:c r="AA305" s="44" t="n">
        <x:f>Z305-(R305*E305)</x:f>
        <x:v>4000</x:v>
      </x:c>
      <x:c r="AB305" s="47" t="n">
        <x:f>IFERROR(AA305/Z305,0)</x:f>
        <x:v>0.4</x:v>
      </x:c>
      <x:c r="AC305" s="32" t="str">
        <x:f>IF(S305=0,"0%",IF(S305&lt;0.5,"1-49%",IF(S305&lt;0.8,"50-79%",IF(S305&lt;1,"80-99%","100%"))))</x:f>
        <x:v>50-79%</x:v>
      </x:c>
      <x:c r="AD305" s="33" t="str">
        <x:f>IF(G305&lt;0,"Stock negativo",IF(G305&lt;=0,"Sin stock actual",IF(I305&lt;=0,"Sin ventas desde compra",IF(Q305&lt;=0,"Con stock, sin ventas 365d",IF(S305&lt;0.5,"Rotación baja",IF(S305&lt;1,"Rotación media","Compra absorbida; stock repuesto"))))))</x:f>
        <x:v>Con stock, sin ventas 365d</x:v>
      </x:c>
    </x:row>
    <x:row r="306">
      <x:c r="A306" s="31" t="str">
        <x:v>MOTS1292</x:v>
      </x:c>
      <x:c r="B306" s="53" t="str">
        <x:v>FILTRO AIRE ECO DELUXE SAI</x:v>
      </x:c>
      <x:c r="C306" s="32" t="n">
        <x:v>1</x:v>
      </x:c>
      <x:c r="D306" s="38" t="n">
        <x:v>3</x:v>
      </x:c>
      <x:c r="E306" s="44" t="n">
        <x:v>4000</x:v>
      </x:c>
      <x:c r="F306" s="44" t="n">
        <x:v>12000</x:v>
      </x:c>
      <x:c r="G306" s="41" t="n">
        <x:v>0</x:v>
      </x:c>
      <x:c r="H306" s="44" t="n">
        <x:f>MAX(G306,0)*E306</x:f>
        <x:v>0</x:v>
      </x:c>
      <x:c r="I306" s="38" t="n">
        <x:v>3</x:v>
      </x:c>
      <x:c r="J306" s="44" t="n">
        <x:v>19000</x:v>
      </x:c>
      <x:c r="K306" s="32" t="n">
        <x:v>3</x:v>
      </x:c>
      <x:c r="L306" s="50" t="n">
        <x:v>45598.67797453704</x:v>
      </x:c>
      <x:c r="M306" s="50" t="n">
        <x:v>45695.87467592592</x:v>
      </x:c>
      <x:c r="N306" s="32" t="n">
        <x:f>IF(M306="","",MAX(0,'Resumen'!$B$3-M306))</x:f>
        <x:v>571.1253240740771</x:v>
      </x:c>
      <x:c r="O306" s="38" t="n">
        <x:v>0</x:v>
      </x:c>
      <x:c r="P306" s="38" t="n">
        <x:v>0</x:v>
      </x:c>
      <x:c r="Q306" s="38" t="n">
        <x:v>0</x:v>
      </x:c>
      <x:c r="R306" s="38" t="n">
        <x:f>MIN(D306,I306)</x:f>
        <x:v>3</x:v>
      </x:c>
      <x:c r="S306" s="47" t="n">
        <x:f>IFERROR(R306/D306,0)</x:f>
        <x:v>1</x:v>
      </x:c>
      <x:c r="T306" s="38" t="n">
        <x:f>MIN(MAX(G306,0),MAX(D306-I306,0))</x:f>
        <x:v>0</x:v>
      </x:c>
      <x:c r="U306" s="44" t="n">
        <x:f>T306*E306</x:f>
        <x:v>0</x:v>
      </x:c>
      <x:c r="V306" s="38" t="n">
        <x:v>0</x:v>
      </x:c>
      <x:c r="W306" s="32" t="n">
        <x:v>0</x:v>
      </x:c>
      <x:c r="X306" s="50"/>
      <x:c r="Y306" s="44" t="n">
        <x:v>7000</x:v>
      </x:c>
      <x:c r="Z306" s="44" t="n">
        <x:f>IF(I306&gt;0,R306*(J306/I306),0)</x:f>
        <x:v>19000</x:v>
      </x:c>
      <x:c r="AA306" s="44" t="n">
        <x:f>Z306-(R306*E306)</x:f>
        <x:v>7000</x:v>
      </x:c>
      <x:c r="AB306" s="47" t="n">
        <x:f>IFERROR(AA306/Z306,0)</x:f>
        <x:v>0.3684210526315789</x:v>
      </x:c>
      <x:c r="AC306" s="32" t="str">
        <x:f>IF(S306=0,"0%",IF(S306&lt;0.5,"1-49%",IF(S306&lt;0.8,"50-79%",IF(S306&lt;1,"80-99%","100%"))))</x:f>
        <x:v>100%</x:v>
      </x:c>
      <x:c r="AD306" s="33" t="str">
        <x:f>IF(G306&lt;0,"Stock negativo",IF(G306&lt;=0,"Sin stock actual",IF(I306&lt;=0,"Sin ventas desde compra",IF(Q306&lt;=0,"Con stock, sin ventas 365d",IF(S306&lt;0.5,"Rotación baja",IF(S306&lt;1,"Rotación media","Compra absorbida; stock repuesto"))))))</x:f>
        <x:v>Sin stock actual</x:v>
      </x:c>
    </x:row>
    <x:row r="307">
      <x:c r="A307" s="31" t="str">
        <x:v>MOTS1313</x:v>
      </x:c>
      <x:c r="B307" s="53" t="str">
        <x:v>RETEN PLATINERA ECO DELUXE SIN ETAR H 36 HERO</x:v>
      </x:c>
      <x:c r="C307" s="32" t="n">
        <x:v>1</x:v>
      </x:c>
      <x:c r="D307" s="38" t="n">
        <x:v>3</x:v>
      </x:c>
      <x:c r="E307" s="44" t="n">
        <x:v>4000</x:v>
      </x:c>
      <x:c r="F307" s="44" t="n">
        <x:v>12000</x:v>
      </x:c>
      <x:c r="G307" s="41" t="n">
        <x:v>0</x:v>
      </x:c>
      <x:c r="H307" s="44" t="n">
        <x:f>MAX(G307,0)*E307</x:f>
        <x:v>0</x:v>
      </x:c>
      <x:c r="I307" s="38" t="n">
        <x:v>3</x:v>
      </x:c>
      <x:c r="J307" s="44" t="n">
        <x:v>20000</x:v>
      </x:c>
      <x:c r="K307" s="32" t="n">
        <x:v>3</x:v>
      </x:c>
      <x:c r="L307" s="50" t="n">
        <x:v>45527.77836805556</x:v>
      </x:c>
      <x:c r="M307" s="50" t="n">
        <x:v>45918.62378472222</x:v>
      </x:c>
      <x:c r="N307" s="32" t="n">
        <x:f>IF(M307="","",MAX(0,'Resumen'!$B$3-M307))</x:f>
        <x:v>348.3762152777781</x:v>
      </x:c>
      <x:c r="O307" s="38" t="n">
        <x:v>0</x:v>
      </x:c>
      <x:c r="P307" s="38" t="n">
        <x:v>0</x:v>
      </x:c>
      <x:c r="Q307" s="38" t="n">
        <x:v>1</x:v>
      </x:c>
      <x:c r="R307" s="38" t="n">
        <x:f>MIN(D307,I307)</x:f>
        <x:v>3</x:v>
      </x:c>
      <x:c r="S307" s="47" t="n">
        <x:f>IFERROR(R307/D307,0)</x:f>
        <x:v>1</x:v>
      </x:c>
      <x:c r="T307" s="38" t="n">
        <x:f>MIN(MAX(G307,0),MAX(D307-I307,0))</x:f>
        <x:v>0</x:v>
      </x:c>
      <x:c r="U307" s="44" t="n">
        <x:f>T307*E307</x:f>
        <x:v>0</x:v>
      </x:c>
      <x:c r="V307" s="38" t="n">
        <x:v>0</x:v>
      </x:c>
      <x:c r="W307" s="32" t="n">
        <x:v>0</x:v>
      </x:c>
      <x:c r="X307" s="50"/>
      <x:c r="Y307" s="44" t="n">
        <x:v>7000</x:v>
      </x:c>
      <x:c r="Z307" s="44" t="n">
        <x:f>IF(I307&gt;0,R307*(J307/I307),0)</x:f>
        <x:v>20000</x:v>
      </x:c>
      <x:c r="AA307" s="44" t="n">
        <x:f>Z307-(R307*E307)</x:f>
        <x:v>8000</x:v>
      </x:c>
      <x:c r="AB307" s="47" t="n">
        <x:f>IFERROR(AA307/Z307,0)</x:f>
        <x:v>0.4</x:v>
      </x:c>
      <x:c r="AC307" s="32" t="str">
        <x:f>IF(S307=0,"0%",IF(S307&lt;0.5,"1-49%",IF(S307&lt;0.8,"50-79%",IF(S307&lt;1,"80-99%","100%"))))</x:f>
        <x:v>100%</x:v>
      </x:c>
      <x:c r="AD307" s="33" t="str">
        <x:f>IF(G307&lt;0,"Stock negativo",IF(G307&lt;=0,"Sin stock actual",IF(I307&lt;=0,"Sin ventas desde compra",IF(Q307&lt;=0,"Con stock, sin ventas 365d",IF(S307&lt;0.5,"Rotación baja",IF(S307&lt;1,"Rotación media","Compra absorbida; stock repuesto"))))))</x:f>
        <x:v>Sin stock actual</x:v>
      </x:c>
    </x:row>
    <x:row r="308">
      <x:c r="A308" s="31" t="str">
        <x:v>ESC - 050309</x:v>
      </x:c>
      <x:c r="B308" s="53" t="str">
        <x:v>ESCOBILLAS ARRANQUE NXR 125 / BROS / CON BASE SYK</x:v>
      </x:c>
      <x:c r="C308" s="32" t="n">
        <x:v>1</x:v>
      </x:c>
      <x:c r="D308" s="38" t="n">
        <x:v>2</x:v>
      </x:c>
      <x:c r="E308" s="44" t="n">
        <x:v>5900</x:v>
      </x:c>
      <x:c r="F308" s="44" t="n">
        <x:v>11800</x:v>
      </x:c>
      <x:c r="G308" s="41" t="n">
        <x:v>1</x:v>
      </x:c>
      <x:c r="H308" s="44" t="n">
        <x:f>MAX(G308,0)*E308</x:f>
        <x:v>5900</x:v>
      </x:c>
      <x:c r="I308" s="38" t="n">
        <x:v>1</x:v>
      </x:c>
      <x:c r="J308" s="44" t="n">
        <x:v>10000</x:v>
      </x:c>
      <x:c r="K308" s="32" t="n">
        <x:v>1</x:v>
      </x:c>
      <x:c r="L308" s="50" t="n">
        <x:v>45927.860034722224</x:v>
      </x:c>
      <x:c r="M308" s="50" t="n">
        <x:v>45927.860034722224</x:v>
      </x:c>
      <x:c r="N308" s="32" t="n">
        <x:f>IF(M308="","",MAX(0,'Resumen'!$B$3-M308))</x:f>
        <x:v>339.13996527777635</x:v>
      </x:c>
      <x:c r="O308" s="38" t="n">
        <x:v>0</x:v>
      </x:c>
      <x:c r="P308" s="38" t="n">
        <x:v>0</x:v>
      </x:c>
      <x:c r="Q308" s="38" t="n">
        <x:v>1</x:v>
      </x:c>
      <x:c r="R308" s="38" t="n">
        <x:f>MIN(D308,I308)</x:f>
        <x:v>1</x:v>
      </x:c>
      <x:c r="S308" s="47" t="n">
        <x:f>IFERROR(R308/D308,0)</x:f>
        <x:v>0.5</x:v>
      </x:c>
      <x:c r="T308" s="38" t="n">
        <x:f>MIN(MAX(G308,0),MAX(D308-I308,0))</x:f>
        <x:v>1</x:v>
      </x:c>
      <x:c r="U308" s="44" t="n">
        <x:f>T308*E308</x:f>
        <x:v>5900</x:v>
      </x:c>
      <x:c r="V308" s="38" t="n">
        <x:v>0</x:v>
      </x:c>
      <x:c r="W308" s="32" t="n">
        <x:v>0</x:v>
      </x:c>
      <x:c r="X308" s="50"/>
      <x:c r="Y308" s="44" t="n">
        <x:v>10000</x:v>
      </x:c>
      <x:c r="Z308" s="44" t="n">
        <x:f>IF(I308&gt;0,R308*(J308/I308),0)</x:f>
        <x:v>10000</x:v>
      </x:c>
      <x:c r="AA308" s="44" t="n">
        <x:f>Z308-(R308*E308)</x:f>
        <x:v>4100</x:v>
      </x:c>
      <x:c r="AB308" s="47" t="n">
        <x:f>IFERROR(AA308/Z308,0)</x:f>
        <x:v>0.41</x:v>
      </x:c>
      <x:c r="AC308" s="32" t="str">
        <x:f>IF(S308=0,"0%",IF(S308&lt;0.5,"1-49%",IF(S308&lt;0.8,"50-79%",IF(S308&lt;1,"80-99%","100%"))))</x:f>
        <x:v>50-79%</x:v>
      </x:c>
      <x:c r="AD308" s="33" t="str">
        <x:f>IF(G308&lt;0,"Stock negativo",IF(G308&lt;=0,"Sin stock actual",IF(I308&lt;=0,"Sin ventas desde compra",IF(Q308&lt;=0,"Con stock, sin ventas 365d",IF(S308&lt;0.5,"Rotación baja",IF(S308&lt;1,"Rotación media","Compra absorbida; stock repuesto"))))))</x:f>
        <x:v>Rotación media</x:v>
      </x:c>
    </x:row>
    <x:row r="309">
      <x:c r="A309" s="31" t="str">
        <x:v>ESP - 035</x:v>
      </x:c>
      <x:c r="B309" s="53" t="str">
        <x:v>ESPEJOS BWS ROSCA No. 10 PAR RULY UNCO</x:v>
      </x:c>
      <x:c r="C309" s="32" t="n">
        <x:v>1</x:v>
      </x:c>
      <x:c r="D309" s="38" t="n">
        <x:v>1</x:v>
      </x:c>
      <x:c r="E309" s="44" t="n">
        <x:v>11800</x:v>
      </x:c>
      <x:c r="F309" s="44" t="n">
        <x:v>11800</x:v>
      </x:c>
      <x:c r="G309" s="41" t="n">
        <x:v>0</x:v>
      </x:c>
      <x:c r="H309" s="44" t="n">
        <x:f>MAX(G309,0)*E309</x:f>
        <x:v>0</x:v>
      </x:c>
      <x:c r="I309" s="38" t="n">
        <x:v>1</x:v>
      </x:c>
      <x:c r="J309" s="44" t="n">
        <x:v>20000</x:v>
      </x:c>
      <x:c r="K309" s="32" t="n">
        <x:v>1</x:v>
      </x:c>
      <x:c r="L309" s="50" t="n">
        <x:v>45686.892013888886</x:v>
      </x:c>
      <x:c r="M309" s="50" t="n">
        <x:v>45686.892013888886</x:v>
      </x:c>
      <x:c r="N309" s="32" t="n">
        <x:f>IF(M309="","",MAX(0,'Resumen'!$B$3-M309))</x:f>
        <x:v>580.1079861111139</x:v>
      </x:c>
      <x:c r="O309" s="38" t="n">
        <x:v>0</x:v>
      </x:c>
      <x:c r="P309" s="38" t="n">
        <x:v>0</x:v>
      </x:c>
      <x:c r="Q309" s="38" t="n">
        <x:v>0</x:v>
      </x:c>
      <x:c r="R309" s="38" t="n">
        <x:f>MIN(D309,I309)</x:f>
        <x:v>1</x:v>
      </x:c>
      <x:c r="S309" s="47" t="n">
        <x:f>IFERROR(R309/D309,0)</x:f>
        <x:v>1</x:v>
      </x:c>
      <x:c r="T309" s="38" t="n">
        <x:f>MIN(MAX(G309,0),MAX(D309-I309,0))</x:f>
        <x:v>0</x:v>
      </x:c>
      <x:c r="U309" s="44" t="n">
        <x:f>T309*E309</x:f>
        <x:v>0</x:v>
      </x:c>
      <x:c r="V309" s="38" t="n">
        <x:v>0</x:v>
      </x:c>
      <x:c r="W309" s="32" t="n">
        <x:v>0</x:v>
      </x:c>
      <x:c r="X309" s="50"/>
      <x:c r="Y309" s="44" t="n">
        <x:v>20000</x:v>
      </x:c>
      <x:c r="Z309" s="44" t="n">
        <x:f>IF(I309&gt;0,R309*(J309/I309),0)</x:f>
        <x:v>20000</x:v>
      </x:c>
      <x:c r="AA309" s="44" t="n">
        <x:f>Z309-(R309*E309)</x:f>
        <x:v>8200</x:v>
      </x:c>
      <x:c r="AB309" s="47" t="n">
        <x:f>IFERROR(AA309/Z309,0)</x:f>
        <x:v>0.41</x:v>
      </x:c>
      <x:c r="AC309" s="32" t="str">
        <x:f>IF(S309=0,"0%",IF(S309&lt;0.5,"1-49%",IF(S309&lt;0.8,"50-79%",IF(S309&lt;1,"80-99%","100%"))))</x:f>
        <x:v>100%</x:v>
      </x:c>
      <x:c r="AD309" s="33" t="str">
        <x:f>IF(G309&lt;0,"Stock negativo",IF(G309&lt;=0,"Sin stock actual",IF(I309&lt;=0,"Sin ventas desde compra",IF(Q309&lt;=0,"Con stock, sin ventas 365d",IF(S309&lt;0.5,"Rotación baja",IF(S309&lt;1,"Rotación media","Compra absorbida; stock repuesto"))))))</x:f>
        <x:v>Sin stock actual</x:v>
      </x:c>
    </x:row>
    <x:row r="310">
      <x:c r="A310" s="31" t="str">
        <x:v>MOTS1301</x:v>
      </x:c>
      <x:c r="B310" s="53" t="str">
        <x:v>EMPAQUE TAPA CLUCTH PULSAR 135 EMPAMERICAS</x:v>
      </x:c>
      <x:c r="C310" s="32" t="n">
        <x:v>1</x:v>
      </x:c>
      <x:c r="D310" s="38" t="n">
        <x:v>5</x:v>
      </x:c>
      <x:c r="E310" s="44" t="n">
        <x:v>2350</x:v>
      </x:c>
      <x:c r="F310" s="44" t="n">
        <x:v>11750</x:v>
      </x:c>
      <x:c r="G310" s="41" t="n">
        <x:v>3</x:v>
      </x:c>
      <x:c r="H310" s="44" t="n">
        <x:f>MAX(G310,0)*E310</x:f>
        <x:v>7050</x:v>
      </x:c>
      <x:c r="I310" s="38" t="n">
        <x:v>2</x:v>
      </x:c>
      <x:c r="J310" s="44" t="n">
        <x:v>7000</x:v>
      </x:c>
      <x:c r="K310" s="32" t="n">
        <x:v>2</x:v>
      </x:c>
      <x:c r="L310" s="50" t="n">
        <x:v>45605.93373842593</x:v>
      </x:c>
      <x:c r="M310" s="50" t="n">
        <x:v>45757.77099537037</x:v>
      </x:c>
      <x:c r="N310" s="32" t="n">
        <x:f>IF(M310="","",MAX(0,'Resumen'!$B$3-M310))</x:f>
        <x:v>509.229004629633</x:v>
      </x:c>
      <x:c r="O310" s="38" t="n">
        <x:v>0</x:v>
      </x:c>
      <x:c r="P310" s="38" t="n">
        <x:v>0</x:v>
      </x:c>
      <x:c r="Q310" s="38" t="n">
        <x:v>0</x:v>
      </x:c>
      <x:c r="R310" s="38" t="n">
        <x:f>MIN(D310,I310)</x:f>
        <x:v>2</x:v>
      </x:c>
      <x:c r="S310" s="47" t="n">
        <x:f>IFERROR(R310/D310,0)</x:f>
        <x:v>0.4</x:v>
      </x:c>
      <x:c r="T310" s="38" t="n">
        <x:f>MIN(MAX(G310,0),MAX(D310-I310,0))</x:f>
        <x:v>3</x:v>
      </x:c>
      <x:c r="U310" s="44" t="n">
        <x:f>T310*E310</x:f>
        <x:v>7050</x:v>
      </x:c>
      <x:c r="V310" s="38" t="n">
        <x:v>0</x:v>
      </x:c>
      <x:c r="W310" s="32" t="n">
        <x:v>0</x:v>
      </x:c>
      <x:c r="X310" s="50"/>
      <x:c r="Y310" s="44" t="n">
        <x:v>4000</x:v>
      </x:c>
      <x:c r="Z310" s="44" t="n">
        <x:f>IF(I310&gt;0,R310*(J310/I310),0)</x:f>
        <x:v>7000</x:v>
      </x:c>
      <x:c r="AA310" s="44" t="n">
        <x:f>Z310-(R310*E310)</x:f>
        <x:v>2300</x:v>
      </x:c>
      <x:c r="AB310" s="47" t="n">
        <x:f>IFERROR(AA310/Z310,0)</x:f>
        <x:v>0.32857142857142857</x:v>
      </x:c>
      <x:c r="AC310" s="32" t="str">
        <x:f>IF(S310=0,"0%",IF(S310&lt;0.5,"1-49%",IF(S310&lt;0.8,"50-79%",IF(S310&lt;1,"80-99%","100%"))))</x:f>
        <x:v>1-49%</x:v>
      </x:c>
      <x:c r="AD310" s="33" t="str">
        <x:f>IF(G310&lt;0,"Stock negativo",IF(G310&lt;=0,"Sin stock actual",IF(I310&lt;=0,"Sin ventas desde compra",IF(Q310&lt;=0,"Con stock, sin ventas 365d",IF(S310&lt;0.5,"Rotación baja",IF(S310&lt;1,"Rotación media","Compra absorbida; stock repuesto"))))))</x:f>
        <x:v>Con stock, sin ventas 365d</x:v>
      </x:c>
    </x:row>
    <x:row r="311">
      <x:c r="A311" s="31" t="str">
        <x:v>MOTS1278</x:v>
      </x:c>
      <x:c r="B311" s="53" t="str">
        <x:v>JUEGO RADIOS 8 X180 NIT ROX</x:v>
      </x:c>
      <x:c r="C311" s="32" t="n">
        <x:v>1</x:v>
      </x:c>
      <x:c r="D311" s="38" t="n">
        <x:v>1</x:v>
      </x:c>
      <x:c r="E311" s="44" t="n">
        <x:v>11500</x:v>
      </x:c>
      <x:c r="F311" s="44" t="n">
        <x:v>11500</x:v>
      </x:c>
      <x:c r="G311" s="41" t="n">
        <x:v>1</x:v>
      </x:c>
      <x:c r="H311" s="44" t="n">
        <x:f>MAX(G311,0)*E311</x:f>
        <x:v>11500</x:v>
      </x:c>
      <x:c r="I311" s="38" t="n">
        <x:v>0</x:v>
      </x:c>
      <x:c r="J311" s="44" t="n">
        <x:v>0</x:v>
      </x:c>
      <x:c r="K311" s="32" t="n">
        <x:v>0</x:v>
      </x:c>
      <x:c r="L311" s="50"/>
      <x:c r="M311" s="50"/>
      <x:c r="N311" s="32" t="str">
        <x:f>IF(M311="","",MAX(0,'Resumen'!$B$3-M311))</x:f>
      </x:c>
      <x:c r="O311" s="38" t="n">
        <x:v>0</x:v>
      </x:c>
      <x:c r="P311" s="38" t="n">
        <x:v>0</x:v>
      </x:c>
      <x:c r="Q311" s="38" t="n">
        <x:v>0</x:v>
      </x:c>
      <x:c r="R311" s="38" t="n">
        <x:f>MIN(D311,I311)</x:f>
        <x:v>0</x:v>
      </x:c>
      <x:c r="S311" s="47" t="n">
        <x:f>IFERROR(R311/D311,0)</x:f>
        <x:v>0</x:v>
      </x:c>
      <x:c r="T311" s="38" t="n">
        <x:f>MIN(MAX(G311,0),MAX(D311-I311,0))</x:f>
        <x:v>1</x:v>
      </x:c>
      <x:c r="U311" s="44" t="n">
        <x:f>T311*E311</x:f>
        <x:v>11500</x:v>
      </x:c>
      <x:c r="V311" s="38" t="n">
        <x:v>0</x:v>
      </x:c>
      <x:c r="W311" s="32" t="n">
        <x:v>0</x:v>
      </x:c>
      <x:c r="X311" s="50"/>
      <x:c r="Y311" s="44" t="n">
        <x:v>19500</x:v>
      </x:c>
      <x:c r="Z311" s="44" t="n">
        <x:f>IF(I311&gt;0,R311*(J311/I311),0)</x:f>
        <x:v>0</x:v>
      </x:c>
      <x:c r="AA311" s="44" t="n">
        <x:f>Z311-(R311*E311)</x:f>
        <x:v>0</x:v>
      </x:c>
      <x:c r="AB311" s="47" t="n">
        <x:f>IFERROR(AA311/Z311,0)</x:f>
        <x:v>0</x:v>
      </x:c>
      <x:c r="AC311" s="32" t="str">
        <x:f>IF(S311=0,"0%",IF(S311&lt;0.5,"1-49%",IF(S311&lt;0.8,"50-79%",IF(S311&lt;1,"80-99%","100%"))))</x:f>
        <x:v>0%</x:v>
      </x:c>
      <x:c r="AD311" s="33" t="str">
        <x:f>IF(G311&lt;0,"Stock negativo",IF(G311&lt;=0,"Sin stock actual",IF(I311&lt;=0,"Sin ventas desde compra",IF(Q311&lt;=0,"Con stock, sin ventas 365d",IF(S311&lt;0.5,"Rotación baja",IF(S311&lt;1,"Rotación media","Compra absorbida; stock repuesto"))))))</x:f>
        <x:v>Sin ventas desde compra</x:v>
      </x:c>
    </x:row>
    <x:row r="312">
      <x:c r="A312" s="31" t="str">
        <x:v>MOTS1279</x:v>
      </x:c>
      <x:c r="B312" s="53" t="str">
        <x:v>JUEGO RADIOS 9 X 190 NITROX</x:v>
      </x:c>
      <x:c r="C312" s="32" t="n">
        <x:v>1</x:v>
      </x:c>
      <x:c r="D312" s="38" t="n">
        <x:v>1</x:v>
      </x:c>
      <x:c r="E312" s="44" t="n">
        <x:v>11500</x:v>
      </x:c>
      <x:c r="F312" s="44" t="n">
        <x:v>11500</x:v>
      </x:c>
      <x:c r="G312" s="41" t="n">
        <x:v>1</x:v>
      </x:c>
      <x:c r="H312" s="44" t="n">
        <x:f>MAX(G312,0)*E312</x:f>
        <x:v>11500</x:v>
      </x:c>
      <x:c r="I312" s="38" t="n">
        <x:v>0</x:v>
      </x:c>
      <x:c r="J312" s="44" t="n">
        <x:v>0</x:v>
      </x:c>
      <x:c r="K312" s="32" t="n">
        <x:v>0</x:v>
      </x:c>
      <x:c r="L312" s="50"/>
      <x:c r="M312" s="50"/>
      <x:c r="N312" s="32" t="str">
        <x:f>IF(M312="","",MAX(0,'Resumen'!$B$3-M312))</x:f>
      </x:c>
      <x:c r="O312" s="38" t="n">
        <x:v>0</x:v>
      </x:c>
      <x:c r="P312" s="38" t="n">
        <x:v>0</x:v>
      </x:c>
      <x:c r="Q312" s="38" t="n">
        <x:v>0</x:v>
      </x:c>
      <x:c r="R312" s="38" t="n">
        <x:f>MIN(D312,I312)</x:f>
        <x:v>0</x:v>
      </x:c>
      <x:c r="S312" s="47" t="n">
        <x:f>IFERROR(R312/D312,0)</x:f>
        <x:v>0</x:v>
      </x:c>
      <x:c r="T312" s="38" t="n">
        <x:f>MIN(MAX(G312,0),MAX(D312-I312,0))</x:f>
        <x:v>1</x:v>
      </x:c>
      <x:c r="U312" s="44" t="n">
        <x:f>T312*E312</x:f>
        <x:v>11500</x:v>
      </x:c>
      <x:c r="V312" s="38" t="n">
        <x:v>0</x:v>
      </x:c>
      <x:c r="W312" s="32" t="n">
        <x:v>0</x:v>
      </x:c>
      <x:c r="X312" s="50"/>
      <x:c r="Y312" s="44" t="n">
        <x:v>19500</x:v>
      </x:c>
      <x:c r="Z312" s="44" t="n">
        <x:f>IF(I312&gt;0,R312*(J312/I312),0)</x:f>
        <x:v>0</x:v>
      </x:c>
      <x:c r="AA312" s="44" t="n">
        <x:f>Z312-(R312*E312)</x:f>
        <x:v>0</x:v>
      </x:c>
      <x:c r="AB312" s="47" t="n">
        <x:f>IFERROR(AA312/Z312,0)</x:f>
        <x:v>0</x:v>
      </x:c>
      <x:c r="AC312" s="32" t="str">
        <x:f>IF(S312=0,"0%",IF(S312&lt;0.5,"1-49%",IF(S312&lt;0.8,"50-79%",IF(S312&lt;1,"80-99%","100%"))))</x:f>
        <x:v>0%</x:v>
      </x:c>
      <x:c r="AD312" s="33" t="str">
        <x:f>IF(G312&lt;0,"Stock negativo",IF(G312&lt;=0,"Sin stock actual",IF(I312&lt;=0,"Sin ventas desde compra",IF(Q312&lt;=0,"Con stock, sin ventas 365d",IF(S312&lt;0.5,"Rotación baja",IF(S312&lt;1,"Rotación media","Compra absorbida; stock repuesto"))))))</x:f>
        <x:v>Sin ventas desde compra</x:v>
      </x:c>
    </x:row>
    <x:row r="313">
      <x:c r="A313" s="31" t="str">
        <x:v>4215</x:v>
      </x:c>
      <x:c r="B313" s="53" t="str">
        <x:v>TORNILLO FLANGE 6X 75 LLAVE 8 TORNIFRENOS</x:v>
      </x:c>
      <x:c r="C313" s="32" t="n">
        <x:v>1</x:v>
      </x:c>
      <x:c r="D313" s="38" t="n">
        <x:v>15</x:v>
      </x:c>
      <x:c r="E313" s="44" t="n">
        <x:v>762</x:v>
      </x:c>
      <x:c r="F313" s="44" t="n">
        <x:v>11430</x:v>
      </x:c>
      <x:c r="G313" s="41" t="n">
        <x:v>15</x:v>
      </x:c>
      <x:c r="H313" s="44" t="n">
        <x:f>MAX(G313,0)*E313</x:f>
        <x:v>11430</x:v>
      </x:c>
      <x:c r="I313" s="38" t="n">
        <x:v>0</x:v>
      </x:c>
      <x:c r="J313" s="44" t="n">
        <x:v>0</x:v>
      </x:c>
      <x:c r="K313" s="32" t="n">
        <x:v>0</x:v>
      </x:c>
      <x:c r="L313" s="50"/>
      <x:c r="M313" s="50"/>
      <x:c r="N313" s="32" t="str">
        <x:f>IF(M313="","",MAX(0,'Resumen'!$B$3-M313))</x:f>
      </x:c>
      <x:c r="O313" s="38" t="n">
        <x:v>0</x:v>
      </x:c>
      <x:c r="P313" s="38" t="n">
        <x:v>0</x:v>
      </x:c>
      <x:c r="Q313" s="38" t="n">
        <x:v>0</x:v>
      </x:c>
      <x:c r="R313" s="38" t="n">
        <x:f>MIN(D313,I313)</x:f>
        <x:v>0</x:v>
      </x:c>
      <x:c r="S313" s="47" t="n">
        <x:f>IFERROR(R313/D313,0)</x:f>
        <x:v>0</x:v>
      </x:c>
      <x:c r="T313" s="38" t="n">
        <x:f>MIN(MAX(G313,0),MAX(D313-I313,0))</x:f>
        <x:v>15</x:v>
      </x:c>
      <x:c r="U313" s="44" t="n">
        <x:f>T313*E313</x:f>
        <x:v>11430</x:v>
      </x:c>
      <x:c r="V313" s="38" t="n">
        <x:v>0</x:v>
      </x:c>
      <x:c r="W313" s="32" t="n">
        <x:v>0</x:v>
      </x:c>
      <x:c r="X313" s="50"/>
      <x:c r="Y313" s="44" t="n">
        <x:v>1500</x:v>
      </x:c>
      <x:c r="Z313" s="44" t="n">
        <x:f>IF(I313&gt;0,R313*(J313/I313),0)</x:f>
        <x:v>0</x:v>
      </x:c>
      <x:c r="AA313" s="44" t="n">
        <x:f>Z313-(R313*E313)</x:f>
        <x:v>0</x:v>
      </x:c>
      <x:c r="AB313" s="47" t="n">
        <x:f>IFERROR(AA313/Z313,0)</x:f>
        <x:v>0</x:v>
      </x:c>
      <x:c r="AC313" s="32" t="str">
        <x:f>IF(S313=0,"0%",IF(S313&lt;0.5,"1-49%",IF(S313&lt;0.8,"50-79%",IF(S313&lt;1,"80-99%","100%"))))</x:f>
        <x:v>0%</x:v>
      </x:c>
      <x:c r="AD313" s="33" t="str">
        <x:f>IF(G313&lt;0,"Stock negativo",IF(G313&lt;=0,"Sin stock actual",IF(I313&lt;=0,"Sin ventas desde compra",IF(Q313&lt;=0,"Con stock, sin ventas 365d",IF(S313&lt;0.5,"Rotación baja",IF(S313&lt;1,"Rotación media","Compra absorbida; stock repuesto"))))))</x:f>
        <x:v>Sin ventas desde compra</x:v>
      </x:c>
    </x:row>
    <x:row r="314">
      <x:c r="A314" s="31" t="str">
        <x:v>SATAY486</x:v>
      </x:c>
      <x:c r="B314" s="53" t="str">
        <x:v>CAPUCHINO BUJIA BWS NEGRO SAI</x:v>
      </x:c>
      <x:c r="C314" s="32" t="n">
        <x:v>1</x:v>
      </x:c>
      <x:c r="D314" s="38" t="n">
        <x:v>3</x:v>
      </x:c>
      <x:c r="E314" s="44" t="n">
        <x:v>3800</x:v>
      </x:c>
      <x:c r="F314" s="44" t="n">
        <x:v>11400</x:v>
      </x:c>
      <x:c r="G314" s="41" t="n">
        <x:v>0</x:v>
      </x:c>
      <x:c r="H314" s="44" t="n">
        <x:f>MAX(G314,0)*E314</x:f>
        <x:v>0</x:v>
      </x:c>
      <x:c r="I314" s="38" t="n">
        <x:v>3</x:v>
      </x:c>
      <x:c r="J314" s="44" t="n">
        <x:v>18900</x:v>
      </x:c>
      <x:c r="K314" s="32" t="n">
        <x:v>3</x:v>
      </x:c>
      <x:c r="L314" s="50" t="n">
        <x:v>45516.93638888889</x:v>
      </x:c>
      <x:c r="M314" s="50" t="n">
        <x:v>45585.615115740744</x:v>
      </x:c>
      <x:c r="N314" s="32" t="n">
        <x:f>IF(M314="","",MAX(0,'Resumen'!$B$3-M314))</x:f>
        <x:v>681.3848842592561</x:v>
      </x:c>
      <x:c r="O314" s="38" t="n">
        <x:v>0</x:v>
      </x:c>
      <x:c r="P314" s="38" t="n">
        <x:v>0</x:v>
      </x:c>
      <x:c r="Q314" s="38" t="n">
        <x:v>0</x:v>
      </x:c>
      <x:c r="R314" s="38" t="n">
        <x:f>MIN(D314,I314)</x:f>
        <x:v>3</x:v>
      </x:c>
      <x:c r="S314" s="47" t="n">
        <x:f>IFERROR(R314/D314,0)</x:f>
        <x:v>1</x:v>
      </x:c>
      <x:c r="T314" s="38" t="n">
        <x:f>MIN(MAX(G314,0),MAX(D314-I314,0))</x:f>
        <x:v>0</x:v>
      </x:c>
      <x:c r="U314" s="44" t="n">
        <x:f>T314*E314</x:f>
        <x:v>0</x:v>
      </x:c>
      <x:c r="V314" s="38" t="n">
        <x:v>0</x:v>
      </x:c>
      <x:c r="W314" s="32" t="n">
        <x:v>0</x:v>
      </x:c>
      <x:c r="X314" s="50"/>
      <x:c r="Y314" s="44" t="n">
        <x:v>7000</x:v>
      </x:c>
      <x:c r="Z314" s="44" t="n">
        <x:f>IF(I314&gt;0,R314*(J314/I314),0)</x:f>
        <x:v>18900</x:v>
      </x:c>
      <x:c r="AA314" s="44" t="n">
        <x:f>Z314-(R314*E314)</x:f>
        <x:v>7500</x:v>
      </x:c>
      <x:c r="AB314" s="47" t="n">
        <x:f>IFERROR(AA314/Z314,0)</x:f>
        <x:v>0.3968253968253968</x:v>
      </x:c>
      <x:c r="AC314" s="32" t="str">
        <x:f>IF(S314=0,"0%",IF(S314&lt;0.5,"1-49%",IF(S314&lt;0.8,"50-79%",IF(S314&lt;1,"80-99%","100%"))))</x:f>
        <x:v>100%</x:v>
      </x:c>
      <x:c r="AD314" s="33" t="str">
        <x:f>IF(G314&lt;0,"Stock negativo",IF(G314&lt;=0,"Sin stock actual",IF(I314&lt;=0,"Sin ventas desde compra",IF(Q314&lt;=0,"Con stock, sin ventas 365d",IF(S314&lt;0.5,"Rotación baja",IF(S314&lt;1,"Rotación media","Compra absorbida; stock repuesto"))))))</x:f>
        <x:v>Sin stock actual</x:v>
      </x:c>
    </x:row>
    <x:row r="315">
      <x:c r="A315" s="31" t="str">
        <x:v>PIN - 117</x:v>
      </x:c>
      <x:c r="B315" s="53" t="str">
        <x:v>PIN RETENEDOR TELESCOPIO EPLENDOR / ECO</x:v>
      </x:c>
      <x:c r="C315" s="32" t="n">
        <x:v>1</x:v>
      </x:c>
      <x:c r="D315" s="38" t="n">
        <x:v>8</x:v>
      </x:c>
      <x:c r="E315" s="44" t="n">
        <x:v>1400</x:v>
      </x:c>
      <x:c r="F315" s="44" t="n">
        <x:v>11200</x:v>
      </x:c>
      <x:c r="G315" s="41" t="n">
        <x:v>4</x:v>
      </x:c>
      <x:c r="H315" s="44" t="n">
        <x:f>MAX(G315,0)*E315</x:f>
        <x:v>5600</x:v>
      </x:c>
      <x:c r="I315" s="38" t="n">
        <x:v>4</x:v>
      </x:c>
      <x:c r="J315" s="44" t="n">
        <x:v>10000</x:v>
      </x:c>
      <x:c r="K315" s="32" t="n">
        <x:v>2</x:v>
      </x:c>
      <x:c r="L315" s="50" t="n">
        <x:v>45706.809212962966</x:v>
      </x:c>
      <x:c r="M315" s="50" t="n">
        <x:v>45840.57914351852</x:v>
      </x:c>
      <x:c r="N315" s="32" t="n">
        <x:f>IF(M315="","",MAX(0,'Resumen'!$B$3-M315))</x:f>
        <x:v>426.4208564814835</x:v>
      </x:c>
      <x:c r="O315" s="38" t="n">
        <x:v>0</x:v>
      </x:c>
      <x:c r="P315" s="38" t="n">
        <x:v>0</x:v>
      </x:c>
      <x:c r="Q315" s="38" t="n">
        <x:v>0</x:v>
      </x:c>
      <x:c r="R315" s="38" t="n">
        <x:f>MIN(D315,I315)</x:f>
        <x:v>4</x:v>
      </x:c>
      <x:c r="S315" s="47" t="n">
        <x:f>IFERROR(R315/D315,0)</x:f>
        <x:v>0.5</x:v>
      </x:c>
      <x:c r="T315" s="38" t="n">
        <x:f>MIN(MAX(G315,0),MAX(D315-I315,0))</x:f>
        <x:v>4</x:v>
      </x:c>
      <x:c r="U315" s="44" t="n">
        <x:f>T315*E315</x:f>
        <x:v>5600</x:v>
      </x:c>
      <x:c r="V315" s="38" t="n">
        <x:v>0</x:v>
      </x:c>
      <x:c r="W315" s="32" t="n">
        <x:v>0</x:v>
      </x:c>
      <x:c r="X315" s="50"/>
      <x:c r="Y315" s="44" t="n">
        <x:v>2500</x:v>
      </x:c>
      <x:c r="Z315" s="44" t="n">
        <x:f>IF(I315&gt;0,R315*(J315/I315),0)</x:f>
        <x:v>10000</x:v>
      </x:c>
      <x:c r="AA315" s="44" t="n">
        <x:f>Z315-(R315*E315)</x:f>
        <x:v>4400</x:v>
      </x:c>
      <x:c r="AB315" s="47" t="n">
        <x:f>IFERROR(AA315/Z315,0)</x:f>
        <x:v>0.44</x:v>
      </x:c>
      <x:c r="AC315" s="32" t="str">
        <x:f>IF(S315=0,"0%",IF(S315&lt;0.5,"1-49%",IF(S315&lt;0.8,"50-79%",IF(S315&lt;1,"80-99%","100%"))))</x:f>
        <x:v>50-79%</x:v>
      </x:c>
      <x:c r="AD315" s="33" t="str">
        <x:f>IF(G315&lt;0,"Stock negativo",IF(G315&lt;=0,"Sin stock actual",IF(I315&lt;=0,"Sin ventas desde compra",IF(Q315&lt;=0,"Con stock, sin ventas 365d",IF(S315&lt;0.5,"Rotación baja",IF(S315&lt;1,"Rotación media","Compra absorbida; stock repuesto"))))))</x:f>
        <x:v>Con stock, sin ventas 365d</x:v>
      </x:c>
    </x:row>
    <x:row r="316">
      <x:c r="A316" s="31" t="str">
        <x:v>GUA - 055286</x:v>
      </x:c>
      <x:c r="B316" s="53" t="str">
        <x:v>GUAYA CLUCTH NFO SYK</x:v>
      </x:c>
      <x:c r="C316" s="32" t="n">
        <x:v>1</x:v>
      </x:c>
      <x:c r="D316" s="38" t="n">
        <x:v>2</x:v>
      </x:c>
      <x:c r="E316" s="44" t="n">
        <x:v>5500</x:v>
      </x:c>
      <x:c r="F316" s="44" t="n">
        <x:v>11000</x:v>
      </x:c>
      <x:c r="G316" s="41" t="n">
        <x:v>0</x:v>
      </x:c>
      <x:c r="H316" s="44" t="n">
        <x:f>MAX(G316,0)*E316</x:f>
        <x:v>0</x:v>
      </x:c>
      <x:c r="I316" s="38" t="n">
        <x:v>2</x:v>
      </x:c>
      <x:c r="J316" s="44" t="n">
        <x:v>18500</x:v>
      </x:c>
      <x:c r="K316" s="32" t="n">
        <x:v>2</x:v>
      </x:c>
      <x:c r="L316" s="50" t="n">
        <x:v>45660.911678240744</x:v>
      </x:c>
      <x:c r="M316" s="50" t="n">
        <x:v>46017.629641203705</x:v>
      </x:c>
      <x:c r="N316" s="32" t="n">
        <x:f>IF(M316="","",MAX(0,'Resumen'!$B$3-M316))</x:f>
        <x:v>249.37035879629548</x:v>
      </x:c>
      <x:c r="O316" s="38" t="n">
        <x:v>0</x:v>
      </x:c>
      <x:c r="P316" s="38" t="n">
        <x:v>0</x:v>
      </x:c>
      <x:c r="Q316" s="38" t="n">
        <x:v>1</x:v>
      </x:c>
      <x:c r="R316" s="38" t="n">
        <x:f>MIN(D316,I316)</x:f>
        <x:v>2</x:v>
      </x:c>
      <x:c r="S316" s="47" t="n">
        <x:f>IFERROR(R316/D316,0)</x:f>
        <x:v>1</x:v>
      </x:c>
      <x:c r="T316" s="38" t="n">
        <x:f>MIN(MAX(G316,0),MAX(D316-I316,0))</x:f>
        <x:v>0</x:v>
      </x:c>
      <x:c r="U316" s="44" t="n">
        <x:f>T316*E316</x:f>
        <x:v>0</x:v>
      </x:c>
      <x:c r="V316" s="38" t="n">
        <x:v>0</x:v>
      </x:c>
      <x:c r="W316" s="32" t="n">
        <x:v>0</x:v>
      </x:c>
      <x:c r="X316" s="50"/>
      <x:c r="Y316" s="44" t="n">
        <x:v>9500</x:v>
      </x:c>
      <x:c r="Z316" s="44" t="n">
        <x:f>IF(I316&gt;0,R316*(J316/I316),0)</x:f>
        <x:v>18500</x:v>
      </x:c>
      <x:c r="AA316" s="44" t="n">
        <x:f>Z316-(R316*E316)</x:f>
        <x:v>7500</x:v>
      </x:c>
      <x:c r="AB316" s="47" t="n">
        <x:f>IFERROR(AA316/Z316,0)</x:f>
        <x:v>0.40540540540540543</x:v>
      </x:c>
      <x:c r="AC316" s="32" t="str">
        <x:f>IF(S316=0,"0%",IF(S316&lt;0.5,"1-49%",IF(S316&lt;0.8,"50-79%",IF(S316&lt;1,"80-99%","100%"))))</x:f>
        <x:v>100%</x:v>
      </x:c>
      <x:c r="AD316" s="33" t="str">
        <x:f>IF(G316&lt;0,"Stock negativo",IF(G316&lt;=0,"Sin stock actual",IF(I316&lt;=0,"Sin ventas desde compra",IF(Q316&lt;=0,"Con stock, sin ventas 365d",IF(S316&lt;0.5,"Rotación baja",IF(S316&lt;1,"Rotación media","Compra absorbida; stock repuesto"))))))</x:f>
        <x:v>Sin stock actual</x:v>
      </x:c>
    </x:row>
    <x:row r="317">
      <x:c r="A317" s="31" t="str">
        <x:v>MOTS1106</x:v>
      </x:c>
      <x:c r="B317" s="53" t="str">
        <x:v>PIÑON BAMBA ACEITE ECO</x:v>
      </x:c>
      <x:c r="C317" s="32" t="n">
        <x:v>1</x:v>
      </x:c>
      <x:c r="D317" s="38" t="n">
        <x:v>5</x:v>
      </x:c>
      <x:c r="E317" s="44" t="n">
        <x:v>2200</x:v>
      </x:c>
      <x:c r="F317" s="44" t="n">
        <x:v>11000</x:v>
      </x:c>
      <x:c r="G317" s="41" t="n">
        <x:v>4</x:v>
      </x:c>
      <x:c r="H317" s="44" t="n">
        <x:f>MAX(G317,0)*E317</x:f>
        <x:v>8800</x:v>
      </x:c>
      <x:c r="I317" s="38" t="n">
        <x:v>1</x:v>
      </x:c>
      <x:c r="J317" s="44" t="n">
        <x:v>4000</x:v>
      </x:c>
      <x:c r="K317" s="32" t="n">
        <x:v>1</x:v>
      </x:c>
      <x:c r="L317" s="50" t="n">
        <x:v>45553.66709490741</x:v>
      </x:c>
      <x:c r="M317" s="50" t="n">
        <x:v>45553.66709490741</x:v>
      </x:c>
      <x:c r="N317" s="32" t="n">
        <x:f>IF(M317="","",MAX(0,'Resumen'!$B$3-M317))</x:f>
        <x:v>713.3329050925895</x:v>
      </x:c>
      <x:c r="O317" s="38" t="n">
        <x:v>0</x:v>
      </x:c>
      <x:c r="P317" s="38" t="n">
        <x:v>0</x:v>
      </x:c>
      <x:c r="Q317" s="38" t="n">
        <x:v>0</x:v>
      </x:c>
      <x:c r="R317" s="38" t="n">
        <x:f>MIN(D317,I317)</x:f>
        <x:v>1</x:v>
      </x:c>
      <x:c r="S317" s="47" t="n">
        <x:f>IFERROR(R317/D317,0)</x:f>
        <x:v>0.2</x:v>
      </x:c>
      <x:c r="T317" s="38" t="n">
        <x:f>MIN(MAX(G317,0),MAX(D317-I317,0))</x:f>
        <x:v>4</x:v>
      </x:c>
      <x:c r="U317" s="44" t="n">
        <x:f>T317*E317</x:f>
        <x:v>8800</x:v>
      </x:c>
      <x:c r="V317" s="38" t="n">
        <x:v>0</x:v>
      </x:c>
      <x:c r="W317" s="32" t="n">
        <x:v>0</x:v>
      </x:c>
      <x:c r="X317" s="50"/>
      <x:c r="Y317" s="44" t="n">
        <x:v>4000</x:v>
      </x:c>
      <x:c r="Z317" s="44" t="n">
        <x:f>IF(I317&gt;0,R317*(J317/I317),0)</x:f>
        <x:v>4000</x:v>
      </x:c>
      <x:c r="AA317" s="44" t="n">
        <x:f>Z317-(R317*E317)</x:f>
        <x:v>1800</x:v>
      </x:c>
      <x:c r="AB317" s="47" t="n">
        <x:f>IFERROR(AA317/Z317,0)</x:f>
        <x:v>0.45</x:v>
      </x:c>
      <x:c r="AC317" s="32" t="str">
        <x:f>IF(S317=0,"0%",IF(S317&lt;0.5,"1-49%",IF(S317&lt;0.8,"50-79%",IF(S317&lt;1,"80-99%","100%"))))</x:f>
        <x:v>1-49%</x:v>
      </x:c>
      <x:c r="AD317" s="33" t="str">
        <x:f>IF(G317&lt;0,"Stock negativo",IF(G317&lt;=0,"Sin stock actual",IF(I317&lt;=0,"Sin ventas desde compra",IF(Q317&lt;=0,"Con stock, sin ventas 365d",IF(S317&lt;0.5,"Rotación baja",IF(S317&lt;1,"Rotación media","Compra absorbida; stock repuesto"))))))</x:f>
        <x:v>Con stock, sin ventas 365d</x:v>
      </x:c>
    </x:row>
    <x:row r="318">
      <x:c r="A318" s="31" t="str">
        <x:v>OYQ 180M</x:v>
      </x:c>
      <x:c r="B318" s="53" t="str">
        <x:v>EMPAQUE EXOSTO FZ 16 / 52 16 R F2 20 DARROW</x:v>
      </x:c>
      <x:c r="C318" s="32" t="n">
        <x:v>1</x:v>
      </x:c>
      <x:c r="D318" s="38" t="n">
        <x:v>10</x:v>
      </x:c>
      <x:c r="E318" s="44" t="n">
        <x:v>1100</x:v>
      </x:c>
      <x:c r="F318" s="44" t="n">
        <x:v>11000</x:v>
      </x:c>
      <x:c r="G318" s="41" t="n">
        <x:v>0</x:v>
      </x:c>
      <x:c r="H318" s="44" t="n">
        <x:f>MAX(G318,0)*E318</x:f>
        <x:v>0</x:v>
      </x:c>
      <x:c r="I318" s="38" t="n">
        <x:v>10</x:v>
      </x:c>
      <x:c r="J318" s="44" t="n">
        <x:v>20000</x:v>
      </x:c>
      <x:c r="K318" s="32" t="n">
        <x:v>10</x:v>
      </x:c>
      <x:c r="L318" s="50" t="n">
        <x:v>45502.92077546296</x:v>
      </x:c>
      <x:c r="M318" s="50" t="n">
        <x:v>45591.58458333334</x:v>
      </x:c>
      <x:c r="N318" s="32" t="n">
        <x:f>IF(M318="","",MAX(0,'Resumen'!$B$3-M318))</x:f>
        <x:v>675.4154166666631</x:v>
      </x:c>
      <x:c r="O318" s="38" t="n">
        <x:v>0</x:v>
      </x:c>
      <x:c r="P318" s="38" t="n">
        <x:v>0</x:v>
      </x:c>
      <x:c r="Q318" s="38" t="n">
        <x:v>0</x:v>
      </x:c>
      <x:c r="R318" s="38" t="n">
        <x:f>MIN(D318,I318)</x:f>
        <x:v>10</x:v>
      </x:c>
      <x:c r="S318" s="47" t="n">
        <x:f>IFERROR(R318/D318,0)</x:f>
        <x:v>1</x:v>
      </x:c>
      <x:c r="T318" s="38" t="n">
        <x:f>MIN(MAX(G318,0),MAX(D318-I318,0))</x:f>
        <x:v>0</x:v>
      </x:c>
      <x:c r="U318" s="44" t="n">
        <x:f>T318*E318</x:f>
        <x:v>0</x:v>
      </x:c>
      <x:c r="V318" s="38" t="n">
        <x:v>0</x:v>
      </x:c>
      <x:c r="W318" s="32" t="n">
        <x:v>0</x:v>
      </x:c>
      <x:c r="X318" s="50"/>
      <x:c r="Y318" s="44" t="n">
        <x:v>2000</x:v>
      </x:c>
      <x:c r="Z318" s="44" t="n">
        <x:f>IF(I318&gt;0,R318*(J318/I318),0)</x:f>
        <x:v>20000</x:v>
      </x:c>
      <x:c r="AA318" s="44" t="n">
        <x:f>Z318-(R318*E318)</x:f>
        <x:v>9000</x:v>
      </x:c>
      <x:c r="AB318" s="47" t="n">
        <x:f>IFERROR(AA318/Z318,0)</x:f>
        <x:v>0.45</x:v>
      </x:c>
      <x:c r="AC318" s="32" t="str">
        <x:f>IF(S318=0,"0%",IF(S318&lt;0.5,"1-49%",IF(S318&lt;0.8,"50-79%",IF(S318&lt;1,"80-99%","100%"))))</x:f>
        <x:v>100%</x:v>
      </x:c>
      <x:c r="AD318" s="33" t="str">
        <x:f>IF(G318&lt;0,"Stock negativo",IF(G318&lt;=0,"Sin stock actual",IF(I318&lt;=0,"Sin ventas desde compra",IF(Q318&lt;=0,"Con stock, sin ventas 365d",IF(S318&lt;0.5,"Rotación baja",IF(S318&lt;1,"Rotación media","Compra absorbida; stock repuesto"))))))</x:f>
        <x:v>Sin stock actual</x:v>
      </x:c>
    </x:row>
    <x:row r="319">
      <x:c r="A319" s="31" t="str">
        <x:v>MOTS1028</x:v>
      </x:c>
      <x:c r="B319" s="53" t="str">
        <x:v>CAUCHO AMORTIGUADOR BUJE 10 MM</x:v>
      </x:c>
      <x:c r="C319" s="32" t="n">
        <x:v>1</x:v>
      </x:c>
      <x:c r="D319" s="38" t="n">
        <x:v>7</x:v>
      </x:c>
      <x:c r="E319" s="44" t="n">
        <x:v>1550</x:v>
      </x:c>
      <x:c r="F319" s="44" t="n">
        <x:v>10850</x:v>
      </x:c>
      <x:c r="G319" s="41" t="n">
        <x:v>2</x:v>
      </x:c>
      <x:c r="H319" s="44" t="n">
        <x:f>MAX(G319,0)*E319</x:f>
        <x:v>3100</x:v>
      </x:c>
      <x:c r="I319" s="38" t="n">
        <x:v>7</x:v>
      </x:c>
      <x:c r="J319" s="44" t="n">
        <x:v>21000</x:v>
      </x:c>
      <x:c r="K319" s="32" t="n">
        <x:v>4</x:v>
      </x:c>
      <x:c r="L319" s="50" t="n">
        <x:v>45541.91898148148</x:v>
      </x:c>
      <x:c r="M319" s="50" t="n">
        <x:v>45614.70002314815</x:v>
      </x:c>
      <x:c r="N319" s="32" t="n">
        <x:f>IF(M319="","",MAX(0,'Resumen'!$B$3-M319))</x:f>
        <x:v>652.2999768518494</x:v>
      </x:c>
      <x:c r="O319" s="38" t="n">
        <x:v>0</x:v>
      </x:c>
      <x:c r="P319" s="38" t="n">
        <x:v>0</x:v>
      </x:c>
      <x:c r="Q319" s="38" t="n">
        <x:v>0</x:v>
      </x:c>
      <x:c r="R319" s="38" t="n">
        <x:f>MIN(D319,I319)</x:f>
        <x:v>7</x:v>
      </x:c>
      <x:c r="S319" s="47" t="n">
        <x:f>IFERROR(R319/D319,0)</x:f>
        <x:v>1</x:v>
      </x:c>
      <x:c r="T319" s="38" t="n">
        <x:f>MIN(MAX(G319,0),MAX(D319-I319,0))</x:f>
        <x:v>0</x:v>
      </x:c>
      <x:c r="U319" s="44" t="n">
        <x:f>T319*E319</x:f>
        <x:v>0</x:v>
      </x:c>
      <x:c r="V319" s="38" t="n">
        <x:v>4</x:v>
      </x:c>
      <x:c r="W319" s="32" t="n">
        <x:v>1</x:v>
      </x:c>
      <x:c r="X319" s="50" t="n">
        <x:v>45553</x:v>
      </x:c>
      <x:c r="Y319" s="44" t="n">
        <x:v>3000</x:v>
      </x:c>
      <x:c r="Z319" s="44" t="n">
        <x:f>IF(I319&gt;0,R319*(J319/I319),0)</x:f>
        <x:v>21000</x:v>
      </x:c>
      <x:c r="AA319" s="44" t="n">
        <x:f>Z319-(R319*E319)</x:f>
        <x:v>10150</x:v>
      </x:c>
      <x:c r="AB319" s="47" t="n">
        <x:f>IFERROR(AA319/Z319,0)</x:f>
        <x:v>0.48333333333333334</x:v>
      </x:c>
      <x:c r="AC319" s="32" t="str">
        <x:f>IF(S319=0,"0%",IF(S319&lt;0.5,"1-49%",IF(S319&lt;0.8,"50-79%",IF(S319&lt;1,"80-99%","100%"))))</x:f>
        <x:v>100%</x:v>
      </x:c>
      <x:c r="AD319" s="33" t="str">
        <x:f>IF(G319&lt;0,"Stock negativo",IF(G319&lt;=0,"Sin stock actual",IF(I319&lt;=0,"Sin ventas desde compra",IF(Q319&lt;=0,"Con stock, sin ventas 365d",IF(S319&lt;0.5,"Rotación baja",IF(S319&lt;1,"Rotación media","Compra absorbida; stock repuesto"))))))</x:f>
        <x:v>Con stock, sin ventas 365d</x:v>
      </x:c>
    </x:row>
    <x:row r="320">
      <x:c r="A320" s="31" t="str">
        <x:v>EMP - 0212129</x:v>
      </x:c>
      <x:c r="B320" s="53" t="str">
        <x:v>EMPAQUE CILINDRO ECO / C70 / C90 / EPLENDOR DARROW</x:v>
      </x:c>
      <x:c r="C320" s="32" t="n">
        <x:v>1</x:v>
      </x:c>
      <x:c r="D320" s="38" t="n">
        <x:v>9</x:v>
      </x:c>
      <x:c r="E320" s="44" t="n">
        <x:v>1200</x:v>
      </x:c>
      <x:c r="F320" s="44" t="n">
        <x:v>10800</x:v>
      </x:c>
      <x:c r="G320" s="41" t="n">
        <x:v>8</x:v>
      </x:c>
      <x:c r="H320" s="44" t="n">
        <x:f>MAX(G320,0)*E320</x:f>
        <x:v>9600</x:v>
      </x:c>
      <x:c r="I320" s="38" t="n">
        <x:v>1</x:v>
      </x:c>
      <x:c r="J320" s="44" t="n">
        <x:v>2000</x:v>
      </x:c>
      <x:c r="K320" s="32" t="n">
        <x:v>1</x:v>
      </x:c>
      <x:c r="L320" s="50" t="n">
        <x:v>45776.87934027778</x:v>
      </x:c>
      <x:c r="M320" s="50" t="n">
        <x:v>45776.87934027778</x:v>
      </x:c>
      <x:c r="N320" s="32" t="n">
        <x:f>IF(M320="","",MAX(0,'Resumen'!$B$3-M320))</x:f>
        <x:v>490.120659722219</x:v>
      </x:c>
      <x:c r="O320" s="38" t="n">
        <x:v>0</x:v>
      </x:c>
      <x:c r="P320" s="38" t="n">
        <x:v>0</x:v>
      </x:c>
      <x:c r="Q320" s="38" t="n">
        <x:v>0</x:v>
      </x:c>
      <x:c r="R320" s="38" t="n">
        <x:f>MIN(D320,I320)</x:f>
        <x:v>1</x:v>
      </x:c>
      <x:c r="S320" s="47" t="n">
        <x:f>IFERROR(R320/D320,0)</x:f>
        <x:v>0.1111111111111111</x:v>
      </x:c>
      <x:c r="T320" s="38" t="n">
        <x:f>MIN(MAX(G320,0),MAX(D320-I320,0))</x:f>
        <x:v>8</x:v>
      </x:c>
      <x:c r="U320" s="44" t="n">
        <x:f>T320*E320</x:f>
        <x:v>9600</x:v>
      </x:c>
      <x:c r="V320" s="38" t="n">
        <x:v>0</x:v>
      </x:c>
      <x:c r="W320" s="32" t="n">
        <x:v>0</x:v>
      </x:c>
      <x:c r="X320" s="50"/>
      <x:c r="Y320" s="44" t="n">
        <x:v>2000</x:v>
      </x:c>
      <x:c r="Z320" s="44" t="n">
        <x:f>IF(I320&gt;0,R320*(J320/I320),0)</x:f>
        <x:v>2000</x:v>
      </x:c>
      <x:c r="AA320" s="44" t="n">
        <x:f>Z320-(R320*E320)</x:f>
        <x:v>800</x:v>
      </x:c>
      <x:c r="AB320" s="47" t="n">
        <x:f>IFERROR(AA320/Z320,0)</x:f>
        <x:v>0.4</x:v>
      </x:c>
      <x:c r="AC320" s="32" t="str">
        <x:f>IF(S320=0,"0%",IF(S320&lt;0.5,"1-49%",IF(S320&lt;0.8,"50-79%",IF(S320&lt;1,"80-99%","100%"))))</x:f>
        <x:v>1-49%</x:v>
      </x:c>
      <x:c r="AD320" s="33" t="str">
        <x:f>IF(G320&lt;0,"Stock negativo",IF(G320&lt;=0,"Sin stock actual",IF(I320&lt;=0,"Sin ventas desde compra",IF(Q320&lt;=0,"Con stock, sin ventas 365d",IF(S320&lt;0.5,"Rotación baja",IF(S320&lt;1,"Rotación media","Compra absorbida; stock repuesto"))))))</x:f>
        <x:v>Con stock, sin ventas 365d</x:v>
      </x:c>
    </x:row>
    <x:row r="321">
      <x:c r="A321" s="31" t="str">
        <x:v>MAN - 06108</x:v>
      </x:c>
      <x:c r="B321" s="53" t="str">
        <x:v>MANIGUETA DER AT 125 YAMAHA</x:v>
      </x:c>
      <x:c r="C321" s="32" t="n">
        <x:v>1</x:v>
      </x:c>
      <x:c r="D321" s="38" t="n">
        <x:v>3</x:v>
      </x:c>
      <x:c r="E321" s="44" t="n">
        <x:v>3600</x:v>
      </x:c>
      <x:c r="F321" s="44" t="n">
        <x:v>10800</x:v>
      </x:c>
      <x:c r="G321" s="41" t="n">
        <x:v>2</x:v>
      </x:c>
      <x:c r="H321" s="44" t="n">
        <x:f>MAX(G321,0)*E321</x:f>
        <x:v>7200</x:v>
      </x:c>
      <x:c r="I321" s="38" t="n">
        <x:v>1</x:v>
      </x:c>
      <x:c r="J321" s="44" t="n">
        <x:v>6000</x:v>
      </x:c>
      <x:c r="K321" s="32" t="n">
        <x:v>1</x:v>
      </x:c>
      <x:c r="L321" s="50" t="n">
        <x:v>45759.570625</x:v>
      </x:c>
      <x:c r="M321" s="50" t="n">
        <x:v>45759.570625</x:v>
      </x:c>
      <x:c r="N321" s="32" t="n">
        <x:f>IF(M321="","",MAX(0,'Resumen'!$B$3-M321))</x:f>
        <x:v>507.4293749999997</x:v>
      </x:c>
      <x:c r="O321" s="38" t="n">
        <x:v>0</x:v>
      </x:c>
      <x:c r="P321" s="38" t="n">
        <x:v>0</x:v>
      </x:c>
      <x:c r="Q321" s="38" t="n">
        <x:v>0</x:v>
      </x:c>
      <x:c r="R321" s="38" t="n">
        <x:f>MIN(D321,I321)</x:f>
        <x:v>1</x:v>
      </x:c>
      <x:c r="S321" s="47" t="n">
        <x:f>IFERROR(R321/D321,0)</x:f>
        <x:v>0.3333333333333333</x:v>
      </x:c>
      <x:c r="T321" s="38" t="n">
        <x:f>MIN(MAX(G321,0),MAX(D321-I321,0))</x:f>
        <x:v>2</x:v>
      </x:c>
      <x:c r="U321" s="44" t="n">
        <x:f>T321*E321</x:f>
        <x:v>7200</x:v>
      </x:c>
      <x:c r="V321" s="38" t="n">
        <x:v>0</x:v>
      </x:c>
      <x:c r="W321" s="32" t="n">
        <x:v>0</x:v>
      </x:c>
      <x:c r="X321" s="50"/>
      <x:c r="Y321" s="44" t="n">
        <x:v>6000</x:v>
      </x:c>
      <x:c r="Z321" s="44" t="n">
        <x:f>IF(I321&gt;0,R321*(J321/I321),0)</x:f>
        <x:v>6000</x:v>
      </x:c>
      <x:c r="AA321" s="44" t="n">
        <x:f>Z321-(R321*E321)</x:f>
        <x:v>2400</x:v>
      </x:c>
      <x:c r="AB321" s="47" t="n">
        <x:f>IFERROR(AA321/Z321,0)</x:f>
        <x:v>0.4</x:v>
      </x:c>
      <x:c r="AC321" s="32" t="str">
        <x:f>IF(S321=0,"0%",IF(S321&lt;0.5,"1-49%",IF(S321&lt;0.8,"50-79%",IF(S321&lt;1,"80-99%","100%"))))</x:f>
        <x:v>1-49%</x:v>
      </x:c>
      <x:c r="AD321" s="33" t="str">
        <x:f>IF(G321&lt;0,"Stock negativo",IF(G321&lt;=0,"Sin stock actual",IF(I321&lt;=0,"Sin ventas desde compra",IF(Q321&lt;=0,"Con stock, sin ventas 365d",IF(S321&lt;0.5,"Rotación baja",IF(S321&lt;1,"Rotación media","Compra absorbida; stock repuesto"))))))</x:f>
        <x:v>Con stock, sin ventas 365d</x:v>
      </x:c>
    </x:row>
    <x:row r="322">
      <x:c r="A322" s="31" t="str">
        <x:v>MOTS1318</x:v>
      </x:c>
      <x:c r="B322" s="53" t="str">
        <x:v>BOMBILLO TABLERO 6V</x:v>
      </x:c>
      <x:c r="C322" s="32" t="n">
        <x:v>1</x:v>
      </x:c>
      <x:c r="D322" s="38" t="n">
        <x:v>53</x:v>
      </x:c>
      <x:c r="E322" s="44" t="n">
        <x:v>200</x:v>
      </x:c>
      <x:c r="F322" s="44" t="n">
        <x:v>10600</x:v>
      </x:c>
      <x:c r="G322" s="41" t="n">
        <x:v>64</x:v>
      </x:c>
      <x:c r="H322" s="44" t="n">
        <x:f>MAX(G322,0)*E322</x:f>
        <x:v>12800</x:v>
      </x:c>
      <x:c r="I322" s="38" t="n">
        <x:v>5</x:v>
      </x:c>
      <x:c r="J322" s="44" t="n">
        <x:v>2500</x:v>
      </x:c>
      <x:c r="K322" s="32" t="n">
        <x:v>2</x:v>
      </x:c>
      <x:c r="L322" s="50" t="n">
        <x:v>45919.607141203705</x:v>
      </x:c>
      <x:c r="M322" s="50" t="n">
        <x:v>46006.718819444446</x:v>
      </x:c>
      <x:c r="N322" s="32" t="n">
        <x:f>IF(M322="","",MAX(0,'Resumen'!$B$3-M322))</x:f>
        <x:v>260.2811805555539</x:v>
      </x:c>
      <x:c r="O322" s="38" t="n">
        <x:v>0</x:v>
      </x:c>
      <x:c r="P322" s="38" t="n">
        <x:v>0</x:v>
      </x:c>
      <x:c r="Q322" s="38" t="n">
        <x:v>5</x:v>
      </x:c>
      <x:c r="R322" s="38" t="n">
        <x:f>MIN(D322,I322)</x:f>
        <x:v>5</x:v>
      </x:c>
      <x:c r="S322" s="47" t="n">
        <x:f>IFERROR(R322/D322,0)</x:f>
        <x:v>0.09433962264150944</x:v>
      </x:c>
      <x:c r="T322" s="38" t="n">
        <x:f>MIN(MAX(G322,0),MAX(D322-I322,0))</x:f>
        <x:v>48</x:v>
      </x:c>
      <x:c r="U322" s="44" t="n">
        <x:f>T322*E322</x:f>
        <x:v>9600</x:v>
      </x:c>
      <x:c r="V322" s="38" t="n">
        <x:v>4</x:v>
      </x:c>
      <x:c r="W322" s="32" t="n">
        <x:v>1</x:v>
      </x:c>
      <x:c r="X322" s="50" t="n">
        <x:v>45918</x:v>
      </x:c>
      <x:c r="Y322" s="44" t="n">
        <x:v>500</x:v>
      </x:c>
      <x:c r="Z322" s="44" t="n">
        <x:f>IF(I322&gt;0,R322*(J322/I322),0)</x:f>
        <x:v>2500</x:v>
      </x:c>
      <x:c r="AA322" s="44" t="n">
        <x:f>Z322-(R322*E322)</x:f>
        <x:v>1500</x:v>
      </x:c>
      <x:c r="AB322" s="47" t="n">
        <x:f>IFERROR(AA322/Z322,0)</x:f>
        <x:v>0.6</x:v>
      </x:c>
      <x:c r="AC322" s="32" t="str">
        <x:f>IF(S322=0,"0%",IF(S322&lt;0.5,"1-49%",IF(S322&lt;0.8,"50-79%",IF(S322&lt;1,"80-99%","100%"))))</x:f>
        <x:v>1-49%</x:v>
      </x:c>
      <x:c r="AD322" s="33" t="str">
        <x:f>IF(G322&lt;0,"Stock negativo",IF(G322&lt;=0,"Sin stock actual",IF(I322&lt;=0,"Sin ventas desde compra",IF(Q322&lt;=0,"Con stock, sin ventas 365d",IF(S322&lt;0.5,"Rotación baja",IF(S322&lt;1,"Rotación media","Compra absorbida; stock repuesto"))))))</x:f>
        <x:v>Rotación baja</x:v>
      </x:c>
    </x:row>
    <x:row r="323">
      <x:c r="A323" s="31" t="str">
        <x:v>2219</x:v>
      </x:c>
      <x:c r="B323" s="53" t="str">
        <x:v>KIT CARBURADOR ECO DELUX KAMOTA</x:v>
      </x:c>
      <x:c r="C323" s="32" t="n">
        <x:v>1</x:v>
      </x:c>
      <x:c r="D323" s="38" t="n">
        <x:v>1</x:v>
      </x:c>
      <x:c r="E323" s="44" t="n">
        <x:v>10500</x:v>
      </x:c>
      <x:c r="F323" s="44" t="n">
        <x:v>10500</x:v>
      </x:c>
      <x:c r="G323" s="41" t="n">
        <x:v>0</x:v>
      </x:c>
      <x:c r="H323" s="44" t="n">
        <x:f>MAX(G323,0)*E323</x:f>
        <x:v>0</x:v>
      </x:c>
      <x:c r="I323" s="38" t="n">
        <x:v>1</x:v>
      </x:c>
      <x:c r="J323" s="44" t="n">
        <x:v>16000</x:v>
      </x:c>
      <x:c r="K323" s="32" t="n">
        <x:v>1</x:v>
      </x:c>
      <x:c r="L323" s="50" t="n">
        <x:v>46177.66436342592</x:v>
      </x:c>
      <x:c r="M323" s="50" t="n">
        <x:v>46177.66436342592</x:v>
      </x:c>
      <x:c r="N323" s="32" t="n">
        <x:f>IF(M323="","",MAX(0,'Resumen'!$B$3-M323))</x:f>
        <x:v>89.33563657407649</x:v>
      </x:c>
      <x:c r="O323" s="38" t="n">
        <x:v>0</x:v>
      </x:c>
      <x:c r="P323" s="38" t="n">
        <x:v>0</x:v>
      </x:c>
      <x:c r="Q323" s="38" t="n">
        <x:v>1</x:v>
      </x:c>
      <x:c r="R323" s="38" t="n">
        <x:f>MIN(D323,I323)</x:f>
        <x:v>1</x:v>
      </x:c>
      <x:c r="S323" s="47" t="n">
        <x:f>IFERROR(R323/D323,0)</x:f>
        <x:v>1</x:v>
      </x:c>
      <x:c r="T323" s="38" t="n">
        <x:f>MIN(MAX(G323,0),MAX(D323-I323,0))</x:f>
        <x:v>0</x:v>
      </x:c>
      <x:c r="U323" s="44" t="n">
        <x:f>T323*E323</x:f>
        <x:v>0</x:v>
      </x:c>
      <x:c r="V323" s="38" t="n">
        <x:v>0</x:v>
      </x:c>
      <x:c r="W323" s="32" t="n">
        <x:v>0</x:v>
      </x:c>
      <x:c r="X323" s="50"/>
      <x:c r="Y323" s="44" t="n">
        <x:v>17500</x:v>
      </x:c>
      <x:c r="Z323" s="44" t="n">
        <x:f>IF(I323&gt;0,R323*(J323/I323),0)</x:f>
        <x:v>16000</x:v>
      </x:c>
      <x:c r="AA323" s="44" t="n">
        <x:f>Z323-(R323*E323)</x:f>
        <x:v>5500</x:v>
      </x:c>
      <x:c r="AB323" s="47" t="n">
        <x:f>IFERROR(AA323/Z323,0)</x:f>
        <x:v>0.34375</x:v>
      </x:c>
      <x:c r="AC323" s="32" t="str">
        <x:f>IF(S323=0,"0%",IF(S323&lt;0.5,"1-49%",IF(S323&lt;0.8,"50-79%",IF(S323&lt;1,"80-99%","100%"))))</x:f>
        <x:v>100%</x:v>
      </x:c>
      <x:c r="AD323" s="33" t="str">
        <x:f>IF(G323&lt;0,"Stock negativo",IF(G323&lt;=0,"Sin stock actual",IF(I323&lt;=0,"Sin ventas desde compra",IF(Q323&lt;=0,"Con stock, sin ventas 365d",IF(S323&lt;0.5,"Rotación baja",IF(S323&lt;1,"Rotación media","Compra absorbida; stock repuesto"))))))</x:f>
        <x:v>Sin stock actual</x:v>
      </x:c>
    </x:row>
    <x:row r="324">
      <x:c r="A324" s="31" t="str">
        <x:v>901037</x:v>
      </x:c>
      <x:c r="B324" s="53" t="str">
        <x:v>MANIGUETA DER RX/AT100 - 125</x:v>
      </x:c>
      <x:c r="C324" s="32" t="n">
        <x:v>1</x:v>
      </x:c>
      <x:c r="D324" s="38" t="n">
        <x:v>3</x:v>
      </x:c>
      <x:c r="E324" s="44" t="n">
        <x:v>3500</x:v>
      </x:c>
      <x:c r="F324" s="44" t="n">
        <x:v>10500</x:v>
      </x:c>
      <x:c r="G324" s="41" t="n">
        <x:v>3</x:v>
      </x:c>
      <x:c r="H324" s="44" t="n">
        <x:f>MAX(G324,0)*E324</x:f>
        <x:v>10500</x:v>
      </x:c>
      <x:c r="I324" s="38" t="n">
        <x:v>0</x:v>
      </x:c>
      <x:c r="J324" s="44" t="n">
        <x:v>0</x:v>
      </x:c>
      <x:c r="K324" s="32" t="n">
        <x:v>0</x:v>
      </x:c>
      <x:c r="L324" s="50"/>
      <x:c r="M324" s="50"/>
      <x:c r="N324" s="32" t="str">
        <x:f>IF(M324="","",MAX(0,'Resumen'!$B$3-M324))</x:f>
      </x:c>
      <x:c r="O324" s="38" t="n">
        <x:v>0</x:v>
      </x:c>
      <x:c r="P324" s="38" t="n">
        <x:v>0</x:v>
      </x:c>
      <x:c r="Q324" s="38" t="n">
        <x:v>0</x:v>
      </x:c>
      <x:c r="R324" s="38" t="n">
        <x:f>MIN(D324,I324)</x:f>
        <x:v>0</x:v>
      </x:c>
      <x:c r="S324" s="47" t="n">
        <x:f>IFERROR(R324/D324,0)</x:f>
        <x:v>0</x:v>
      </x:c>
      <x:c r="T324" s="38" t="n">
        <x:f>MIN(MAX(G324,0),MAX(D324-I324,0))</x:f>
        <x:v>3</x:v>
      </x:c>
      <x:c r="U324" s="44" t="n">
        <x:f>T324*E324</x:f>
        <x:v>10500</x:v>
      </x:c>
      <x:c r="V324" s="38" t="n">
        <x:v>0</x:v>
      </x:c>
      <x:c r="W324" s="32" t="n">
        <x:v>0</x:v>
      </x:c>
      <x:c r="X324" s="50"/>
      <x:c r="Y324" s="44" t="n">
        <x:v>6000</x:v>
      </x:c>
      <x:c r="Z324" s="44" t="n">
        <x:f>IF(I324&gt;0,R324*(J324/I324),0)</x:f>
        <x:v>0</x:v>
      </x:c>
      <x:c r="AA324" s="44" t="n">
        <x:f>Z324-(R324*E324)</x:f>
        <x:v>0</x:v>
      </x:c>
      <x:c r="AB324" s="47" t="n">
        <x:f>IFERROR(AA324/Z324,0)</x:f>
        <x:v>0</x:v>
      </x:c>
      <x:c r="AC324" s="32" t="str">
        <x:f>IF(S324=0,"0%",IF(S324&lt;0.5,"1-49%",IF(S324&lt;0.8,"50-79%",IF(S324&lt;1,"80-99%","100%"))))</x:f>
        <x:v>0%</x:v>
      </x:c>
      <x:c r="AD324" s="33" t="str">
        <x:f>IF(G324&lt;0,"Stock negativo",IF(G324&lt;=0,"Sin stock actual",IF(I324&lt;=0,"Sin ventas desde compra",IF(Q324&lt;=0,"Con stock, sin ventas 365d",IF(S324&lt;0.5,"Rotación baja",IF(S324&lt;1,"Rotación media","Compra absorbida; stock repuesto"))))))</x:f>
        <x:v>Sin ventas desde compra</x:v>
      </x:c>
    </x:row>
    <x:row r="325">
      <x:c r="A325" s="31" t="str">
        <x:v>MAN - 003045</x:v>
      </x:c>
      <x:c r="B325" s="53" t="str">
        <x:v>MANIGUETA DER CA 100 TXS APPROVEN</x:v>
      </x:c>
      <x:c r="C325" s="32" t="n">
        <x:v>1</x:v>
      </x:c>
      <x:c r="D325" s="38" t="n">
        <x:v>3</x:v>
      </x:c>
      <x:c r="E325" s="44" t="n">
        <x:v>3500</x:v>
      </x:c>
      <x:c r="F325" s="44" t="n">
        <x:v>10500</x:v>
      </x:c>
      <x:c r="G325" s="41" t="n">
        <x:v>0</x:v>
      </x:c>
      <x:c r="H325" s="44" t="n">
        <x:f>MAX(G325,0)*E325</x:f>
        <x:v>0</x:v>
      </x:c>
      <x:c r="I325" s="38" t="n">
        <x:v>3</x:v>
      </x:c>
      <x:c r="J325" s="44" t="n">
        <x:v>18000</x:v>
      </x:c>
      <x:c r="K325" s="32" t="n">
        <x:v>3</x:v>
      </x:c>
      <x:c r="L325" s="50" t="n">
        <x:v>45750.82275462963</x:v>
      </x:c>
      <x:c r="M325" s="50" t="n">
        <x:v>45770.903032407405</x:v>
      </x:c>
      <x:c r="N325" s="32" t="n">
        <x:f>IF(M325="","",MAX(0,'Resumen'!$B$3-M325))</x:f>
        <x:v>496.0969675925953</x:v>
      </x:c>
      <x:c r="O325" s="38" t="n">
        <x:v>0</x:v>
      </x:c>
      <x:c r="P325" s="38" t="n">
        <x:v>0</x:v>
      </x:c>
      <x:c r="Q325" s="38" t="n">
        <x:v>0</x:v>
      </x:c>
      <x:c r="R325" s="38" t="n">
        <x:f>MIN(D325,I325)</x:f>
        <x:v>3</x:v>
      </x:c>
      <x:c r="S325" s="47" t="n">
        <x:f>IFERROR(R325/D325,0)</x:f>
        <x:v>1</x:v>
      </x:c>
      <x:c r="T325" s="38" t="n">
        <x:f>MIN(MAX(G325,0),MAX(D325-I325,0))</x:f>
        <x:v>0</x:v>
      </x:c>
      <x:c r="U325" s="44" t="n">
        <x:f>T325*E325</x:f>
        <x:v>0</x:v>
      </x:c>
      <x:c r="V325" s="38" t="n">
        <x:v>0</x:v>
      </x:c>
      <x:c r="W325" s="32" t="n">
        <x:v>0</x:v>
      </x:c>
      <x:c r="X325" s="50"/>
      <x:c r="Y325" s="44" t="n">
        <x:v>6000</x:v>
      </x:c>
      <x:c r="Z325" s="44" t="n">
        <x:f>IF(I325&gt;0,R325*(J325/I325),0)</x:f>
        <x:v>18000</x:v>
      </x:c>
      <x:c r="AA325" s="44" t="n">
        <x:f>Z325-(R325*E325)</x:f>
        <x:v>7500</x:v>
      </x:c>
      <x:c r="AB325" s="47" t="n">
        <x:f>IFERROR(AA325/Z325,0)</x:f>
        <x:v>0.4166666666666667</x:v>
      </x:c>
      <x:c r="AC325" s="32" t="str">
        <x:f>IF(S325=0,"0%",IF(S325&lt;0.5,"1-49%",IF(S325&lt;0.8,"50-79%",IF(S325&lt;1,"80-99%","100%"))))</x:f>
        <x:v>100%</x:v>
      </x:c>
      <x:c r="AD325" s="33" t="str">
        <x:f>IF(G325&lt;0,"Stock negativo",IF(G325&lt;=0,"Sin stock actual",IF(I325&lt;=0,"Sin ventas desde compra",IF(Q325&lt;=0,"Con stock, sin ventas 365d",IF(S325&lt;0.5,"Rotación baja",IF(S325&lt;1,"Rotación media","Compra absorbida; stock repuesto"))))))</x:f>
        <x:v>Sin stock actual</x:v>
      </x:c>
    </x:row>
    <x:row r="326">
      <x:c r="A326" s="31" t="str">
        <x:v>MOTS1099</x:v>
      </x:c>
      <x:c r="B326" s="53" t="str">
        <x:v>RETEN 12-20-5</x:v>
      </x:c>
      <x:c r="C326" s="32" t="n">
        <x:v>1</x:v>
      </x:c>
      <x:c r="D326" s="38" t="n">
        <x:v>7</x:v>
      </x:c>
      <x:c r="E326" s="44" t="n">
        <x:v>1500</x:v>
      </x:c>
      <x:c r="F326" s="44" t="n">
        <x:v>10500</x:v>
      </x:c>
      <x:c r="G326" s="41" t="n">
        <x:v>7</x:v>
      </x:c>
      <x:c r="H326" s="44" t="n">
        <x:f>MAX(G326,0)*E326</x:f>
        <x:v>10500</x:v>
      </x:c>
      <x:c r="I326" s="38" t="n">
        <x:v>0</x:v>
      </x:c>
      <x:c r="J326" s="44" t="n">
        <x:v>0</x:v>
      </x:c>
      <x:c r="K326" s="32" t="n">
        <x:v>0</x:v>
      </x:c>
      <x:c r="L326" s="50"/>
      <x:c r="M326" s="50"/>
      <x:c r="N326" s="32" t="str">
        <x:f>IF(M326="","",MAX(0,'Resumen'!$B$3-M326))</x:f>
      </x:c>
      <x:c r="O326" s="38" t="n">
        <x:v>0</x:v>
      </x:c>
      <x:c r="P326" s="38" t="n">
        <x:v>0</x:v>
      </x:c>
      <x:c r="Q326" s="38" t="n">
        <x:v>0</x:v>
      </x:c>
      <x:c r="R326" s="38" t="n">
        <x:f>MIN(D326,I326)</x:f>
        <x:v>0</x:v>
      </x:c>
      <x:c r="S326" s="47" t="n">
        <x:f>IFERROR(R326/D326,0)</x:f>
        <x:v>0</x:v>
      </x:c>
      <x:c r="T326" s="38" t="n">
        <x:f>MIN(MAX(G326,0),MAX(D326-I326,0))</x:f>
        <x:v>7</x:v>
      </x:c>
      <x:c r="U326" s="44" t="n">
        <x:f>T326*E326</x:f>
        <x:v>10500</x:v>
      </x:c>
      <x:c r="V326" s="38" t="n">
        <x:v>0</x:v>
      </x:c>
      <x:c r="W326" s="32" t="n">
        <x:v>0</x:v>
      </x:c>
      <x:c r="X326" s="50"/>
      <x:c r="Y326" s="44" t="n">
        <x:v>2500</x:v>
      </x:c>
      <x:c r="Z326" s="44" t="n">
        <x:f>IF(I326&gt;0,R326*(J326/I326),0)</x:f>
        <x:v>0</x:v>
      </x:c>
      <x:c r="AA326" s="44" t="n">
        <x:f>Z326-(R326*E326)</x:f>
        <x:v>0</x:v>
      </x:c>
      <x:c r="AB326" s="47" t="n">
        <x:f>IFERROR(AA326/Z326,0)</x:f>
        <x:v>0</x:v>
      </x:c>
      <x:c r="AC326" s="32" t="str">
        <x:f>IF(S326=0,"0%",IF(S326&lt;0.5,"1-49%",IF(S326&lt;0.8,"50-79%",IF(S326&lt;1,"80-99%","100%"))))</x:f>
        <x:v>0%</x:v>
      </x:c>
      <x:c r="AD326" s="33" t="str">
        <x:f>IF(G326&lt;0,"Stock negativo",IF(G326&lt;=0,"Sin stock actual",IF(I326&lt;=0,"Sin ventas desde compra",IF(Q326&lt;=0,"Con stock, sin ventas 365d",IF(S326&lt;0.5,"Rotación baja",IF(S326&lt;1,"Rotación media","Compra absorbida; stock repuesto"))))))</x:f>
        <x:v>Sin ventas desde compra</x:v>
      </x:c>
    </x:row>
    <x:row r="327">
      <x:c r="A327" s="31" t="str">
        <x:v>MOTS1306</x:v>
      </x:c>
      <x:c r="B327" s="53" t="str">
        <x:v>FILTRO MALLA ACEITE ECO</x:v>
      </x:c>
      <x:c r="C327" s="32" t="n">
        <x:v>1</x:v>
      </x:c>
      <x:c r="D327" s="38" t="n">
        <x:v>7</x:v>
      </x:c>
      <x:c r="E327" s="44" t="n">
        <x:v>1500</x:v>
      </x:c>
      <x:c r="F327" s="44" t="n">
        <x:v>10500</x:v>
      </x:c>
      <x:c r="G327" s="41" t="n">
        <x:v>0</x:v>
      </x:c>
      <x:c r="H327" s="44" t="n">
        <x:f>MAX(G327,0)*E327</x:f>
        <x:v>0</x:v>
      </x:c>
      <x:c r="I327" s="38" t="n">
        <x:v>7</x:v>
      </x:c>
      <x:c r="J327" s="44" t="n">
        <x:v>17000</x:v>
      </x:c>
      <x:c r="K327" s="32" t="n">
        <x:v>7</x:v>
      </x:c>
      <x:c r="L327" s="50" t="n">
        <x:v>45551.67193287037</x:v>
      </x:c>
      <x:c r="M327" s="50" t="n">
        <x:v>45595.713854166665</x:v>
      </x:c>
      <x:c r="N327" s="32" t="n">
        <x:f>IF(M327="","",MAX(0,'Resumen'!$B$3-M327))</x:f>
        <x:v>671.2861458333355</x:v>
      </x:c>
      <x:c r="O327" s="38" t="n">
        <x:v>0</x:v>
      </x:c>
      <x:c r="P327" s="38" t="n">
        <x:v>0</x:v>
      </x:c>
      <x:c r="Q327" s="38" t="n">
        <x:v>0</x:v>
      </x:c>
      <x:c r="R327" s="38" t="n">
        <x:f>MIN(D327,I327)</x:f>
        <x:v>7</x:v>
      </x:c>
      <x:c r="S327" s="47" t="n">
        <x:f>IFERROR(R327/D327,0)</x:f>
        <x:v>1</x:v>
      </x:c>
      <x:c r="T327" s="38" t="n">
        <x:f>MIN(MAX(G327,0),MAX(D327-I327,0))</x:f>
        <x:v>0</x:v>
      </x:c>
      <x:c r="U327" s="44" t="n">
        <x:f>T327*E327</x:f>
        <x:v>0</x:v>
      </x:c>
      <x:c r="V327" s="38" t="n">
        <x:v>0</x:v>
      </x:c>
      <x:c r="W327" s="32" t="n">
        <x:v>0</x:v>
      </x:c>
      <x:c r="X327" s="50"/>
      <x:c r="Y327" s="44" t="n">
        <x:v>2500</x:v>
      </x:c>
      <x:c r="Z327" s="44" t="n">
        <x:f>IF(I327&gt;0,R327*(J327/I327),0)</x:f>
        <x:v>17000</x:v>
      </x:c>
      <x:c r="AA327" s="44" t="n">
        <x:f>Z327-(R327*E327)</x:f>
        <x:v>6500</x:v>
      </x:c>
      <x:c r="AB327" s="47" t="n">
        <x:f>IFERROR(AA327/Z327,0)</x:f>
        <x:v>0.38235294117647056</x:v>
      </x:c>
      <x:c r="AC327" s="32" t="str">
        <x:f>IF(S327=0,"0%",IF(S327&lt;0.5,"1-49%",IF(S327&lt;0.8,"50-79%",IF(S327&lt;1,"80-99%","100%"))))</x:f>
        <x:v>100%</x:v>
      </x:c>
      <x:c r="AD327" s="33" t="str">
        <x:f>IF(G327&lt;0,"Stock negativo",IF(G327&lt;=0,"Sin stock actual",IF(I327&lt;=0,"Sin ventas desde compra",IF(Q327&lt;=0,"Con stock, sin ventas 365d",IF(S327&lt;0.5,"Rotación baja",IF(S327&lt;1,"Rotación media","Compra absorbida; stock repuesto"))))))</x:f>
        <x:v>Sin stock actual</x:v>
      </x:c>
    </x:row>
    <x:row r="328">
      <x:c r="A328" s="31" t="str">
        <x:v>MOTS1310</x:v>
      </x:c>
      <x:c r="B328" s="53" t="str">
        <x:v>BOMBILLO STOP LED</x:v>
      </x:c>
      <x:c r="C328" s="32" t="n">
        <x:v>1</x:v>
      </x:c>
      <x:c r="D328" s="38" t="n">
        <x:v>3</x:v>
      </x:c>
      <x:c r="E328" s="44" t="n">
        <x:v>3500</x:v>
      </x:c>
      <x:c r="F328" s="44" t="n">
        <x:v>10500</x:v>
      </x:c>
      <x:c r="G328" s="41" t="n">
        <x:v>0</x:v>
      </x:c>
      <x:c r="H328" s="44" t="n">
        <x:f>MAX(G328,0)*E328</x:f>
        <x:v>0</x:v>
      </x:c>
      <x:c r="I328" s="38" t="n">
        <x:v>3</x:v>
      </x:c>
      <x:c r="J328" s="44" t="n">
        <x:v>17000</x:v>
      </x:c>
      <x:c r="K328" s="32" t="n">
        <x:v>3</x:v>
      </x:c>
      <x:c r="L328" s="50" t="n">
        <x:v>45564.592986111114</x:v>
      </x:c>
      <x:c r="M328" s="50" t="n">
        <x:v>45626.71974537037</x:v>
      </x:c>
      <x:c r="N328" s="32" t="n">
        <x:f>IF(M328="","",MAX(0,'Resumen'!$B$3-M328))</x:f>
        <x:v>640.2802546296298</x:v>
      </x:c>
      <x:c r="O328" s="38" t="n">
        <x:v>0</x:v>
      </x:c>
      <x:c r="P328" s="38" t="n">
        <x:v>0</x:v>
      </x:c>
      <x:c r="Q328" s="38" t="n">
        <x:v>0</x:v>
      </x:c>
      <x:c r="R328" s="38" t="n">
        <x:f>MIN(D328,I328)</x:f>
        <x:v>3</x:v>
      </x:c>
      <x:c r="S328" s="47" t="n">
        <x:f>IFERROR(R328/D328,0)</x:f>
        <x:v>1</x:v>
      </x:c>
      <x:c r="T328" s="38" t="n">
        <x:f>MIN(MAX(G328,0),MAX(D328-I328,0))</x:f>
        <x:v>0</x:v>
      </x:c>
      <x:c r="U328" s="44" t="n">
        <x:f>T328*E328</x:f>
        <x:v>0</x:v>
      </x:c>
      <x:c r="V328" s="38" t="n">
        <x:v>0</x:v>
      </x:c>
      <x:c r="W328" s="32" t="n">
        <x:v>0</x:v>
      </x:c>
      <x:c r="X328" s="50"/>
      <x:c r="Y328" s="44" t="n">
        <x:v>6000</x:v>
      </x:c>
      <x:c r="Z328" s="44" t="n">
        <x:f>IF(I328&gt;0,R328*(J328/I328),0)</x:f>
        <x:v>17000</x:v>
      </x:c>
      <x:c r="AA328" s="44" t="n">
        <x:f>Z328-(R328*E328)</x:f>
        <x:v>6500</x:v>
      </x:c>
      <x:c r="AB328" s="47" t="n">
        <x:f>IFERROR(AA328/Z328,0)</x:f>
        <x:v>0.38235294117647056</x:v>
      </x:c>
      <x:c r="AC328" s="32" t="str">
        <x:f>IF(S328=0,"0%",IF(S328&lt;0.5,"1-49%",IF(S328&lt;0.8,"50-79%",IF(S328&lt;1,"80-99%","100%"))))</x:f>
        <x:v>100%</x:v>
      </x:c>
      <x:c r="AD328" s="33" t="str">
        <x:f>IF(G328&lt;0,"Stock negativo",IF(G328&lt;=0,"Sin stock actual",IF(I328&lt;=0,"Sin ventas desde compra",IF(Q328&lt;=0,"Con stock, sin ventas 365d",IF(S328&lt;0.5,"Rotación baja",IF(S328&lt;1,"Rotación media","Compra absorbida; stock repuesto"))))))</x:f>
        <x:v>Sin stock actual</x:v>
      </x:c>
    </x:row>
    <x:row r="329">
      <x:c r="A329" s="31" t="str">
        <x:v>RET-155</x:v>
      </x:c>
      <x:c r="B329" s="53" t="str">
        <x:v>41-53-8/10.5 BARAI</x:v>
      </x:c>
      <x:c r="C329" s="32" t="n">
        <x:v>1</x:v>
      </x:c>
      <x:c r="D329" s="38" t="n">
        <x:v>4</x:v>
      </x:c>
      <x:c r="E329" s="44" t="n">
        <x:v>2600</x:v>
      </x:c>
      <x:c r="F329" s="44" t="n">
        <x:v>10400</x:v>
      </x:c>
      <x:c r="G329" s="41" t="n">
        <x:v>0</x:v>
      </x:c>
      <x:c r="H329" s="44" t="n">
        <x:f>MAX(G329,0)*E329</x:f>
        <x:v>0</x:v>
      </x:c>
      <x:c r="I329" s="38" t="n">
        <x:v>4</x:v>
      </x:c>
      <x:c r="J329" s="44" t="n">
        <x:v>17000</x:v>
      </x:c>
      <x:c r="K329" s="32" t="n">
        <x:v>2</x:v>
      </x:c>
      <x:c r="L329" s="50" t="n">
        <x:v>45569.98197916667</x:v>
      </x:c>
      <x:c r="M329" s="50" t="n">
        <x:v>45573.745416666665</x:v>
      </x:c>
      <x:c r="N329" s="32" t="n">
        <x:f>IF(M329="","",MAX(0,'Resumen'!$B$3-M329))</x:f>
        <x:v>693.2545833333352</x:v>
      </x:c>
      <x:c r="O329" s="38" t="n">
        <x:v>0</x:v>
      </x:c>
      <x:c r="P329" s="38" t="n">
        <x:v>0</x:v>
      </x:c>
      <x:c r="Q329" s="38" t="n">
        <x:v>0</x:v>
      </x:c>
      <x:c r="R329" s="38" t="n">
        <x:f>MIN(D329,I329)</x:f>
        <x:v>4</x:v>
      </x:c>
      <x:c r="S329" s="47" t="n">
        <x:f>IFERROR(R329/D329,0)</x:f>
        <x:v>1</x:v>
      </x:c>
      <x:c r="T329" s="38" t="n">
        <x:f>MIN(MAX(G329,0),MAX(D329-I329,0))</x:f>
        <x:v>0</x:v>
      </x:c>
      <x:c r="U329" s="44" t="n">
        <x:f>T329*E329</x:f>
        <x:v>0</x:v>
      </x:c>
      <x:c r="V329" s="38" t="n">
        <x:v>0</x:v>
      </x:c>
      <x:c r="W329" s="32" t="n">
        <x:v>0</x:v>
      </x:c>
      <x:c r="X329" s="50"/>
      <x:c r="Y329" s="44" t="n">
        <x:v>4500</x:v>
      </x:c>
      <x:c r="Z329" s="44" t="n">
        <x:f>IF(I329&gt;0,R329*(J329/I329),0)</x:f>
        <x:v>17000</x:v>
      </x:c>
      <x:c r="AA329" s="44" t="n">
        <x:f>Z329-(R329*E329)</x:f>
        <x:v>6600</x:v>
      </x:c>
      <x:c r="AB329" s="47" t="n">
        <x:f>IFERROR(AA329/Z329,0)</x:f>
        <x:v>0.38823529411764707</x:v>
      </x:c>
      <x:c r="AC329" s="32" t="str">
        <x:f>IF(S329=0,"0%",IF(S329&lt;0.5,"1-49%",IF(S329&lt;0.8,"50-79%",IF(S329&lt;1,"80-99%","100%"))))</x:f>
        <x:v>100%</x:v>
      </x:c>
      <x:c r="AD329" s="33" t="str">
        <x:f>IF(G329&lt;0,"Stock negativo",IF(G329&lt;=0,"Sin stock actual",IF(I329&lt;=0,"Sin ventas desde compra",IF(Q329&lt;=0,"Con stock, sin ventas 365d",IF(S329&lt;0.5,"Rotación baja",IF(S329&lt;1,"Rotación media","Compra absorbida; stock repuesto"))))))</x:f>
        <x:v>Sin stock actual</x:v>
      </x:c>
    </x:row>
    <x:row r="330">
      <x:c r="A330" s="31" t="str">
        <x:v>K2016</x:v>
      </x:c>
      <x:c r="B330" s="53" t="str">
        <x:v>EMPAQUE TAPA VOLANTE HONDA CB 110 EMP AMERICAS</x:v>
      </x:c>
      <x:c r="C330" s="32" t="n">
        <x:v>1</x:v>
      </x:c>
      <x:c r="D330" s="38" t="n">
        <x:v>6</x:v>
      </x:c>
      <x:c r="E330" s="44" t="n">
        <x:v>1700</x:v>
      </x:c>
      <x:c r="F330" s="44" t="n">
        <x:v>10200</x:v>
      </x:c>
      <x:c r="G330" s="41" t="n">
        <x:v>3</x:v>
      </x:c>
      <x:c r="H330" s="44" t="n">
        <x:f>MAX(G330,0)*E330</x:f>
        <x:v>5100</x:v>
      </x:c>
      <x:c r="I330" s="38" t="n">
        <x:v>3</x:v>
      </x:c>
      <x:c r="J330" s="44" t="n">
        <x:v>9000</x:v>
      </x:c>
      <x:c r="K330" s="32" t="n">
        <x:v>3</x:v>
      </x:c>
      <x:c r="L330" s="50" t="n">
        <x:v>45573.94143518519</x:v>
      </x:c>
      <x:c r="M330" s="50" t="n">
        <x:v>45735.76331018518</x:v>
      </x:c>
      <x:c r="N330" s="32" t="n">
        <x:f>IF(M330="","",MAX(0,'Resumen'!$B$3-M330))</x:f>
        <x:v>531.2366898148175</x:v>
      </x:c>
      <x:c r="O330" s="38" t="n">
        <x:v>0</x:v>
      </x:c>
      <x:c r="P330" s="38" t="n">
        <x:v>0</x:v>
      </x:c>
      <x:c r="Q330" s="38" t="n">
        <x:v>0</x:v>
      </x:c>
      <x:c r="R330" s="38" t="n">
        <x:f>MIN(D330,I330)</x:f>
        <x:v>3</x:v>
      </x:c>
      <x:c r="S330" s="47" t="n">
        <x:f>IFERROR(R330/D330,0)</x:f>
        <x:v>0.5</x:v>
      </x:c>
      <x:c r="T330" s="38" t="n">
        <x:f>MIN(MAX(G330,0),MAX(D330-I330,0))</x:f>
        <x:v>3</x:v>
      </x:c>
      <x:c r="U330" s="44" t="n">
        <x:f>T330*E330</x:f>
        <x:v>5100</x:v>
      </x:c>
      <x:c r="V330" s="38" t="n">
        <x:v>0</x:v>
      </x:c>
      <x:c r="W330" s="32" t="n">
        <x:v>0</x:v>
      </x:c>
      <x:c r="X330" s="50"/>
      <x:c r="Y330" s="44" t="n">
        <x:v>3000</x:v>
      </x:c>
      <x:c r="Z330" s="44" t="n">
        <x:f>IF(I330&gt;0,R330*(J330/I330),0)</x:f>
        <x:v>9000</x:v>
      </x:c>
      <x:c r="AA330" s="44" t="n">
        <x:f>Z330-(R330*E330)</x:f>
        <x:v>3900</x:v>
      </x:c>
      <x:c r="AB330" s="47" t="n">
        <x:f>IFERROR(AA330/Z330,0)</x:f>
        <x:v>0.43333333333333335</x:v>
      </x:c>
      <x:c r="AC330" s="32" t="str">
        <x:f>IF(S330=0,"0%",IF(S330&lt;0.5,"1-49%",IF(S330&lt;0.8,"50-79%",IF(S330&lt;1,"80-99%","100%"))))</x:f>
        <x:v>50-79%</x:v>
      </x:c>
      <x:c r="AD330" s="33" t="str">
        <x:f>IF(G330&lt;0,"Stock negativo",IF(G330&lt;=0,"Sin stock actual",IF(I330&lt;=0,"Sin ventas desde compra",IF(Q330&lt;=0,"Con stock, sin ventas 365d",IF(S330&lt;0.5,"Rotación baja",IF(S330&lt;1,"Rotación media","Compra absorbida; stock repuesto"))))))</x:f>
        <x:v>Con stock, sin ventas 365d</x:v>
      </x:c>
    </x:row>
    <x:row r="331">
      <x:c r="A331" s="31" t="str">
        <x:v>MOTS1018</x:v>
      </x:c>
      <x:c r="B331" s="53" t="str">
        <x:v>CARRIL ACELERADOR BWS</x:v>
      </x:c>
      <x:c r="C331" s="32" t="n">
        <x:v>1</x:v>
      </x:c>
      <x:c r="D331" s="38" t="n">
        <x:v>6</x:v>
      </x:c>
      <x:c r="E331" s="44" t="n">
        <x:v>1700</x:v>
      </x:c>
      <x:c r="F331" s="44" t="n">
        <x:v>10200</x:v>
      </x:c>
      <x:c r="G331" s="41" t="n">
        <x:v>0</x:v>
      </x:c>
      <x:c r="H331" s="44" t="n">
        <x:f>MAX(G331,0)*E331</x:f>
        <x:v>0</x:v>
      </x:c>
      <x:c r="I331" s="38" t="n">
        <x:v>6</x:v>
      </x:c>
      <x:c r="J331" s="44" t="n">
        <x:v>18000</x:v>
      </x:c>
      <x:c r="K331" s="32" t="n">
        <x:v>6</x:v>
      </x:c>
      <x:c r="L331" s="50" t="n">
        <x:v>45569.77209490741</x:v>
      </x:c>
      <x:c r="M331" s="50" t="n">
        <x:v>45860.868784722225</x:v>
      </x:c>
      <x:c r="N331" s="32" t="n">
        <x:f>IF(M331="","",MAX(0,'Resumen'!$B$3-M331))</x:f>
        <x:v>406.1312152777755</x:v>
      </x:c>
      <x:c r="O331" s="38" t="n">
        <x:v>0</x:v>
      </x:c>
      <x:c r="P331" s="38" t="n">
        <x:v>0</x:v>
      </x:c>
      <x:c r="Q331" s="38" t="n">
        <x:v>0</x:v>
      </x:c>
      <x:c r="R331" s="38" t="n">
        <x:f>MIN(D331,I331)</x:f>
        <x:v>6</x:v>
      </x:c>
      <x:c r="S331" s="47" t="n">
        <x:f>IFERROR(R331/D331,0)</x:f>
        <x:v>1</x:v>
      </x:c>
      <x:c r="T331" s="38" t="n">
        <x:f>MIN(MAX(G331,0),MAX(D331-I331,0))</x:f>
        <x:v>0</x:v>
      </x:c>
      <x:c r="U331" s="44" t="n">
        <x:f>T331*E331</x:f>
        <x:v>0</x:v>
      </x:c>
      <x:c r="V331" s="38" t="n">
        <x:v>0</x:v>
      </x:c>
      <x:c r="W331" s="32" t="n">
        <x:v>0</x:v>
      </x:c>
      <x:c r="X331" s="50"/>
      <x:c r="Y331" s="44" t="n">
        <x:v>3000</x:v>
      </x:c>
      <x:c r="Z331" s="44" t="n">
        <x:f>IF(I331&gt;0,R331*(J331/I331),0)</x:f>
        <x:v>18000</x:v>
      </x:c>
      <x:c r="AA331" s="44" t="n">
        <x:f>Z331-(R331*E331)</x:f>
        <x:v>7800</x:v>
      </x:c>
      <x:c r="AB331" s="47" t="n">
        <x:f>IFERROR(AA331/Z331,0)</x:f>
        <x:v>0.43333333333333335</x:v>
      </x:c>
      <x:c r="AC331" s="32" t="str">
        <x:f>IF(S331=0,"0%",IF(S331&lt;0.5,"1-49%",IF(S331&lt;0.8,"50-79%",IF(S331&lt;1,"80-99%","100%"))))</x:f>
        <x:v>100%</x:v>
      </x:c>
      <x:c r="AD331" s="33" t="str">
        <x:f>IF(G331&lt;0,"Stock negativo",IF(G331&lt;=0,"Sin stock actual",IF(I331&lt;=0,"Sin ventas desde compra",IF(Q331&lt;=0,"Con stock, sin ventas 365d",IF(S331&lt;0.5,"Rotación baja",IF(S331&lt;1,"Rotación media","Compra absorbida; stock repuesto"))))))</x:f>
        <x:v>Sin stock actual</x:v>
      </x:c>
    </x:row>
    <x:row r="332">
      <x:c r="A332" s="31" t="str">
        <x:v>MOTS1124</x:v>
      </x:c>
      <x:c r="B332" s="53" t="str">
        <x:v>TAPA VALVULA GRANADA</x:v>
      </x:c>
      <x:c r="C332" s="32" t="n">
        <x:v>1</x:v>
      </x:c>
      <x:c r="D332" s="38" t="n">
        <x:v>8</x:v>
      </x:c>
      <x:c r="E332" s="44" t="n">
        <x:v>1260</x:v>
      </x:c>
      <x:c r="F332" s="44" t="n">
        <x:v>10080</x:v>
      </x:c>
      <x:c r="G332" s="41" t="n">
        <x:v>3</x:v>
      </x:c>
      <x:c r="H332" s="44" t="n">
        <x:f>MAX(G332,0)*E332</x:f>
        <x:v>3780</x:v>
      </x:c>
      <x:c r="I332" s="38" t="n">
        <x:v>5</x:v>
      </x:c>
      <x:c r="J332" s="44" t="n">
        <x:v>11900</x:v>
      </x:c>
      <x:c r="K332" s="32" t="n">
        <x:v>4</x:v>
      </x:c>
      <x:c r="L332" s="50" t="n">
        <x:v>45519.67152777778</x:v>
      </x:c>
      <x:c r="M332" s="50" t="n">
        <x:v>46040.605578703704</x:v>
      </x:c>
      <x:c r="N332" s="32" t="n">
        <x:f>IF(M332="","",MAX(0,'Resumen'!$B$3-M332))</x:f>
        <x:v>226.39442129629606</x:v>
      </x:c>
      <x:c r="O332" s="38" t="n">
        <x:v>0</x:v>
      </x:c>
      <x:c r="P332" s="38" t="n">
        <x:v>0</x:v>
      </x:c>
      <x:c r="Q332" s="38" t="n">
        <x:v>3</x:v>
      </x:c>
      <x:c r="R332" s="38" t="n">
        <x:f>MIN(D332,I332)</x:f>
        <x:v>5</x:v>
      </x:c>
      <x:c r="S332" s="47" t="n">
        <x:f>IFERROR(R332/D332,0)</x:f>
        <x:v>0.625</x:v>
      </x:c>
      <x:c r="T332" s="38" t="n">
        <x:f>MIN(MAX(G332,0),MAX(D332-I332,0))</x:f>
        <x:v>3</x:v>
      </x:c>
      <x:c r="U332" s="44" t="n">
        <x:f>T332*E332</x:f>
        <x:v>3780</x:v>
      </x:c>
      <x:c r="V332" s="38" t="n">
        <x:v>0</x:v>
      </x:c>
      <x:c r="W332" s="32" t="n">
        <x:v>0</x:v>
      </x:c>
      <x:c r="X332" s="50"/>
      <x:c r="Y332" s="44" t="n">
        <x:v>2500</x:v>
      </x:c>
      <x:c r="Z332" s="44" t="n">
        <x:f>IF(I332&gt;0,R332*(J332/I332),0)</x:f>
        <x:v>11900</x:v>
      </x:c>
      <x:c r="AA332" s="44" t="n">
        <x:f>Z332-(R332*E332)</x:f>
        <x:v>5600</x:v>
      </x:c>
      <x:c r="AB332" s="47" t="n">
        <x:f>IFERROR(AA332/Z332,0)</x:f>
        <x:v>0.47058823529411764</x:v>
      </x:c>
      <x:c r="AC332" s="32" t="str">
        <x:f>IF(S332=0,"0%",IF(S332&lt;0.5,"1-49%",IF(S332&lt;0.8,"50-79%",IF(S332&lt;1,"80-99%","100%"))))</x:f>
        <x:v>50-79%</x:v>
      </x:c>
      <x:c r="AD332" s="33" t="str">
        <x:f>IF(G332&lt;0,"Stock negativo",IF(G332&lt;=0,"Sin stock actual",IF(I332&lt;=0,"Sin ventas desde compra",IF(Q332&lt;=0,"Con stock, sin ventas 365d",IF(S332&lt;0.5,"Rotación baja",IF(S332&lt;1,"Rotación media","Compra absorbida; stock repuesto"))))))</x:f>
        <x:v>Rotación media</x:v>
      </x:c>
    </x:row>
    <x:row r="333">
      <x:c r="A333" s="31" t="str">
        <x:v>ESC-025</x:v>
      </x:c>
      <x:c r="B333" s="53" t="str">
        <x:v>ESCOBILLAS ARRANQUE CB 110 HONDA</x:v>
      </x:c>
      <x:c r="C333" s="32" t="n">
        <x:v>1</x:v>
      </x:c>
      <x:c r="D333" s="38" t="n">
        <x:v>2</x:v>
      </x:c>
      <x:c r="E333" s="44" t="n">
        <x:v>5000</x:v>
      </x:c>
      <x:c r="F333" s="44" t="n">
        <x:v>10000</x:v>
      </x:c>
      <x:c r="G333" s="41" t="n">
        <x:v>2</x:v>
      </x:c>
      <x:c r="H333" s="44" t="n">
        <x:f>MAX(G333,0)*E333</x:f>
        <x:v>10000</x:v>
      </x:c>
      <x:c r="I333" s="38" t="n">
        <x:v>0</x:v>
      </x:c>
      <x:c r="J333" s="44" t="n">
        <x:v>0</x:v>
      </x:c>
      <x:c r="K333" s="32" t="n">
        <x:v>0</x:v>
      </x:c>
      <x:c r="L333" s="50"/>
      <x:c r="M333" s="50"/>
      <x:c r="N333" s="32" t="str">
        <x:f>IF(M333="","",MAX(0,'Resumen'!$B$3-M333))</x:f>
      </x:c>
      <x:c r="O333" s="38" t="n">
        <x:v>0</x:v>
      </x:c>
      <x:c r="P333" s="38" t="n">
        <x:v>0</x:v>
      </x:c>
      <x:c r="Q333" s="38" t="n">
        <x:v>0</x:v>
      </x:c>
      <x:c r="R333" s="38" t="n">
        <x:f>MIN(D333,I333)</x:f>
        <x:v>0</x:v>
      </x:c>
      <x:c r="S333" s="47" t="n">
        <x:f>IFERROR(R333/D333,0)</x:f>
        <x:v>0</x:v>
      </x:c>
      <x:c r="T333" s="38" t="n">
        <x:f>MIN(MAX(G333,0),MAX(D333-I333,0))</x:f>
        <x:v>2</x:v>
      </x:c>
      <x:c r="U333" s="44" t="n">
        <x:f>T333*E333</x:f>
        <x:v>10000</x:v>
      </x:c>
      <x:c r="V333" s="38" t="n">
        <x:v>0</x:v>
      </x:c>
      <x:c r="W333" s="32" t="n">
        <x:v>0</x:v>
      </x:c>
      <x:c r="X333" s="50"/>
      <x:c r="Y333" s="44" t="n">
        <x:v>8500</x:v>
      </x:c>
      <x:c r="Z333" s="44" t="n">
        <x:f>IF(I333&gt;0,R333*(J333/I333),0)</x:f>
        <x:v>0</x:v>
      </x:c>
      <x:c r="AA333" s="44" t="n">
        <x:f>Z333-(R333*E333)</x:f>
        <x:v>0</x:v>
      </x:c>
      <x:c r="AB333" s="47" t="n">
        <x:f>IFERROR(AA333/Z333,0)</x:f>
        <x:v>0</x:v>
      </x:c>
      <x:c r="AC333" s="32" t="str">
        <x:f>IF(S333=0,"0%",IF(S333&lt;0.5,"1-49%",IF(S333&lt;0.8,"50-79%",IF(S333&lt;1,"80-99%","100%"))))</x:f>
        <x:v>0%</x:v>
      </x:c>
      <x:c r="AD333" s="33" t="str">
        <x:f>IF(G333&lt;0,"Stock negativo",IF(G333&lt;=0,"Sin stock actual",IF(I333&lt;=0,"Sin ventas desde compra",IF(Q333&lt;=0,"Con stock, sin ventas 365d",IF(S333&lt;0.5,"Rotación baja",IF(S333&lt;1,"Rotación media","Compra absorbida; stock repuesto"))))))</x:f>
        <x:v>Sin ventas desde compra</x:v>
      </x:c>
    </x:row>
    <x:row r="334">
      <x:c r="A334" s="31" t="str">
        <x:v>MOTS1162</x:v>
      </x:c>
      <x:c r="B334" s="53" t="str">
        <x:v>ESPEJOS BWS ROSCA No. 3 PAR VEKTRA</x:v>
      </x:c>
      <x:c r="C334" s="32" t="n">
        <x:v>1</x:v>
      </x:c>
      <x:c r="D334" s="38" t="n">
        <x:v>1</x:v>
      </x:c>
      <x:c r="E334" s="44" t="n">
        <x:v>10000</x:v>
      </x:c>
      <x:c r="F334" s="44" t="n">
        <x:v>10000</x:v>
      </x:c>
      <x:c r="G334" s="41" t="n">
        <x:v>1</x:v>
      </x:c>
      <x:c r="H334" s="44" t="n">
        <x:f>MAX(G334,0)*E334</x:f>
        <x:v>10000</x:v>
      </x:c>
      <x:c r="I334" s="38" t="n">
        <x:v>0</x:v>
      </x:c>
      <x:c r="J334" s="44" t="n">
        <x:v>0</x:v>
      </x:c>
      <x:c r="K334" s="32" t="n">
        <x:v>0</x:v>
      </x:c>
      <x:c r="L334" s="50"/>
      <x:c r="M334" s="50"/>
      <x:c r="N334" s="32" t="str">
        <x:f>IF(M334="","",MAX(0,'Resumen'!$B$3-M334))</x:f>
      </x:c>
      <x:c r="O334" s="38" t="n">
        <x:v>0</x:v>
      </x:c>
      <x:c r="P334" s="38" t="n">
        <x:v>0</x:v>
      </x:c>
      <x:c r="Q334" s="38" t="n">
        <x:v>0</x:v>
      </x:c>
      <x:c r="R334" s="38" t="n">
        <x:f>MIN(D334,I334)</x:f>
        <x:v>0</x:v>
      </x:c>
      <x:c r="S334" s="47" t="n">
        <x:f>IFERROR(R334/D334,0)</x:f>
        <x:v>0</x:v>
      </x:c>
      <x:c r="T334" s="38" t="n">
        <x:f>MIN(MAX(G334,0),MAX(D334-I334,0))</x:f>
        <x:v>1</x:v>
      </x:c>
      <x:c r="U334" s="44" t="n">
        <x:f>T334*E334</x:f>
        <x:v>10000</x:v>
      </x:c>
      <x:c r="V334" s="38" t="n">
        <x:v>0</x:v>
      </x:c>
      <x:c r="W334" s="32" t="n">
        <x:v>0</x:v>
      </x:c>
      <x:c r="X334" s="50"/>
      <x:c r="Y334" s="44" t="n">
        <x:v>17000</x:v>
      </x:c>
      <x:c r="Z334" s="44" t="n">
        <x:f>IF(I334&gt;0,R334*(J334/I334),0)</x:f>
        <x:v>0</x:v>
      </x:c>
      <x:c r="AA334" s="44" t="n">
        <x:f>Z334-(R334*E334)</x:f>
        <x:v>0</x:v>
      </x:c>
      <x:c r="AB334" s="47" t="n">
        <x:f>IFERROR(AA334/Z334,0)</x:f>
        <x:v>0</x:v>
      </x:c>
      <x:c r="AC334" s="32" t="str">
        <x:f>IF(S334=0,"0%",IF(S334&lt;0.5,"1-49%",IF(S334&lt;0.8,"50-79%",IF(S334&lt;1,"80-99%","100%"))))</x:f>
        <x:v>0%</x:v>
      </x:c>
      <x:c r="AD334" s="33" t="str">
        <x:f>IF(G334&lt;0,"Stock negativo",IF(G334&lt;=0,"Sin stock actual",IF(I334&lt;=0,"Sin ventas desde compra",IF(Q334&lt;=0,"Con stock, sin ventas 365d",IF(S334&lt;0.5,"Rotación baja",IF(S334&lt;1,"Rotación media","Compra absorbida; stock repuesto"))))))</x:f>
        <x:v>Sin ventas desde compra</x:v>
      </x:c>
    </x:row>
    <x:row r="335">
      <x:c r="A335" s="31" t="str">
        <x:v>MOTS1163</x:v>
      </x:c>
      <x:c r="B335" s="53" t="str">
        <x:v>ESPEJOS BWS ROSCA No. 10 PAR MODO PITS</x:v>
      </x:c>
      <x:c r="C335" s="32" t="n">
        <x:v>1</x:v>
      </x:c>
      <x:c r="D335" s="38" t="n">
        <x:v>1</x:v>
      </x:c>
      <x:c r="E335" s="44" t="n">
        <x:v>10000</x:v>
      </x:c>
      <x:c r="F335" s="44" t="n">
        <x:v>10000</x:v>
      </x:c>
      <x:c r="G335" s="41" t="n">
        <x:v>1</x:v>
      </x:c>
      <x:c r="H335" s="44" t="n">
        <x:f>MAX(G335,0)*E335</x:f>
        <x:v>10000</x:v>
      </x:c>
      <x:c r="I335" s="38" t="n">
        <x:v>0</x:v>
      </x:c>
      <x:c r="J335" s="44" t="n">
        <x:v>0</x:v>
      </x:c>
      <x:c r="K335" s="32" t="n">
        <x:v>0</x:v>
      </x:c>
      <x:c r="L335" s="50"/>
      <x:c r="M335" s="50"/>
      <x:c r="N335" s="32" t="str">
        <x:f>IF(M335="","",MAX(0,'Resumen'!$B$3-M335))</x:f>
      </x:c>
      <x:c r="O335" s="38" t="n">
        <x:v>0</x:v>
      </x:c>
      <x:c r="P335" s="38" t="n">
        <x:v>0</x:v>
      </x:c>
      <x:c r="Q335" s="38" t="n">
        <x:v>0</x:v>
      </x:c>
      <x:c r="R335" s="38" t="n">
        <x:f>MIN(D335,I335)</x:f>
        <x:v>0</x:v>
      </x:c>
      <x:c r="S335" s="47" t="n">
        <x:f>IFERROR(R335/D335,0)</x:f>
        <x:v>0</x:v>
      </x:c>
      <x:c r="T335" s="38" t="n">
        <x:f>MIN(MAX(G335,0),MAX(D335-I335,0))</x:f>
        <x:v>1</x:v>
      </x:c>
      <x:c r="U335" s="44" t="n">
        <x:f>T335*E335</x:f>
        <x:v>10000</x:v>
      </x:c>
      <x:c r="V335" s="38" t="n">
        <x:v>0</x:v>
      </x:c>
      <x:c r="W335" s="32" t="n">
        <x:v>0</x:v>
      </x:c>
      <x:c r="X335" s="50"/>
      <x:c r="Y335" s="44" t="n">
        <x:v>17000</x:v>
      </x:c>
      <x:c r="Z335" s="44" t="n">
        <x:f>IF(I335&gt;0,R335*(J335/I335),0)</x:f>
        <x:v>0</x:v>
      </x:c>
      <x:c r="AA335" s="44" t="n">
        <x:f>Z335-(R335*E335)</x:f>
        <x:v>0</x:v>
      </x:c>
      <x:c r="AB335" s="47" t="n">
        <x:f>IFERROR(AA335/Z335,0)</x:f>
        <x:v>0</x:v>
      </x:c>
      <x:c r="AC335" s="32" t="str">
        <x:f>IF(S335=0,"0%",IF(S335&lt;0.5,"1-49%",IF(S335&lt;0.8,"50-79%",IF(S335&lt;1,"80-99%","100%"))))</x:f>
        <x:v>0%</x:v>
      </x:c>
      <x:c r="AD335" s="33" t="str">
        <x:f>IF(G335&lt;0,"Stock negativo",IF(G335&lt;=0,"Sin stock actual",IF(I335&lt;=0,"Sin ventas desde compra",IF(Q335&lt;=0,"Con stock, sin ventas 365d",IF(S335&lt;0.5,"Rotación baja",IF(S335&lt;1,"Rotación media","Compra absorbida; stock repuesto"))))))</x:f>
        <x:v>Sin ventas desde compra</x:v>
      </x:c>
    </x:row>
    <x:row r="336">
      <x:c r="A336" s="31" t="str">
        <x:v>MOTS1164</x:v>
      </x:c>
      <x:c r="B336" s="53" t="str">
        <x:v>ESPEJOS BWS ROSCA No. 10 PAR RULY UNCO</x:v>
      </x:c>
      <x:c r="C336" s="32" t="n">
        <x:v>1</x:v>
      </x:c>
      <x:c r="D336" s="38" t="n">
        <x:v>1</x:v>
      </x:c>
      <x:c r="E336" s="44" t="n">
        <x:v>10000</x:v>
      </x:c>
      <x:c r="F336" s="44" t="n">
        <x:v>10000</x:v>
      </x:c>
      <x:c r="G336" s="41" t="n">
        <x:v>0</x:v>
      </x:c>
      <x:c r="H336" s="44" t="n">
        <x:f>MAX(G336,0)*E336</x:f>
        <x:v>0</x:v>
      </x:c>
      <x:c r="I336" s="38" t="n">
        <x:v>1</x:v>
      </x:c>
      <x:c r="J336" s="44" t="n">
        <x:v>20000</x:v>
      </x:c>
      <x:c r="K336" s="32" t="n">
        <x:v>1</x:v>
      </x:c>
      <x:c r="L336" s="50" t="n">
        <x:v>45982.55678240741</x:v>
      </x:c>
      <x:c r="M336" s="50" t="n">
        <x:v>45982.55678240741</x:v>
      </x:c>
      <x:c r="N336" s="32" t="n">
        <x:f>IF(M336="","",MAX(0,'Resumen'!$B$3-M336))</x:f>
        <x:v>284.4432175925904</x:v>
      </x:c>
      <x:c r="O336" s="38" t="n">
        <x:v>0</x:v>
      </x:c>
      <x:c r="P336" s="38" t="n">
        <x:v>0</x:v>
      </x:c>
      <x:c r="Q336" s="38" t="n">
        <x:v>1</x:v>
      </x:c>
      <x:c r="R336" s="38" t="n">
        <x:f>MIN(D336,I336)</x:f>
        <x:v>1</x:v>
      </x:c>
      <x:c r="S336" s="47" t="n">
        <x:f>IFERROR(R336/D336,0)</x:f>
        <x:v>1</x:v>
      </x:c>
      <x:c r="T336" s="38" t="n">
        <x:f>MIN(MAX(G336,0),MAX(D336-I336,0))</x:f>
        <x:v>0</x:v>
      </x:c>
      <x:c r="U336" s="44" t="n">
        <x:f>T336*E336</x:f>
        <x:v>0</x:v>
      </x:c>
      <x:c r="V336" s="38" t="n">
        <x:v>0</x:v>
      </x:c>
      <x:c r="W336" s="32" t="n">
        <x:v>0</x:v>
      </x:c>
      <x:c r="X336" s="50"/>
      <x:c r="Y336" s="44" t="n">
        <x:v>17000</x:v>
      </x:c>
      <x:c r="Z336" s="44" t="n">
        <x:f>IF(I336&gt;0,R336*(J336/I336),0)</x:f>
        <x:v>20000</x:v>
      </x:c>
      <x:c r="AA336" s="44" t="n">
        <x:f>Z336-(R336*E336)</x:f>
        <x:v>10000</x:v>
      </x:c>
      <x:c r="AB336" s="47" t="n">
        <x:f>IFERROR(AA336/Z336,0)</x:f>
        <x:v>0.5</x:v>
      </x:c>
      <x:c r="AC336" s="32" t="str">
        <x:f>IF(S336=0,"0%",IF(S336&lt;0.5,"1-49%",IF(S336&lt;0.8,"50-79%",IF(S336&lt;1,"80-99%","100%"))))</x:f>
        <x:v>100%</x:v>
      </x:c>
      <x:c r="AD336" s="33" t="str">
        <x:f>IF(G336&lt;0,"Stock negativo",IF(G336&lt;=0,"Sin stock actual",IF(I336&lt;=0,"Sin ventas desde compra",IF(Q336&lt;=0,"Con stock, sin ventas 365d",IF(S336&lt;0.5,"Rotación baja",IF(S336&lt;1,"Rotación media","Compra absorbida; stock repuesto"))))))</x:f>
        <x:v>Sin stock actual</x:v>
      </x:c>
    </x:row>
    <x:row r="337">
      <x:c r="A337" s="31" t="str">
        <x:v>MOTS1281</x:v>
      </x:c>
      <x:c r="B337" s="53" t="str">
        <x:v>SELLOS VALVULAS PULSAR 150 CROWN</x:v>
      </x:c>
      <x:c r="C337" s="32" t="n">
        <x:v>1</x:v>
      </x:c>
      <x:c r="D337" s="38" t="n">
        <x:v>10</x:v>
      </x:c>
      <x:c r="E337" s="44" t="n">
        <x:v>1000</x:v>
      </x:c>
      <x:c r="F337" s="44" t="n">
        <x:v>10000</x:v>
      </x:c>
      <x:c r="G337" s="41" t="n">
        <x:v>6</x:v>
      </x:c>
      <x:c r="H337" s="44" t="n">
        <x:f>MAX(G337,0)*E337</x:f>
        <x:v>6000</x:v>
      </x:c>
      <x:c r="I337" s="38" t="n">
        <x:v>4</x:v>
      </x:c>
      <x:c r="J337" s="44" t="n">
        <x:v>7000</x:v>
      </x:c>
      <x:c r="K337" s="32" t="n">
        <x:v>2</x:v>
      </x:c>
      <x:c r="L337" s="50" t="n">
        <x:v>45558.55105324074</x:v>
      </x:c>
      <x:c r="M337" s="50" t="n">
        <x:v>45735.76331018518</x:v>
      </x:c>
      <x:c r="N337" s="32" t="n">
        <x:f>IF(M337="","",MAX(0,'Resumen'!$B$3-M337))</x:f>
        <x:v>531.2366898148175</x:v>
      </x:c>
      <x:c r="O337" s="38" t="n">
        <x:v>0</x:v>
      </x:c>
      <x:c r="P337" s="38" t="n">
        <x:v>0</x:v>
      </x:c>
      <x:c r="Q337" s="38" t="n">
        <x:v>0</x:v>
      </x:c>
      <x:c r="R337" s="38" t="n">
        <x:f>MIN(D337,I337)</x:f>
        <x:v>4</x:v>
      </x:c>
      <x:c r="S337" s="47" t="n">
        <x:f>IFERROR(R337/D337,0)</x:f>
        <x:v>0.4</x:v>
      </x:c>
      <x:c r="T337" s="38" t="n">
        <x:f>MIN(MAX(G337,0),MAX(D337-I337,0))</x:f>
        <x:v>6</x:v>
      </x:c>
      <x:c r="U337" s="44" t="n">
        <x:f>T337*E337</x:f>
        <x:v>6000</x:v>
      </x:c>
      <x:c r="V337" s="38" t="n">
        <x:v>0</x:v>
      </x:c>
      <x:c r="W337" s="32" t="n">
        <x:v>0</x:v>
      </x:c>
      <x:c r="X337" s="50"/>
      <x:c r="Y337" s="44" t="n">
        <x:v>2000</x:v>
      </x:c>
      <x:c r="Z337" s="44" t="n">
        <x:f>IF(I337&gt;0,R337*(J337/I337),0)</x:f>
        <x:v>7000</x:v>
      </x:c>
      <x:c r="AA337" s="44" t="n">
        <x:f>Z337-(R337*E337)</x:f>
        <x:v>3000</x:v>
      </x:c>
      <x:c r="AB337" s="47" t="n">
        <x:f>IFERROR(AA337/Z337,0)</x:f>
        <x:v>0.42857142857142855</x:v>
      </x:c>
      <x:c r="AC337" s="32" t="str">
        <x:f>IF(S337=0,"0%",IF(S337&lt;0.5,"1-49%",IF(S337&lt;0.8,"50-79%",IF(S337&lt;1,"80-99%","100%"))))</x:f>
        <x:v>1-49%</x:v>
      </x:c>
      <x:c r="AD337" s="33" t="str">
        <x:f>IF(G337&lt;0,"Stock negativo",IF(G337&lt;=0,"Sin stock actual",IF(I337&lt;=0,"Sin ventas desde compra",IF(Q337&lt;=0,"Con stock, sin ventas 365d",IF(S337&lt;0.5,"Rotación baja",IF(S337&lt;1,"Rotación media","Compra absorbida; stock repuesto"))))))</x:f>
        <x:v>Con stock, sin ventas 365d</x:v>
      </x:c>
    </x:row>
    <x:row r="338">
      <x:c r="A338" s="31" t="str">
        <x:v>MOTS1299</x:v>
      </x:c>
      <x:c r="B338" s="53" t="str">
        <x:v>EMPAQUE TAPA CLUCTH GN / GS KANUN</x:v>
      </x:c>
      <x:c r="C338" s="32" t="n">
        <x:v>1</x:v>
      </x:c>
      <x:c r="D338" s="38" t="n">
        <x:v>5</x:v>
      </x:c>
      <x:c r="E338" s="44" t="n">
        <x:v>2000</x:v>
      </x:c>
      <x:c r="F338" s="44" t="n">
        <x:v>10000</x:v>
      </x:c>
      <x:c r="G338" s="41" t="n">
        <x:v>4</x:v>
      </x:c>
      <x:c r="H338" s="44" t="n">
        <x:f>MAX(G338,0)*E338</x:f>
        <x:v>8000</x:v>
      </x:c>
      <x:c r="I338" s="38" t="n">
        <x:v>1</x:v>
      </x:c>
      <x:c r="J338" s="44" t="n">
        <x:v>3500</x:v>
      </x:c>
      <x:c r="K338" s="32" t="n">
        <x:v>1</x:v>
      </x:c>
      <x:c r="L338" s="50" t="n">
        <x:v>45653.63789351852</x:v>
      </x:c>
      <x:c r="M338" s="50" t="n">
        <x:v>45653.63789351852</x:v>
      </x:c>
      <x:c r="N338" s="32" t="n">
        <x:f>IF(M338="","",MAX(0,'Resumen'!$B$3-M338))</x:f>
        <x:v>613.3621064814797</x:v>
      </x:c>
      <x:c r="O338" s="38" t="n">
        <x:v>0</x:v>
      </x:c>
      <x:c r="P338" s="38" t="n">
        <x:v>0</x:v>
      </x:c>
      <x:c r="Q338" s="38" t="n">
        <x:v>0</x:v>
      </x:c>
      <x:c r="R338" s="38" t="n">
        <x:f>MIN(D338,I338)</x:f>
        <x:v>1</x:v>
      </x:c>
      <x:c r="S338" s="47" t="n">
        <x:f>IFERROR(R338/D338,0)</x:f>
        <x:v>0.2</x:v>
      </x:c>
      <x:c r="T338" s="38" t="n">
        <x:f>MIN(MAX(G338,0),MAX(D338-I338,0))</x:f>
        <x:v>4</x:v>
      </x:c>
      <x:c r="U338" s="44" t="n">
        <x:f>T338*E338</x:f>
        <x:v>8000</x:v>
      </x:c>
      <x:c r="V338" s="38" t="n">
        <x:v>0</x:v>
      </x:c>
      <x:c r="W338" s="32" t="n">
        <x:v>0</x:v>
      </x:c>
      <x:c r="X338" s="50"/>
      <x:c r="Y338" s="44" t="n">
        <x:v>3500</x:v>
      </x:c>
      <x:c r="Z338" s="44" t="n">
        <x:f>IF(I338&gt;0,R338*(J338/I338),0)</x:f>
        <x:v>3500</x:v>
      </x:c>
      <x:c r="AA338" s="44" t="n">
        <x:f>Z338-(R338*E338)</x:f>
        <x:v>1500</x:v>
      </x:c>
      <x:c r="AB338" s="47" t="n">
        <x:f>IFERROR(AA338/Z338,0)</x:f>
        <x:v>0.42857142857142855</x:v>
      </x:c>
      <x:c r="AC338" s="32" t="str">
        <x:f>IF(S338=0,"0%",IF(S338&lt;0.5,"1-49%",IF(S338&lt;0.8,"50-79%",IF(S338&lt;1,"80-99%","100%"))))</x:f>
        <x:v>1-49%</x:v>
      </x:c>
      <x:c r="AD338" s="33" t="str">
        <x:f>IF(G338&lt;0,"Stock negativo",IF(G338&lt;=0,"Sin stock actual",IF(I338&lt;=0,"Sin ventas desde compra",IF(Q338&lt;=0,"Con stock, sin ventas 365d",IF(S338&lt;0.5,"Rotación baja",IF(S338&lt;1,"Rotación media","Compra absorbida; stock repuesto"))))))</x:f>
        <x:v>Con stock, sin ventas 365d</x:v>
      </x:c>
    </x:row>
    <x:row r="339">
      <x:c r="A339" s="31" t="str">
        <x:v>TRM - 084</x:v>
      </x:c>
      <x:c r="B339" s="53" t="str">
        <x:v>TROMPO STOP COMPLETO DURAX</x:v>
      </x:c>
      <x:c r="C339" s="32" t="n">
        <x:v>1</x:v>
      </x:c>
      <x:c r="D339" s="38" t="n">
        <x:v>4</x:v>
      </x:c>
      <x:c r="E339" s="44" t="n">
        <x:v>2500</x:v>
      </x:c>
      <x:c r="F339" s="44" t="n">
        <x:v>10000</x:v>
      </x:c>
      <x:c r="G339" s="41" t="n">
        <x:v>0</x:v>
      </x:c>
      <x:c r="H339" s="44" t="n">
        <x:f>MAX(G339,0)*E339</x:f>
        <x:v>0</x:v>
      </x:c>
      <x:c r="I339" s="38" t="n">
        <x:v>4</x:v>
      </x:c>
      <x:c r="J339" s="44" t="n">
        <x:v>18000</x:v>
      </x:c>
      <x:c r="K339" s="32" t="n">
        <x:v>4</x:v>
      </x:c>
      <x:c r="L339" s="50" t="n">
        <x:v>45509.8390625</x:v>
      </x:c>
      <x:c r="M339" s="50" t="n">
        <x:v>45561.552824074075</x:v>
      </x:c>
      <x:c r="N339" s="32" t="n">
        <x:f>IF(M339="","",MAX(0,'Resumen'!$B$3-M339))</x:f>
        <x:v>705.447175925925</x:v>
      </x:c>
      <x:c r="O339" s="38" t="n">
        <x:v>0</x:v>
      </x:c>
      <x:c r="P339" s="38" t="n">
        <x:v>0</x:v>
      </x:c>
      <x:c r="Q339" s="38" t="n">
        <x:v>0</x:v>
      </x:c>
      <x:c r="R339" s="38" t="n">
        <x:f>MIN(D339,I339)</x:f>
        <x:v>4</x:v>
      </x:c>
      <x:c r="S339" s="47" t="n">
        <x:f>IFERROR(R339/D339,0)</x:f>
        <x:v>1</x:v>
      </x:c>
      <x:c r="T339" s="38" t="n">
        <x:f>MIN(MAX(G339,0),MAX(D339-I339,0))</x:f>
        <x:v>0</x:v>
      </x:c>
      <x:c r="U339" s="44" t="n">
        <x:f>T339*E339</x:f>
        <x:v>0</x:v>
      </x:c>
      <x:c r="V339" s="38" t="n">
        <x:v>0</x:v>
      </x:c>
      <x:c r="W339" s="32" t="n">
        <x:v>0</x:v>
      </x:c>
      <x:c r="X339" s="50"/>
      <x:c r="Y339" s="44" t="n">
        <x:v>4500</x:v>
      </x:c>
      <x:c r="Z339" s="44" t="n">
        <x:f>IF(I339&gt;0,R339*(J339/I339),0)</x:f>
        <x:v>18000</x:v>
      </x:c>
      <x:c r="AA339" s="44" t="n">
        <x:f>Z339-(R339*E339)</x:f>
        <x:v>8000</x:v>
      </x:c>
      <x:c r="AB339" s="47" t="n">
        <x:f>IFERROR(AA339/Z339,0)</x:f>
        <x:v>0.4444444444444444</x:v>
      </x:c>
      <x:c r="AC339" s="32" t="str">
        <x:f>IF(S339=0,"0%",IF(S339&lt;0.5,"1-49%",IF(S339&lt;0.8,"50-79%",IF(S339&lt;1,"80-99%","100%"))))</x:f>
        <x:v>100%</x:v>
      </x:c>
      <x:c r="AD339" s="33" t="str">
        <x:f>IF(G339&lt;0,"Stock negativo",IF(G339&lt;=0,"Sin stock actual",IF(I339&lt;=0,"Sin ventas desde compra",IF(Q339&lt;=0,"Con stock, sin ventas 365d",IF(S339&lt;0.5,"Rotación baja",IF(S339&lt;1,"Rotación media","Compra absorbida; stock repuesto"))))))</x:f>
        <x:v>Sin stock actual</x:v>
      </x:c>
    </x:row>
    <x:row r="340">
      <x:c r="A340" s="31" t="str">
        <x:v>TOR - 0461</x:v>
      </x:c>
      <x:c r="B340" s="53" t="str">
        <x:v>TORNILLO BRISTOL 6 X75 TORNIFRENOS</x:v>
      </x:c>
      <x:c r="C340" s="32" t="n">
        <x:v>1</x:v>
      </x:c>
      <x:c r="D340" s="38" t="n">
        <x:v>20</x:v>
      </x:c>
      <x:c r="E340" s="44" t="n">
        <x:v>491</x:v>
      </x:c>
      <x:c r="F340" s="44" t="n">
        <x:v>9820</x:v>
      </x:c>
      <x:c r="G340" s="41" t="n">
        <x:v>19</x:v>
      </x:c>
      <x:c r="H340" s="44" t="n">
        <x:f>MAX(G340,0)*E340</x:f>
        <x:v>9329</x:v>
      </x:c>
      <x:c r="I340" s="38" t="n">
        <x:v>1</x:v>
      </x:c>
      <x:c r="J340" s="44" t="n">
        <x:v>1000</x:v>
      </x:c>
      <x:c r="K340" s="32" t="n">
        <x:v>1</x:v>
      </x:c>
      <x:c r="L340" s="50" t="n">
        <x:v>46032.62125</x:v>
      </x:c>
      <x:c r="M340" s="50" t="n">
        <x:v>46032.62125</x:v>
      </x:c>
      <x:c r="N340" s="32" t="n">
        <x:f>IF(M340="","",MAX(0,'Resumen'!$B$3-M340))</x:f>
        <x:v>234.3787500000035</x:v>
      </x:c>
      <x:c r="O340" s="38" t="n">
        <x:v>0</x:v>
      </x:c>
      <x:c r="P340" s="38" t="n">
        <x:v>0</x:v>
      </x:c>
      <x:c r="Q340" s="38" t="n">
        <x:v>1</x:v>
      </x:c>
      <x:c r="R340" s="38" t="n">
        <x:f>MIN(D340,I340)</x:f>
        <x:v>1</x:v>
      </x:c>
      <x:c r="S340" s="47" t="n">
        <x:f>IFERROR(R340/D340,0)</x:f>
        <x:v>0.05</x:v>
      </x:c>
      <x:c r="T340" s="38" t="n">
        <x:f>MIN(MAX(G340,0),MAX(D340-I340,0))</x:f>
        <x:v>19</x:v>
      </x:c>
      <x:c r="U340" s="44" t="n">
        <x:f>T340*E340</x:f>
        <x:v>9329</x:v>
      </x:c>
      <x:c r="V340" s="38" t="n">
        <x:v>0</x:v>
      </x:c>
      <x:c r="W340" s="32" t="n">
        <x:v>0</x:v>
      </x:c>
      <x:c r="X340" s="50"/>
      <x:c r="Y340" s="44" t="n">
        <x:v>1000</x:v>
      </x:c>
      <x:c r="Z340" s="44" t="n">
        <x:f>IF(I340&gt;0,R340*(J340/I340),0)</x:f>
        <x:v>1000</x:v>
      </x:c>
      <x:c r="AA340" s="44" t="n">
        <x:f>Z340-(R340*E340)</x:f>
        <x:v>509</x:v>
      </x:c>
      <x:c r="AB340" s="47" t="n">
        <x:f>IFERROR(AA340/Z340,0)</x:f>
        <x:v>0.509</x:v>
      </x:c>
      <x:c r="AC340" s="32" t="str">
        <x:f>IF(S340=0,"0%",IF(S340&lt;0.5,"1-49%",IF(S340&lt;0.8,"50-79%",IF(S340&lt;1,"80-99%","100%"))))</x:f>
        <x:v>1-49%</x:v>
      </x:c>
      <x:c r="AD340" s="33" t="str">
        <x:f>IF(G340&lt;0,"Stock negativo",IF(G340&lt;=0,"Sin stock actual",IF(I340&lt;=0,"Sin ventas desde compra",IF(Q340&lt;=0,"Con stock, sin ventas 365d",IF(S340&lt;0.5,"Rotación baja",IF(S340&lt;1,"Rotación media","Compra absorbida; stock repuesto"))))))</x:f>
        <x:v>Rotación baja</x:v>
      </x:c>
    </x:row>
    <x:row r="341">
      <x:c r="A341" s="31" t="str">
        <x:v>AH40955</x:v>
      </x:c>
      <x:c r="B341" s="53" t="str">
        <x:v>BOMBILLO12 V HS BA 200 DUNA</x:v>
      </x:c>
      <x:c r="C341" s="32" t="n">
        <x:v>1</x:v>
      </x:c>
      <x:c r="D341" s="38" t="n">
        <x:v>8</x:v>
      </x:c>
      <x:c r="E341" s="44" t="n">
        <x:v>1200</x:v>
      </x:c>
      <x:c r="F341" s="44" t="n">
        <x:v>9600</x:v>
      </x:c>
      <x:c r="G341" s="41" t="n">
        <x:v>13</x:v>
      </x:c>
      <x:c r="H341" s="44" t="n">
        <x:f>MAX(G341,0)*E341</x:f>
        <x:v>15600</x:v>
      </x:c>
      <x:c r="I341" s="38" t="n">
        <x:v>5</x:v>
      </x:c>
      <x:c r="J341" s="44" t="n">
        <x:v>14000</x:v>
      </x:c>
      <x:c r="K341" s="32" t="n">
        <x:v>5</x:v>
      </x:c>
      <x:c r="L341" s="50" t="n">
        <x:v>45668.66798611111</x:v>
      </x:c>
      <x:c r="M341" s="50" t="n">
        <x:v>46144.837175925924</x:v>
      </x:c>
      <x:c r="N341" s="32" t="n">
        <x:f>IF(M341="","",MAX(0,'Resumen'!$B$3-M341))</x:f>
        <x:v>122.16282407407562</x:v>
      </x:c>
      <x:c r="O341" s="38" t="n">
        <x:v>0</x:v>
      </x:c>
      <x:c r="P341" s="38" t="n">
        <x:v>0</x:v>
      </x:c>
      <x:c r="Q341" s="38" t="n">
        <x:v>3</x:v>
      </x:c>
      <x:c r="R341" s="38" t="n">
        <x:f>MIN(D341,I341)</x:f>
        <x:v>5</x:v>
      </x:c>
      <x:c r="S341" s="47" t="n">
        <x:f>IFERROR(R341/D341,0)</x:f>
        <x:v>0.625</x:v>
      </x:c>
      <x:c r="T341" s="38" t="n">
        <x:f>MIN(MAX(G341,0),MAX(D341-I341,0))</x:f>
        <x:v>3</x:v>
      </x:c>
      <x:c r="U341" s="44" t="n">
        <x:f>T341*E341</x:f>
        <x:v>3600</x:v>
      </x:c>
      <x:c r="V341" s="38" t="n">
        <x:v>10</x:v>
      </x:c>
      <x:c r="W341" s="32" t="n">
        <x:v>1</x:v>
      </x:c>
      <x:c r="X341" s="50" t="n">
        <x:v>45839</x:v>
      </x:c>
      <x:c r="Y341" s="44" t="n">
        <x:v>3100</x:v>
      </x:c>
      <x:c r="Z341" s="44" t="n">
        <x:f>IF(I341&gt;0,R341*(J341/I341),0)</x:f>
        <x:v>14000</x:v>
      </x:c>
      <x:c r="AA341" s="44" t="n">
        <x:f>Z341-(R341*E341)</x:f>
        <x:v>8000</x:v>
      </x:c>
      <x:c r="AB341" s="47" t="n">
        <x:f>IFERROR(AA341/Z341,0)</x:f>
        <x:v>0.5714285714285714</x:v>
      </x:c>
      <x:c r="AC341" s="32" t="str">
        <x:f>IF(S341=0,"0%",IF(S341&lt;0.5,"1-49%",IF(S341&lt;0.8,"50-79%",IF(S341&lt;1,"80-99%","100%"))))</x:f>
        <x:v>50-79%</x:v>
      </x:c>
      <x:c r="AD341" s="33" t="str">
        <x:f>IF(G341&lt;0,"Stock negativo",IF(G341&lt;=0,"Sin stock actual",IF(I341&lt;=0,"Sin ventas desde compra",IF(Q341&lt;=0,"Con stock, sin ventas 365d",IF(S341&lt;0.5,"Rotación baja",IF(S341&lt;1,"Rotación media","Compra absorbida; stock repuesto"))))))</x:f>
        <x:v>Rotación media</x:v>
      </x:c>
    </x:row>
    <x:row r="342">
      <x:c r="A342" s="31" t="str">
        <x:v>MOTS1253</x:v>
      </x:c>
      <x:c r="B342" s="53" t="str">
        <x:v>PASTILLAS FRENO A GLITY DEI GPP</x:v>
      </x:c>
      <x:c r="C342" s="32" t="n">
        <x:v>1</x:v>
      </x:c>
      <x:c r="D342" s="38" t="n">
        <x:v>1</x:v>
      </x:c>
      <x:c r="E342" s="44" t="n">
        <x:v>9500</x:v>
      </x:c>
      <x:c r="F342" s="44" t="n">
        <x:v>9500</x:v>
      </x:c>
      <x:c r="G342" s="41" t="n">
        <x:v>1</x:v>
      </x:c>
      <x:c r="H342" s="44" t="n">
        <x:f>MAX(G342,0)*E342</x:f>
        <x:v>9500</x:v>
      </x:c>
      <x:c r="I342" s="38" t="n">
        <x:v>0</x:v>
      </x:c>
      <x:c r="J342" s="44" t="n">
        <x:v>0</x:v>
      </x:c>
      <x:c r="K342" s="32" t="n">
        <x:v>0</x:v>
      </x:c>
      <x:c r="L342" s="50"/>
      <x:c r="M342" s="50"/>
      <x:c r="N342" s="32" t="str">
        <x:f>IF(M342="","",MAX(0,'Resumen'!$B$3-M342))</x:f>
      </x:c>
      <x:c r="O342" s="38" t="n">
        <x:v>0</x:v>
      </x:c>
      <x:c r="P342" s="38" t="n">
        <x:v>0</x:v>
      </x:c>
      <x:c r="Q342" s="38" t="n">
        <x:v>0</x:v>
      </x:c>
      <x:c r="R342" s="38" t="n">
        <x:f>MIN(D342,I342)</x:f>
        <x:v>0</x:v>
      </x:c>
      <x:c r="S342" s="47" t="n">
        <x:f>IFERROR(R342/D342,0)</x:f>
        <x:v>0</x:v>
      </x:c>
      <x:c r="T342" s="38" t="n">
        <x:f>MIN(MAX(G342,0),MAX(D342-I342,0))</x:f>
        <x:v>1</x:v>
      </x:c>
      <x:c r="U342" s="44" t="n">
        <x:f>T342*E342</x:f>
        <x:v>9500</x:v>
      </x:c>
      <x:c r="V342" s="38" t="n">
        <x:v>0</x:v>
      </x:c>
      <x:c r="W342" s="32" t="n">
        <x:v>0</x:v>
      </x:c>
      <x:c r="X342" s="50"/>
      <x:c r="Y342" s="44" t="n">
        <x:v>16000</x:v>
      </x:c>
      <x:c r="Z342" s="44" t="n">
        <x:f>IF(I342&gt;0,R342*(J342/I342),0)</x:f>
        <x:v>0</x:v>
      </x:c>
      <x:c r="AA342" s="44" t="n">
        <x:f>Z342-(R342*E342)</x:f>
        <x:v>0</x:v>
      </x:c>
      <x:c r="AB342" s="47" t="n">
        <x:f>IFERROR(AA342/Z342,0)</x:f>
        <x:v>0</x:v>
      </x:c>
      <x:c r="AC342" s="32" t="str">
        <x:f>IF(S342=0,"0%",IF(S342&lt;0.5,"1-49%",IF(S342&lt;0.8,"50-79%",IF(S342&lt;1,"80-99%","100%"))))</x:f>
        <x:v>0%</x:v>
      </x:c>
      <x:c r="AD342" s="33" t="str">
        <x:f>IF(G342&lt;0,"Stock negativo",IF(G342&lt;=0,"Sin stock actual",IF(I342&lt;=0,"Sin ventas desde compra",IF(Q342&lt;=0,"Con stock, sin ventas 365d",IF(S342&lt;0.5,"Rotación baja",IF(S342&lt;1,"Rotación media","Compra absorbida; stock repuesto"))))))</x:f>
        <x:v>Sin ventas desde compra</x:v>
      </x:c>
    </x:row>
    <x:row r="343">
      <x:c r="A343" s="31" t="str">
        <x:v>TOR - 0459</x:v>
      </x:c>
      <x:c r="B343" s="53" t="str">
        <x:v>TORNILLO BRISTOL 6 X65 TORNIFRENOS</x:v>
      </x:c>
      <x:c r="C343" s="32" t="n">
        <x:v>1</x:v>
      </x:c>
      <x:c r="D343" s="38" t="n">
        <x:v>20</x:v>
      </x:c>
      <x:c r="E343" s="44" t="n">
        <x:v>466</x:v>
      </x:c>
      <x:c r="F343" s="44" t="n">
        <x:v>9320</x:v>
      </x:c>
      <x:c r="G343" s="41" t="n">
        <x:v>17</x:v>
      </x:c>
      <x:c r="H343" s="44" t="n">
        <x:f>MAX(G343,0)*E343</x:f>
        <x:v>7922</x:v>
      </x:c>
      <x:c r="I343" s="38" t="n">
        <x:v>2</x:v>
      </x:c>
      <x:c r="J343" s="44" t="n">
        <x:v>2000</x:v>
      </x:c>
      <x:c r="K343" s="32" t="n">
        <x:v>2</x:v>
      </x:c>
      <x:c r="L343" s="50" t="n">
        <x:v>45638.83503472222</x:v>
      </x:c>
      <x:c r="M343" s="50" t="n">
        <x:v>45968.952893518515</x:v>
      </x:c>
      <x:c r="N343" s="32" t="n">
        <x:f>IF(M343="","",MAX(0,'Resumen'!$B$3-M343))</x:f>
        <x:v>298.04710648148466</x:v>
      </x:c>
      <x:c r="O343" s="38" t="n">
        <x:v>0</x:v>
      </x:c>
      <x:c r="P343" s="38" t="n">
        <x:v>0</x:v>
      </x:c>
      <x:c r="Q343" s="38" t="n">
        <x:v>1</x:v>
      </x:c>
      <x:c r="R343" s="38" t="n">
        <x:f>MIN(D343,I343)</x:f>
        <x:v>2</x:v>
      </x:c>
      <x:c r="S343" s="47" t="n">
        <x:f>IFERROR(R343/D343,0)</x:f>
        <x:v>0.1</x:v>
      </x:c>
      <x:c r="T343" s="38" t="n">
        <x:f>MIN(MAX(G343,0),MAX(D343-I343,0))</x:f>
        <x:v>17</x:v>
      </x:c>
      <x:c r="U343" s="44" t="n">
        <x:f>T343*E343</x:f>
        <x:v>7922</x:v>
      </x:c>
      <x:c r="V343" s="38" t="n">
        <x:v>0</x:v>
      </x:c>
      <x:c r="W343" s="32" t="n">
        <x:v>0</x:v>
      </x:c>
      <x:c r="X343" s="50"/>
      <x:c r="Y343" s="44" t="n">
        <x:v>1000</x:v>
      </x:c>
      <x:c r="Z343" s="44" t="n">
        <x:f>IF(I343&gt;0,R343*(J343/I343),0)</x:f>
        <x:v>2000</x:v>
      </x:c>
      <x:c r="AA343" s="44" t="n">
        <x:f>Z343-(R343*E343)</x:f>
        <x:v>1068</x:v>
      </x:c>
      <x:c r="AB343" s="47" t="n">
        <x:f>IFERROR(AA343/Z343,0)</x:f>
        <x:v>0.534</x:v>
      </x:c>
      <x:c r="AC343" s="32" t="str">
        <x:f>IF(S343=0,"0%",IF(S343&lt;0.5,"1-49%",IF(S343&lt;0.8,"50-79%",IF(S343&lt;1,"80-99%","100%"))))</x:f>
        <x:v>1-49%</x:v>
      </x:c>
      <x:c r="AD343" s="33" t="str">
        <x:f>IF(G343&lt;0,"Stock negativo",IF(G343&lt;=0,"Sin stock actual",IF(I343&lt;=0,"Sin ventas desde compra",IF(Q343&lt;=0,"Con stock, sin ventas 365d",IF(S343&lt;0.5,"Rotación baja",IF(S343&lt;1,"Rotación media","Compra absorbida; stock repuesto"))))))</x:f>
        <x:v>Rotación baja</x:v>
      </x:c>
    </x:row>
    <x:row r="344">
      <x:c r="A344" s="31" t="str">
        <x:v>MDR8HAL03</x:v>
      </x:c>
      <x:c r="B344" s="53" t="str">
        <x:v>BUJIA BP7HS 54 K</x:v>
      </x:c>
      <x:c r="C344" s="32" t="n">
        <x:v>1</x:v>
      </x:c>
      <x:c r="D344" s="38" t="n">
        <x:v>1</x:v>
      </x:c>
      <x:c r="E344" s="44" t="n">
        <x:v>9250</x:v>
      </x:c>
      <x:c r="F344" s="44" t="n">
        <x:v>9250</x:v>
      </x:c>
      <x:c r="G344" s="41" t="n">
        <x:v>1</x:v>
      </x:c>
      <x:c r="H344" s="44" t="n">
        <x:f>MAX(G344,0)*E344</x:f>
        <x:v>9250</x:v>
      </x:c>
      <x:c r="I344" s="38" t="n">
        <x:v>0</x:v>
      </x:c>
      <x:c r="J344" s="44" t="n">
        <x:v>0</x:v>
      </x:c>
      <x:c r="K344" s="32" t="n">
        <x:v>0</x:v>
      </x:c>
      <x:c r="L344" s="50"/>
      <x:c r="M344" s="50"/>
      <x:c r="N344" s="32" t="str">
        <x:f>IF(M344="","",MAX(0,'Resumen'!$B$3-M344))</x:f>
      </x:c>
      <x:c r="O344" s="38" t="n">
        <x:v>0</x:v>
      </x:c>
      <x:c r="P344" s="38" t="n">
        <x:v>0</x:v>
      </x:c>
      <x:c r="Q344" s="38" t="n">
        <x:v>0</x:v>
      </x:c>
      <x:c r="R344" s="38" t="n">
        <x:f>MIN(D344,I344)</x:f>
        <x:v>0</x:v>
      </x:c>
      <x:c r="S344" s="47" t="n">
        <x:f>IFERROR(R344/D344,0)</x:f>
        <x:v>0</x:v>
      </x:c>
      <x:c r="T344" s="38" t="n">
        <x:f>MIN(MAX(G344,0),MAX(D344-I344,0))</x:f>
        <x:v>1</x:v>
      </x:c>
      <x:c r="U344" s="44" t="n">
        <x:f>T344*E344</x:f>
        <x:v>9250</x:v>
      </x:c>
      <x:c r="V344" s="38" t="n">
        <x:v>0</x:v>
      </x:c>
      <x:c r="W344" s="32" t="n">
        <x:v>0</x:v>
      </x:c>
      <x:c r="X344" s="50"/>
      <x:c r="Y344" s="44" t="n">
        <x:v>15500</x:v>
      </x:c>
      <x:c r="Z344" s="44" t="n">
        <x:f>IF(I344&gt;0,R344*(J344/I344),0)</x:f>
        <x:v>0</x:v>
      </x:c>
      <x:c r="AA344" s="44" t="n">
        <x:f>Z344-(R344*E344)</x:f>
        <x:v>0</x:v>
      </x:c>
      <x:c r="AB344" s="47" t="n">
        <x:f>IFERROR(AA344/Z344,0)</x:f>
        <x:v>0</x:v>
      </x:c>
      <x:c r="AC344" s="32" t="str">
        <x:f>IF(S344=0,"0%",IF(S344&lt;0.5,"1-49%",IF(S344&lt;0.8,"50-79%",IF(S344&lt;1,"80-99%","100%"))))</x:f>
        <x:v>0%</x:v>
      </x:c>
      <x:c r="AD344" s="33" t="str">
        <x:f>IF(G344&lt;0,"Stock negativo",IF(G344&lt;=0,"Sin stock actual",IF(I344&lt;=0,"Sin ventas desde compra",IF(Q344&lt;=0,"Con stock, sin ventas 365d",IF(S344&lt;0.5,"Rotación baja",IF(S344&lt;1,"Rotación media","Compra absorbida; stock repuesto"))))))</x:f>
        <x:v>Sin ventas desde compra</x:v>
      </x:c>
    </x:row>
    <x:row r="345">
      <x:c r="A345" s="31" t="str">
        <x:v>MOTS1073</x:v>
      </x:c>
      <x:c r="B345" s="53" t="str">
        <x:v>RETEN 8-14-4</x:v>
      </x:c>
      <x:c r="C345" s="32" t="n">
        <x:v>1</x:v>
      </x:c>
      <x:c r="D345" s="38" t="n">
        <x:v>4</x:v>
      </x:c>
      <x:c r="E345" s="44" t="n">
        <x:v>2300</x:v>
      </x:c>
      <x:c r="F345" s="44" t="n">
        <x:v>9200</x:v>
      </x:c>
      <x:c r="G345" s="41" t="n">
        <x:v>4</x:v>
      </x:c>
      <x:c r="H345" s="44" t="n">
        <x:f>MAX(G345,0)*E345</x:f>
        <x:v>9200</x:v>
      </x:c>
      <x:c r="I345" s="38" t="n">
        <x:v>0</x:v>
      </x:c>
      <x:c r="J345" s="44" t="n">
        <x:v>0</x:v>
      </x:c>
      <x:c r="K345" s="32" t="n">
        <x:v>0</x:v>
      </x:c>
      <x:c r="L345" s="50"/>
      <x:c r="M345" s="50"/>
      <x:c r="N345" s="32" t="str">
        <x:f>IF(M345="","",MAX(0,'Resumen'!$B$3-M345))</x:f>
      </x:c>
      <x:c r="O345" s="38" t="n">
        <x:v>0</x:v>
      </x:c>
      <x:c r="P345" s="38" t="n">
        <x:v>0</x:v>
      </x:c>
      <x:c r="Q345" s="38" t="n">
        <x:v>0</x:v>
      </x:c>
      <x:c r="R345" s="38" t="n">
        <x:f>MIN(D345,I345)</x:f>
        <x:v>0</x:v>
      </x:c>
      <x:c r="S345" s="47" t="n">
        <x:f>IFERROR(R345/D345,0)</x:f>
        <x:v>0</x:v>
      </x:c>
      <x:c r="T345" s="38" t="n">
        <x:f>MIN(MAX(G345,0),MAX(D345-I345,0))</x:f>
        <x:v>4</x:v>
      </x:c>
      <x:c r="U345" s="44" t="n">
        <x:f>T345*E345</x:f>
        <x:v>9200</x:v>
      </x:c>
      <x:c r="V345" s="38" t="n">
        <x:v>0</x:v>
      </x:c>
      <x:c r="W345" s="32" t="n">
        <x:v>0</x:v>
      </x:c>
      <x:c r="X345" s="50"/>
      <x:c r="Y345" s="44" t="n">
        <x:v>4000</x:v>
      </x:c>
      <x:c r="Z345" s="44" t="n">
        <x:f>IF(I345&gt;0,R345*(J345/I345),0)</x:f>
        <x:v>0</x:v>
      </x:c>
      <x:c r="AA345" s="44" t="n">
        <x:f>Z345-(R345*E345)</x:f>
        <x:v>0</x:v>
      </x:c>
      <x:c r="AB345" s="47" t="n">
        <x:f>IFERROR(AA345/Z345,0)</x:f>
        <x:v>0</x:v>
      </x:c>
      <x:c r="AC345" s="32" t="str">
        <x:f>IF(S345=0,"0%",IF(S345&lt;0.5,"1-49%",IF(S345&lt;0.8,"50-79%",IF(S345&lt;1,"80-99%","100%"))))</x:f>
        <x:v>0%</x:v>
      </x:c>
      <x:c r="AD345" s="33" t="str">
        <x:f>IF(G345&lt;0,"Stock negativo",IF(G345&lt;=0,"Sin stock actual",IF(I345&lt;=0,"Sin ventas desde compra",IF(Q345&lt;=0,"Con stock, sin ventas 365d",IF(S345&lt;0.5,"Rotación baja",IF(S345&lt;1,"Rotación media","Compra absorbida; stock repuesto"))))))</x:f>
        <x:v>Sin ventas desde compra</x:v>
      </x:c>
    </x:row>
    <x:row r="346">
      <x:c r="A346" s="31" t="str">
        <x:v>MOTS1174</x:v>
      </x:c>
      <x:c r="B346" s="53" t="str">
        <x:v>ALTPO GASOLINA UNIVERSAL BARAI</x:v>
      </x:c>
      <x:c r="C346" s="32" t="n">
        <x:v>1</x:v>
      </x:c>
      <x:c r="D346" s="38" t="n">
        <x:v>7</x:v>
      </x:c>
      <x:c r="E346" s="44" t="n">
        <x:v>1300</x:v>
      </x:c>
      <x:c r="F346" s="44" t="n">
        <x:v>9100</x:v>
      </x:c>
      <x:c r="G346" s="41" t="n">
        <x:v>3</x:v>
      </x:c>
      <x:c r="H346" s="44" t="n">
        <x:f>MAX(G346,0)*E346</x:f>
        <x:v>3900</x:v>
      </x:c>
      <x:c r="I346" s="38" t="n">
        <x:v>4</x:v>
      </x:c>
      <x:c r="J346" s="44" t="n">
        <x:v>8000</x:v>
      </x:c>
      <x:c r="K346" s="32" t="n">
        <x:v>3</x:v>
      </x:c>
      <x:c r="L346" s="50" t="n">
        <x:v>45572.659212962964</x:v>
      </x:c>
      <x:c r="M346" s="50" t="n">
        <x:v>45855.83976851852</x:v>
      </x:c>
      <x:c r="N346" s="32" t="n">
        <x:f>IF(M346="","",MAX(0,'Resumen'!$B$3-M346))</x:f>
        <x:v>411.1602314814809</x:v>
      </x:c>
      <x:c r="O346" s="38" t="n">
        <x:v>0</x:v>
      </x:c>
      <x:c r="P346" s="38" t="n">
        <x:v>0</x:v>
      </x:c>
      <x:c r="Q346" s="38" t="n">
        <x:v>0</x:v>
      </x:c>
      <x:c r="R346" s="38" t="n">
        <x:f>MIN(D346,I346)</x:f>
        <x:v>4</x:v>
      </x:c>
      <x:c r="S346" s="47" t="n">
        <x:f>IFERROR(R346/D346,0)</x:f>
        <x:v>0.5714285714285714</x:v>
      </x:c>
      <x:c r="T346" s="38" t="n">
        <x:f>MIN(MAX(G346,0),MAX(D346-I346,0))</x:f>
        <x:v>3</x:v>
      </x:c>
      <x:c r="U346" s="44" t="n">
        <x:f>T346*E346</x:f>
        <x:v>3900</x:v>
      </x:c>
      <x:c r="V346" s="38" t="n">
        <x:v>0</x:v>
      </x:c>
      <x:c r="W346" s="32" t="n">
        <x:v>0</x:v>
      </x:c>
      <x:c r="X346" s="50"/>
      <x:c r="Y346" s="44" t="n">
        <x:v>2500</x:v>
      </x:c>
      <x:c r="Z346" s="44" t="n">
        <x:f>IF(I346&gt;0,R346*(J346/I346),0)</x:f>
        <x:v>8000</x:v>
      </x:c>
      <x:c r="AA346" s="44" t="n">
        <x:f>Z346-(R346*E346)</x:f>
        <x:v>2800</x:v>
      </x:c>
      <x:c r="AB346" s="47" t="n">
        <x:f>IFERROR(AA346/Z346,0)</x:f>
        <x:v>0.35</x:v>
      </x:c>
      <x:c r="AC346" s="32" t="str">
        <x:f>IF(S346=0,"0%",IF(S346&lt;0.5,"1-49%",IF(S346&lt;0.8,"50-79%",IF(S346&lt;1,"80-99%","100%"))))</x:f>
        <x:v>50-79%</x:v>
      </x:c>
      <x:c r="AD346" s="33" t="str">
        <x:f>IF(G346&lt;0,"Stock negativo",IF(G346&lt;=0,"Sin stock actual",IF(I346&lt;=0,"Sin ventas desde compra",IF(Q346&lt;=0,"Con stock, sin ventas 365d",IF(S346&lt;0.5,"Rotación baja",IF(S346&lt;1,"Rotación media","Compra absorbida; stock repuesto"))))))</x:f>
        <x:v>Con stock, sin ventas 365d</x:v>
      </x:c>
    </x:row>
    <x:row r="347">
      <x:c r="A347" s="31" t="str">
        <x:v>COM - OQ1</x:v>
      </x:c>
      <x:c r="B347" s="53" t="str">
        <x:v>COMANDO DERECHO ECO NEOXAC</x:v>
      </x:c>
      <x:c r="C347" s="32" t="n">
        <x:v>1</x:v>
      </x:c>
      <x:c r="D347" s="38" t="n">
        <x:v>1</x:v>
      </x:c>
      <x:c r="E347" s="44" t="n">
        <x:v>9000</x:v>
      </x:c>
      <x:c r="F347" s="44" t="n">
        <x:v>9000</x:v>
      </x:c>
      <x:c r="G347" s="41" t="n">
        <x:v>0</x:v>
      </x:c>
      <x:c r="H347" s="44" t="n">
        <x:f>MAX(G347,0)*E347</x:f>
        <x:v>0</x:v>
      </x:c>
      <x:c r="I347" s="38" t="n">
        <x:v>1</x:v>
      </x:c>
      <x:c r="J347" s="44" t="n">
        <x:v>13000</x:v>
      </x:c>
      <x:c r="K347" s="32" t="n">
        <x:v>1</x:v>
      </x:c>
      <x:c r="L347" s="50" t="n">
        <x:v>45586.94666666666</x:v>
      </x:c>
      <x:c r="M347" s="50" t="n">
        <x:v>45586.94666666666</x:v>
      </x:c>
      <x:c r="N347" s="32" t="n">
        <x:f>IF(M347="","",MAX(0,'Resumen'!$B$3-M347))</x:f>
        <x:v>680.0533333333369</x:v>
      </x:c>
      <x:c r="O347" s="38" t="n">
        <x:v>0</x:v>
      </x:c>
      <x:c r="P347" s="38" t="n">
        <x:v>0</x:v>
      </x:c>
      <x:c r="Q347" s="38" t="n">
        <x:v>0</x:v>
      </x:c>
      <x:c r="R347" s="38" t="n">
        <x:f>MIN(D347,I347)</x:f>
        <x:v>1</x:v>
      </x:c>
      <x:c r="S347" s="47" t="n">
        <x:f>IFERROR(R347/D347,0)</x:f>
        <x:v>1</x:v>
      </x:c>
      <x:c r="T347" s="38" t="n">
        <x:f>MIN(MAX(G347,0),MAX(D347-I347,0))</x:f>
        <x:v>0</x:v>
      </x:c>
      <x:c r="U347" s="44" t="n">
        <x:f>T347*E347</x:f>
        <x:v>0</x:v>
      </x:c>
      <x:c r="V347" s="38" t="n">
        <x:v>0</x:v>
      </x:c>
      <x:c r="W347" s="32" t="n">
        <x:v>0</x:v>
      </x:c>
      <x:c r="X347" s="50"/>
      <x:c r="Y347" s="44" t="n">
        <x:v>15000</x:v>
      </x:c>
      <x:c r="Z347" s="44" t="n">
        <x:f>IF(I347&gt;0,R347*(J347/I347),0)</x:f>
        <x:v>13000</x:v>
      </x:c>
      <x:c r="AA347" s="44" t="n">
        <x:f>Z347-(R347*E347)</x:f>
        <x:v>4000</x:v>
      </x:c>
      <x:c r="AB347" s="47" t="n">
        <x:f>IFERROR(AA347/Z347,0)</x:f>
        <x:v>0.3076923076923077</x:v>
      </x:c>
      <x:c r="AC347" s="32" t="str">
        <x:f>IF(S347=0,"0%",IF(S347&lt;0.5,"1-49%",IF(S347&lt;0.8,"50-79%",IF(S347&lt;1,"80-99%","100%"))))</x:f>
        <x:v>100%</x:v>
      </x:c>
      <x:c r="AD347" s="33" t="str">
        <x:f>IF(G347&lt;0,"Stock negativo",IF(G347&lt;=0,"Sin stock actual",IF(I347&lt;=0,"Sin ventas desde compra",IF(Q347&lt;=0,"Con stock, sin ventas 365d",IF(S347&lt;0.5,"Rotación baja",IF(S347&lt;1,"Rotación media","Compra absorbida; stock repuesto"))))))</x:f>
        <x:v>Sin stock actual</x:v>
      </x:c>
    </x:row>
    <x:row r="348">
      <x:c r="A348" s="31" t="str">
        <x:v>FIL - 002059</x:v>
      </x:c>
      <x:c r="B348" s="53" t="str">
        <x:v>FILTRO AIRE CB 110 GRAYONES FILTROS</x:v>
      </x:c>
      <x:c r="C348" s="32" t="n">
        <x:v>1</x:v>
      </x:c>
      <x:c r="D348" s="38" t="n">
        <x:v>2</x:v>
      </x:c>
      <x:c r="E348" s="44" t="n">
        <x:v>4500</x:v>
      </x:c>
      <x:c r="F348" s="44" t="n">
        <x:v>9000</x:v>
      </x:c>
      <x:c r="G348" s="41" t="n">
        <x:v>0</x:v>
      </x:c>
      <x:c r="H348" s="44" t="n">
        <x:f>MAX(G348,0)*E348</x:f>
        <x:v>0</x:v>
      </x:c>
      <x:c r="I348" s="38" t="n">
        <x:v>2</x:v>
      </x:c>
      <x:c r="J348" s="44" t="n">
        <x:v>14500</x:v>
      </x:c>
      <x:c r="K348" s="32" t="n">
        <x:v>2</x:v>
      </x:c>
      <x:c r="L348" s="50" t="n">
        <x:v>45559.55090277778</x:v>
      </x:c>
      <x:c r="M348" s="50" t="n">
        <x:v>45688.82980324074</x:v>
      </x:c>
      <x:c r="N348" s="32" t="n">
        <x:f>IF(M348="","",MAX(0,'Resumen'!$B$3-M348))</x:f>
        <x:v>578.1701967592599</x:v>
      </x:c>
      <x:c r="O348" s="38" t="n">
        <x:v>0</x:v>
      </x:c>
      <x:c r="P348" s="38" t="n">
        <x:v>0</x:v>
      </x:c>
      <x:c r="Q348" s="38" t="n">
        <x:v>0</x:v>
      </x:c>
      <x:c r="R348" s="38" t="n">
        <x:f>MIN(D348,I348)</x:f>
        <x:v>2</x:v>
      </x:c>
      <x:c r="S348" s="47" t="n">
        <x:f>IFERROR(R348/D348,0)</x:f>
        <x:v>1</x:v>
      </x:c>
      <x:c r="T348" s="38" t="n">
        <x:f>MIN(MAX(G348,0),MAX(D348-I348,0))</x:f>
        <x:v>0</x:v>
      </x:c>
      <x:c r="U348" s="44" t="n">
        <x:f>T348*E348</x:f>
        <x:v>0</x:v>
      </x:c>
      <x:c r="V348" s="38" t="n">
        <x:v>0</x:v>
      </x:c>
      <x:c r="W348" s="32" t="n">
        <x:v>0</x:v>
      </x:c>
      <x:c r="X348" s="50"/>
      <x:c r="Y348" s="44" t="n">
        <x:v>7500</x:v>
      </x:c>
      <x:c r="Z348" s="44" t="n">
        <x:f>IF(I348&gt;0,R348*(J348/I348),0)</x:f>
        <x:v>14500</x:v>
      </x:c>
      <x:c r="AA348" s="44" t="n">
        <x:f>Z348-(R348*E348)</x:f>
        <x:v>5500</x:v>
      </x:c>
      <x:c r="AB348" s="47" t="n">
        <x:f>IFERROR(AA348/Z348,0)</x:f>
        <x:v>0.3793103448275862</x:v>
      </x:c>
      <x:c r="AC348" s="32" t="str">
        <x:f>IF(S348=0,"0%",IF(S348&lt;0.5,"1-49%",IF(S348&lt;0.8,"50-79%",IF(S348&lt;1,"80-99%","100%"))))</x:f>
        <x:v>100%</x:v>
      </x:c>
      <x:c r="AD348" s="33" t="str">
        <x:f>IF(G348&lt;0,"Stock negativo",IF(G348&lt;=0,"Sin stock actual",IF(I348&lt;=0,"Sin ventas desde compra",IF(Q348&lt;=0,"Con stock, sin ventas 365d",IF(S348&lt;0.5,"Rotación baja",IF(S348&lt;1,"Rotación media","Compra absorbida; stock repuesto"))))))</x:f>
        <x:v>Sin stock actual</x:v>
      </x:c>
    </x:row>
    <x:row r="349">
      <x:c r="A349" s="31" t="str">
        <x:v>MOTS1059</x:v>
      </x:c>
      <x:c r="B349" s="53" t="str">
        <x:v>RETEN 32-43-10</x:v>
      </x:c>
      <x:c r="C349" s="32" t="n">
        <x:v>1</x:v>
      </x:c>
      <x:c r="D349" s="38" t="n">
        <x:v>3</x:v>
      </x:c>
      <x:c r="E349" s="44" t="n">
        <x:v>3000</x:v>
      </x:c>
      <x:c r="F349" s="44" t="n">
        <x:v>9000</x:v>
      </x:c>
      <x:c r="G349" s="41" t="n">
        <x:v>3</x:v>
      </x:c>
      <x:c r="H349" s="44" t="n">
        <x:f>MAX(G349,0)*E349</x:f>
        <x:v>9000</x:v>
      </x:c>
      <x:c r="I349" s="38" t="n">
        <x:v>0</x:v>
      </x:c>
      <x:c r="J349" s="44" t="n">
        <x:v>0</x:v>
      </x:c>
      <x:c r="K349" s="32" t="n">
        <x:v>0</x:v>
      </x:c>
      <x:c r="L349" s="50"/>
      <x:c r="M349" s="50"/>
      <x:c r="N349" s="32" t="str">
        <x:f>IF(M349="","",MAX(0,'Resumen'!$B$3-M349))</x:f>
      </x:c>
      <x:c r="O349" s="38" t="n">
        <x:v>0</x:v>
      </x:c>
      <x:c r="P349" s="38" t="n">
        <x:v>0</x:v>
      </x:c>
      <x:c r="Q349" s="38" t="n">
        <x:v>0</x:v>
      </x:c>
      <x:c r="R349" s="38" t="n">
        <x:f>MIN(D349,I349)</x:f>
        <x:v>0</x:v>
      </x:c>
      <x:c r="S349" s="47" t="n">
        <x:f>IFERROR(R349/D349,0)</x:f>
        <x:v>0</x:v>
      </x:c>
      <x:c r="T349" s="38" t="n">
        <x:f>MIN(MAX(G349,0),MAX(D349-I349,0))</x:f>
        <x:v>3</x:v>
      </x:c>
      <x:c r="U349" s="44" t="n">
        <x:f>T349*E349</x:f>
        <x:v>9000</x:v>
      </x:c>
      <x:c r="V349" s="38" t="n">
        <x:v>0</x:v>
      </x:c>
      <x:c r="W349" s="32" t="n">
        <x:v>0</x:v>
      </x:c>
      <x:c r="X349" s="50"/>
      <x:c r="Y349" s="44" t="n">
        <x:v>5000</x:v>
      </x:c>
      <x:c r="Z349" s="44" t="n">
        <x:f>IF(I349&gt;0,R349*(J349/I349),0)</x:f>
        <x:v>0</x:v>
      </x:c>
      <x:c r="AA349" s="44" t="n">
        <x:f>Z349-(R349*E349)</x:f>
        <x:v>0</x:v>
      </x:c>
      <x:c r="AB349" s="47" t="n">
        <x:f>IFERROR(AA349/Z349,0)</x:f>
        <x:v>0</x:v>
      </x:c>
      <x:c r="AC349" s="32" t="str">
        <x:f>IF(S349=0,"0%",IF(S349&lt;0.5,"1-49%",IF(S349&lt;0.8,"50-79%",IF(S349&lt;1,"80-99%","100%"))))</x:f>
        <x:v>0%</x:v>
      </x:c>
      <x:c r="AD349" s="33" t="str">
        <x:f>IF(G349&lt;0,"Stock negativo",IF(G349&lt;=0,"Sin stock actual",IF(I349&lt;=0,"Sin ventas desde compra",IF(Q349&lt;=0,"Con stock, sin ventas 365d",IF(S349&lt;0.5,"Rotación baja",IF(S349&lt;1,"Rotación media","Compra absorbida; stock repuesto"))))))</x:f>
        <x:v>Sin ventas desde compra</x:v>
      </x:c>
    </x:row>
    <x:row r="350">
      <x:c r="A350" s="31" t="str">
        <x:v>MOTS1078</x:v>
      </x:c>
      <x:c r="B350" s="53" t="str">
        <x:v>RETEN 10-21-05</x:v>
      </x:c>
      <x:c r="C350" s="32" t="n">
        <x:v>1</x:v>
      </x:c>
      <x:c r="D350" s="38" t="n">
        <x:v>6</x:v>
      </x:c>
      <x:c r="E350" s="44" t="n">
        <x:v>1500</x:v>
      </x:c>
      <x:c r="F350" s="44" t="n">
        <x:v>9000</x:v>
      </x:c>
      <x:c r="G350" s="41" t="n">
        <x:v>4</x:v>
      </x:c>
      <x:c r="H350" s="44" t="n">
        <x:f>MAX(G350,0)*E350</x:f>
        <x:v>6000</x:v>
      </x:c>
      <x:c r="I350" s="38" t="n">
        <x:v>2</x:v>
      </x:c>
      <x:c r="J350" s="44" t="n">
        <x:v>5000</x:v>
      </x:c>
      <x:c r="K350" s="32" t="n">
        <x:v>2</x:v>
      </x:c>
      <x:c r="L350" s="50" t="n">
        <x:v>45604.609085648146</x:v>
      </x:c>
      <x:c r="M350" s="50" t="n">
        <x:v>45691.70649305556</x:v>
      </x:c>
      <x:c r="N350" s="32" t="n">
        <x:f>IF(M350="","",MAX(0,'Resumen'!$B$3-M350))</x:f>
        <x:v>575.2935069444429</x:v>
      </x:c>
      <x:c r="O350" s="38" t="n">
        <x:v>0</x:v>
      </x:c>
      <x:c r="P350" s="38" t="n">
        <x:v>0</x:v>
      </x:c>
      <x:c r="Q350" s="38" t="n">
        <x:v>0</x:v>
      </x:c>
      <x:c r="R350" s="38" t="n">
        <x:f>MIN(D350,I350)</x:f>
        <x:v>2</x:v>
      </x:c>
      <x:c r="S350" s="47" t="n">
        <x:f>IFERROR(R350/D350,0)</x:f>
        <x:v>0.3333333333333333</x:v>
      </x:c>
      <x:c r="T350" s="38" t="n">
        <x:f>MIN(MAX(G350,0),MAX(D350-I350,0))</x:f>
        <x:v>4</x:v>
      </x:c>
      <x:c r="U350" s="44" t="n">
        <x:f>T350*E350</x:f>
        <x:v>6000</x:v>
      </x:c>
      <x:c r="V350" s="38" t="n">
        <x:v>0</x:v>
      </x:c>
      <x:c r="W350" s="32" t="n">
        <x:v>0</x:v>
      </x:c>
      <x:c r="X350" s="50"/>
      <x:c r="Y350" s="44" t="n">
        <x:v>2500</x:v>
      </x:c>
      <x:c r="Z350" s="44" t="n">
        <x:f>IF(I350&gt;0,R350*(J350/I350),0)</x:f>
        <x:v>5000</x:v>
      </x:c>
      <x:c r="AA350" s="44" t="n">
        <x:f>Z350-(R350*E350)</x:f>
        <x:v>2000</x:v>
      </x:c>
      <x:c r="AB350" s="47" t="n">
        <x:f>IFERROR(AA350/Z350,0)</x:f>
        <x:v>0.4</x:v>
      </x:c>
      <x:c r="AC350" s="32" t="str">
        <x:f>IF(S350=0,"0%",IF(S350&lt;0.5,"1-49%",IF(S350&lt;0.8,"50-79%",IF(S350&lt;1,"80-99%","100%"))))</x:f>
        <x:v>1-49%</x:v>
      </x:c>
      <x:c r="AD350" s="33" t="str">
        <x:f>IF(G350&lt;0,"Stock negativo",IF(G350&lt;=0,"Sin stock actual",IF(I350&lt;=0,"Sin ventas desde compra",IF(Q350&lt;=0,"Con stock, sin ventas 365d",IF(S350&lt;0.5,"Rotación baja",IF(S350&lt;1,"Rotación media","Compra absorbida; stock repuesto"))))))</x:f>
        <x:v>Con stock, sin ventas 365d</x:v>
      </x:c>
    </x:row>
    <x:row r="351">
      <x:c r="A351" s="31" t="str">
        <x:v>MOTS1089</x:v>
      </x:c>
      <x:c r="B351" s="53" t="str">
        <x:v>RETEN 4.8-25-5.5</x:v>
      </x:c>
      <x:c r="C351" s="32" t="n">
        <x:v>1</x:v>
      </x:c>
      <x:c r="D351" s="38" t="n">
        <x:v>6</x:v>
      </x:c>
      <x:c r="E351" s="44" t="n">
        <x:v>1500</x:v>
      </x:c>
      <x:c r="F351" s="44" t="n">
        <x:v>9000</x:v>
      </x:c>
      <x:c r="G351" s="41" t="n">
        <x:v>5</x:v>
      </x:c>
      <x:c r="H351" s="44" t="n">
        <x:f>MAX(G351,0)*E351</x:f>
        <x:v>7500</x:v>
      </x:c>
      <x:c r="I351" s="38" t="n">
        <x:v>1</x:v>
      </x:c>
      <x:c r="J351" s="44" t="n">
        <x:v>3000</x:v>
      </x:c>
      <x:c r="K351" s="32" t="n">
        <x:v>1</x:v>
      </x:c>
      <x:c r="L351" s="50" t="n">
        <x:v>45987.84125</x:v>
      </x:c>
      <x:c r="M351" s="50" t="n">
        <x:v>45987.84125</x:v>
      </x:c>
      <x:c r="N351" s="32" t="n">
        <x:f>IF(M351="","",MAX(0,'Resumen'!$B$3-M351))</x:f>
        <x:v>279.1587500000023</x:v>
      </x:c>
      <x:c r="O351" s="38" t="n">
        <x:v>0</x:v>
      </x:c>
      <x:c r="P351" s="38" t="n">
        <x:v>0</x:v>
      </x:c>
      <x:c r="Q351" s="38" t="n">
        <x:v>1</x:v>
      </x:c>
      <x:c r="R351" s="38" t="n">
        <x:f>MIN(D351,I351)</x:f>
        <x:v>1</x:v>
      </x:c>
      <x:c r="S351" s="47" t="n">
        <x:f>IFERROR(R351/D351,0)</x:f>
        <x:v>0.16666666666666666</x:v>
      </x:c>
      <x:c r="T351" s="38" t="n">
        <x:f>MIN(MAX(G351,0),MAX(D351-I351,0))</x:f>
        <x:v>5</x:v>
      </x:c>
      <x:c r="U351" s="44" t="n">
        <x:f>T351*E351</x:f>
        <x:v>7500</x:v>
      </x:c>
      <x:c r="V351" s="38" t="n">
        <x:v>0</x:v>
      </x:c>
      <x:c r="W351" s="32" t="n">
        <x:v>0</x:v>
      </x:c>
      <x:c r="X351" s="50"/>
      <x:c r="Y351" s="44" t="n">
        <x:v>2500</x:v>
      </x:c>
      <x:c r="Z351" s="44" t="n">
        <x:f>IF(I351&gt;0,R351*(J351/I351),0)</x:f>
        <x:v>3000</x:v>
      </x:c>
      <x:c r="AA351" s="44" t="n">
        <x:f>Z351-(R351*E351)</x:f>
        <x:v>1500</x:v>
      </x:c>
      <x:c r="AB351" s="47" t="n">
        <x:f>IFERROR(AA351/Z351,0)</x:f>
        <x:v>0.5</x:v>
      </x:c>
      <x:c r="AC351" s="32" t="str">
        <x:f>IF(S351=0,"0%",IF(S351&lt;0.5,"1-49%",IF(S351&lt;0.8,"50-79%",IF(S351&lt;1,"80-99%","100%"))))</x:f>
        <x:v>1-49%</x:v>
      </x:c>
      <x:c r="AD351" s="33" t="str">
        <x:f>IF(G351&lt;0,"Stock negativo",IF(G351&lt;=0,"Sin stock actual",IF(I351&lt;=0,"Sin ventas desde compra",IF(Q351&lt;=0,"Con stock, sin ventas 365d",IF(S351&lt;0.5,"Rotación baja",IF(S351&lt;1,"Rotación media","Compra absorbida; stock repuesto"))))))</x:f>
        <x:v>Rotación baja</x:v>
      </x:c>
    </x:row>
    <x:row r="352">
      <x:c r="A352" s="31" t="str">
        <x:v>MOTS1092</x:v>
      </x:c>
      <x:c r="B352" s="53" t="str">
        <x:v>RETEN 16-30-8</x:v>
      </x:c>
      <x:c r="C352" s="32" t="n">
        <x:v>1</x:v>
      </x:c>
      <x:c r="D352" s="38" t="n">
        <x:v>6</x:v>
      </x:c>
      <x:c r="E352" s="44" t="n">
        <x:v>1500</x:v>
      </x:c>
      <x:c r="F352" s="44" t="n">
        <x:v>9000</x:v>
      </x:c>
      <x:c r="G352" s="41" t="n">
        <x:v>3</x:v>
      </x:c>
      <x:c r="H352" s="44" t="n">
        <x:f>MAX(G352,0)*E352</x:f>
        <x:v>4500</x:v>
      </x:c>
      <x:c r="I352" s="38" t="n">
        <x:v>3</x:v>
      </x:c>
      <x:c r="J352" s="44" t="n">
        <x:v>7800</x:v>
      </x:c>
      <x:c r="K352" s="32" t="n">
        <x:v>3</x:v>
      </x:c>
      <x:c r="L352" s="50" t="n">
        <x:v>45551.86378472222</x:v>
      </x:c>
      <x:c r="M352" s="50" t="n">
        <x:v>45999.646875</x:v>
      </x:c>
      <x:c r="N352" s="32" t="n">
        <x:f>IF(M352="","",MAX(0,'Resumen'!$B$3-M352))</x:f>
        <x:v>267.35312500000146</x:v>
      </x:c>
      <x:c r="O352" s="38" t="n">
        <x:v>0</x:v>
      </x:c>
      <x:c r="P352" s="38" t="n">
        <x:v>0</x:v>
      </x:c>
      <x:c r="Q352" s="38" t="n">
        <x:v>1</x:v>
      </x:c>
      <x:c r="R352" s="38" t="n">
        <x:f>MIN(D352,I352)</x:f>
        <x:v>3</x:v>
      </x:c>
      <x:c r="S352" s="47" t="n">
        <x:f>IFERROR(R352/D352,0)</x:f>
        <x:v>0.5</x:v>
      </x:c>
      <x:c r="T352" s="38" t="n">
        <x:f>MIN(MAX(G352,0),MAX(D352-I352,0))</x:f>
        <x:v>3</x:v>
      </x:c>
      <x:c r="U352" s="44" t="n">
        <x:f>T352*E352</x:f>
        <x:v>4500</x:v>
      </x:c>
      <x:c r="V352" s="38" t="n">
        <x:v>0</x:v>
      </x:c>
      <x:c r="W352" s="32" t="n">
        <x:v>0</x:v>
      </x:c>
      <x:c r="X352" s="50"/>
      <x:c r="Y352" s="44" t="n">
        <x:v>2500</x:v>
      </x:c>
      <x:c r="Z352" s="44" t="n">
        <x:f>IF(I352&gt;0,R352*(J352/I352),0)</x:f>
        <x:v>7800</x:v>
      </x:c>
      <x:c r="AA352" s="44" t="n">
        <x:f>Z352-(R352*E352)</x:f>
        <x:v>3300</x:v>
      </x:c>
      <x:c r="AB352" s="47" t="n">
        <x:f>IFERROR(AA352/Z352,0)</x:f>
        <x:v>0.4230769230769231</x:v>
      </x:c>
      <x:c r="AC352" s="32" t="str">
        <x:f>IF(S352=0,"0%",IF(S352&lt;0.5,"1-49%",IF(S352&lt;0.8,"50-79%",IF(S352&lt;1,"80-99%","100%"))))</x:f>
        <x:v>50-79%</x:v>
      </x:c>
      <x:c r="AD352" s="33" t="str">
        <x:f>IF(G352&lt;0,"Stock negativo",IF(G352&lt;=0,"Sin stock actual",IF(I352&lt;=0,"Sin ventas desde compra",IF(Q352&lt;=0,"Con stock, sin ventas 365d",IF(S352&lt;0.5,"Rotación baja",IF(S352&lt;1,"Rotación media","Compra absorbida; stock repuesto"))))))</x:f>
        <x:v>Rotación media</x:v>
      </x:c>
    </x:row>
    <x:row r="353">
      <x:c r="A353" s="31" t="str">
        <x:v>MOTS1101</x:v>
      </x:c>
      <x:c r="B353" s="53" t="str">
        <x:v>RETEN 14-24-5</x:v>
      </x:c>
      <x:c r="C353" s="32" t="n">
        <x:v>1</x:v>
      </x:c>
      <x:c r="D353" s="38" t="n">
        <x:v>9</x:v>
      </x:c>
      <x:c r="E353" s="44" t="n">
        <x:v>1000</x:v>
      </x:c>
      <x:c r="F353" s="44" t="n">
        <x:v>9000</x:v>
      </x:c>
      <x:c r="G353" s="41" t="n">
        <x:v>5</x:v>
      </x:c>
      <x:c r="H353" s="44" t="n">
        <x:f>MAX(G353,0)*E353</x:f>
        <x:v>5000</x:v>
      </x:c>
      <x:c r="I353" s="38" t="n">
        <x:v>4</x:v>
      </x:c>
      <x:c r="J353" s="44" t="n">
        <x:v>8000</x:v>
      </x:c>
      <x:c r="K353" s="32" t="n">
        <x:v>3</x:v>
      </x:c>
      <x:c r="L353" s="50" t="n">
        <x:v>45513.91197916667</x:v>
      </x:c>
      <x:c r="M353" s="50" t="n">
        <x:v>46106.7959375</x:v>
      </x:c>
      <x:c r="N353" s="32" t="n">
        <x:f>IF(M353="","",MAX(0,'Resumen'!$B$3-M353))</x:f>
        <x:v>160.20406250000087</x:v>
      </x:c>
      <x:c r="O353" s="38" t="n">
        <x:v>0</x:v>
      </x:c>
      <x:c r="P353" s="38" t="n">
        <x:v>0</x:v>
      </x:c>
      <x:c r="Q353" s="38" t="n">
        <x:v>1</x:v>
      </x:c>
      <x:c r="R353" s="38" t="n">
        <x:f>MIN(D353,I353)</x:f>
        <x:v>4</x:v>
      </x:c>
      <x:c r="S353" s="47" t="n">
        <x:f>IFERROR(R353/D353,0)</x:f>
        <x:v>0.4444444444444444</x:v>
      </x:c>
      <x:c r="T353" s="38" t="n">
        <x:f>MIN(MAX(G353,0),MAX(D353-I353,0))</x:f>
        <x:v>5</x:v>
      </x:c>
      <x:c r="U353" s="44" t="n">
        <x:f>T353*E353</x:f>
        <x:v>5000</x:v>
      </x:c>
      <x:c r="V353" s="38" t="n">
        <x:v>0</x:v>
      </x:c>
      <x:c r="W353" s="32" t="n">
        <x:v>0</x:v>
      </x:c>
      <x:c r="X353" s="50"/>
      <x:c r="Y353" s="44" t="n">
        <x:v>2000</x:v>
      </x:c>
      <x:c r="Z353" s="44" t="n">
        <x:f>IF(I353&gt;0,R353*(J353/I353),0)</x:f>
        <x:v>8000</x:v>
      </x:c>
      <x:c r="AA353" s="44" t="n">
        <x:f>Z353-(R353*E353)</x:f>
        <x:v>4000</x:v>
      </x:c>
      <x:c r="AB353" s="47" t="n">
        <x:f>IFERROR(AA353/Z353,0)</x:f>
        <x:v>0.5</x:v>
      </x:c>
      <x:c r="AC353" s="32" t="str">
        <x:f>IF(S353=0,"0%",IF(S353&lt;0.5,"1-49%",IF(S353&lt;0.8,"50-79%",IF(S353&lt;1,"80-99%","100%"))))</x:f>
        <x:v>1-49%</x:v>
      </x:c>
      <x:c r="AD353" s="33" t="str">
        <x:f>IF(G353&lt;0,"Stock negativo",IF(G353&lt;=0,"Sin stock actual",IF(I353&lt;=0,"Sin ventas desde compra",IF(Q353&lt;=0,"Con stock, sin ventas 365d",IF(S353&lt;0.5,"Rotación baja",IF(S353&lt;1,"Rotación media","Compra absorbida; stock repuesto"))))))</x:f>
        <x:v>Rotación baja</x:v>
      </x:c>
    </x:row>
    <x:row r="354">
      <x:c r="A354" s="31" t="str">
        <x:v>MOTS1159</x:v>
      </x:c>
      <x:c r="B354" s="53" t="str">
        <x:v>CAUCHO POSA PIE TRA- ECO UND</x:v>
      </x:c>
      <x:c r="C354" s="32" t="n">
        <x:v>1</x:v>
      </x:c>
      <x:c r="D354" s="38" t="n">
        <x:v>3</x:v>
      </x:c>
      <x:c r="E354" s="44" t="n">
        <x:v>3000</x:v>
      </x:c>
      <x:c r="F354" s="44" t="n">
        <x:v>9000</x:v>
      </x:c>
      <x:c r="G354" s="41" t="n">
        <x:v>0</x:v>
      </x:c>
      <x:c r="H354" s="44" t="n">
        <x:f>MAX(G354,0)*E354</x:f>
        <x:v>0</x:v>
      </x:c>
      <x:c r="I354" s="38" t="n">
        <x:v>3</x:v>
      </x:c>
      <x:c r="J354" s="44" t="n">
        <x:v>15000</x:v>
      </x:c>
      <x:c r="K354" s="32" t="n">
        <x:v>2</x:v>
      </x:c>
      <x:c r="L354" s="50" t="n">
        <x:v>45517.78648148148</x:v>
      </x:c>
      <x:c r="M354" s="50" t="n">
        <x:v>45795.72907407407</x:v>
      </x:c>
      <x:c r="N354" s="32" t="n">
        <x:f>IF(M354="","",MAX(0,'Resumen'!$B$3-M354))</x:f>
        <x:v>471.27092592592817</x:v>
      </x:c>
      <x:c r="O354" s="38" t="n">
        <x:v>0</x:v>
      </x:c>
      <x:c r="P354" s="38" t="n">
        <x:v>0</x:v>
      </x:c>
      <x:c r="Q354" s="38" t="n">
        <x:v>0</x:v>
      </x:c>
      <x:c r="R354" s="38" t="n">
        <x:f>MIN(D354,I354)</x:f>
        <x:v>3</x:v>
      </x:c>
      <x:c r="S354" s="47" t="n">
        <x:f>IFERROR(R354/D354,0)</x:f>
        <x:v>1</x:v>
      </x:c>
      <x:c r="T354" s="38" t="n">
        <x:f>MIN(MAX(G354,0),MAX(D354-I354,0))</x:f>
        <x:v>0</x:v>
      </x:c>
      <x:c r="U354" s="44" t="n">
        <x:f>T354*E354</x:f>
        <x:v>0</x:v>
      </x:c>
      <x:c r="V354" s="38" t="n">
        <x:v>0</x:v>
      </x:c>
      <x:c r="W354" s="32" t="n">
        <x:v>0</x:v>
      </x:c>
      <x:c r="X354" s="50"/>
      <x:c r="Y354" s="44" t="n">
        <x:v>5000</x:v>
      </x:c>
      <x:c r="Z354" s="44" t="n">
        <x:f>IF(I354&gt;0,R354*(J354/I354),0)</x:f>
        <x:v>15000</x:v>
      </x:c>
      <x:c r="AA354" s="44" t="n">
        <x:f>Z354-(R354*E354)</x:f>
        <x:v>6000</x:v>
      </x:c>
      <x:c r="AB354" s="47" t="n">
        <x:f>IFERROR(AA354/Z354,0)</x:f>
        <x:v>0.4</x:v>
      </x:c>
      <x:c r="AC354" s="32" t="str">
        <x:f>IF(S354=0,"0%",IF(S354&lt;0.5,"1-49%",IF(S354&lt;0.8,"50-79%",IF(S354&lt;1,"80-99%","100%"))))</x:f>
        <x:v>100%</x:v>
      </x:c>
      <x:c r="AD354" s="33" t="str">
        <x:f>IF(G354&lt;0,"Stock negativo",IF(G354&lt;=0,"Sin stock actual",IF(I354&lt;=0,"Sin ventas desde compra",IF(Q354&lt;=0,"Con stock, sin ventas 365d",IF(S354&lt;0.5,"Rotación baja",IF(S354&lt;1,"Rotación media","Compra absorbida; stock repuesto"))))))</x:f>
        <x:v>Sin stock actual</x:v>
      </x:c>
    </x:row>
    <x:row r="355">
      <x:c r="A355" s="31" t="str">
        <x:v>MOTS1272</x:v>
      </x:c>
      <x:c r="B355" s="53" t="str">
        <x:v>GUAYA VELOCIMETRO ECO SYK</x:v>
      </x:c>
      <x:c r="C355" s="32" t="n">
        <x:v>1</x:v>
      </x:c>
      <x:c r="D355" s="38" t="n">
        <x:v>3</x:v>
      </x:c>
      <x:c r="E355" s="44" t="n">
        <x:v>3000</x:v>
      </x:c>
      <x:c r="F355" s="44" t="n">
        <x:v>9000</x:v>
      </x:c>
      <x:c r="G355" s="41" t="n">
        <x:v>3</x:v>
      </x:c>
      <x:c r="H355" s="44" t="n">
        <x:f>MAX(G355,0)*E355</x:f>
        <x:v>9000</x:v>
      </x:c>
      <x:c r="I355" s="38" t="n">
        <x:v>0</x:v>
      </x:c>
      <x:c r="J355" s="44" t="n">
        <x:v>0</x:v>
      </x:c>
      <x:c r="K355" s="32" t="n">
        <x:v>0</x:v>
      </x:c>
      <x:c r="L355" s="50"/>
      <x:c r="M355" s="50"/>
      <x:c r="N355" s="32" t="str">
        <x:f>IF(M355="","",MAX(0,'Resumen'!$B$3-M355))</x:f>
      </x:c>
      <x:c r="O355" s="38" t="n">
        <x:v>0</x:v>
      </x:c>
      <x:c r="P355" s="38" t="n">
        <x:v>0</x:v>
      </x:c>
      <x:c r="Q355" s="38" t="n">
        <x:v>0</x:v>
      </x:c>
      <x:c r="R355" s="38" t="n">
        <x:f>MIN(D355,I355)</x:f>
        <x:v>0</x:v>
      </x:c>
      <x:c r="S355" s="47" t="n">
        <x:f>IFERROR(R355/D355,0)</x:f>
        <x:v>0</x:v>
      </x:c>
      <x:c r="T355" s="38" t="n">
        <x:f>MIN(MAX(G355,0),MAX(D355-I355,0))</x:f>
        <x:v>3</x:v>
      </x:c>
      <x:c r="U355" s="44" t="n">
        <x:f>T355*E355</x:f>
        <x:v>9000</x:v>
      </x:c>
      <x:c r="V355" s="38" t="n">
        <x:v>0</x:v>
      </x:c>
      <x:c r="W355" s="32" t="n">
        <x:v>0</x:v>
      </x:c>
      <x:c r="X355" s="50"/>
      <x:c r="Y355" s="44" t="n">
        <x:v>5000</x:v>
      </x:c>
      <x:c r="Z355" s="44" t="n">
        <x:f>IF(I355&gt;0,R355*(J355/I355),0)</x:f>
        <x:v>0</x:v>
      </x:c>
      <x:c r="AA355" s="44" t="n">
        <x:f>Z355-(R355*E355)</x:f>
        <x:v>0</x:v>
      </x:c>
      <x:c r="AB355" s="47" t="n">
        <x:f>IFERROR(AA355/Z355,0)</x:f>
        <x:v>0</x:v>
      </x:c>
      <x:c r="AC355" s="32" t="str">
        <x:f>IF(S355=0,"0%",IF(S355&lt;0.5,"1-49%",IF(S355&lt;0.8,"50-79%",IF(S355&lt;1,"80-99%","100%"))))</x:f>
        <x:v>0%</x:v>
      </x:c>
      <x:c r="AD355" s="33" t="str">
        <x:f>IF(G355&lt;0,"Stock negativo",IF(G355&lt;=0,"Sin stock actual",IF(I355&lt;=0,"Sin ventas desde compra",IF(Q355&lt;=0,"Con stock, sin ventas 365d",IF(S355&lt;0.5,"Rotación baja",IF(S355&lt;1,"Rotación media","Compra absorbida; stock repuesto"))))))</x:f>
        <x:v>Sin ventas desde compra</x:v>
      </x:c>
    </x:row>
    <x:row r="356">
      <x:c r="A356" s="31" t="str">
        <x:v>SAIN098</x:v>
      </x:c>
      <x:c r="B356" s="53" t="str">
        <x:v>LEVA FRENO TRA - ECO DELUXE GENUINE PART</x:v>
      </x:c>
      <x:c r="C356" s="32" t="n">
        <x:v>1</x:v>
      </x:c>
      <x:c r="D356" s="38" t="n">
        <x:v>3</x:v>
      </x:c>
      <x:c r="E356" s="44" t="n">
        <x:v>3000</x:v>
      </x:c>
      <x:c r="F356" s="44" t="n">
        <x:v>9000</x:v>
      </x:c>
      <x:c r="G356" s="41" t="n">
        <x:v>0</x:v>
      </x:c>
      <x:c r="H356" s="44" t="n">
        <x:f>MAX(G356,0)*E356</x:f>
        <x:v>0</x:v>
      </x:c>
      <x:c r="I356" s="38" t="n">
        <x:v>4</x:v>
      </x:c>
      <x:c r="J356" s="44" t="n">
        <x:v>19000</x:v>
      </x:c>
      <x:c r="K356" s="32" t="n">
        <x:v>4</x:v>
      </x:c>
      <x:c r="L356" s="50" t="n">
        <x:v>45609.59484953704</x:v>
      </x:c>
      <x:c r="M356" s="50" t="n">
        <x:v>45918.91957175926</x:v>
      </x:c>
      <x:c r="N356" s="32" t="n">
        <x:f>IF(M356="","",MAX(0,'Resumen'!$B$3-M356))</x:f>
        <x:v>348.08042824074073</x:v>
      </x:c>
      <x:c r="O356" s="38" t="n">
        <x:v>0</x:v>
      </x:c>
      <x:c r="P356" s="38" t="n">
        <x:v>0</x:v>
      </x:c>
      <x:c r="Q356" s="38" t="n">
        <x:v>1</x:v>
      </x:c>
      <x:c r="R356" s="38" t="n">
        <x:f>MIN(D356,I356)</x:f>
        <x:v>3</x:v>
      </x:c>
      <x:c r="S356" s="47" t="n">
        <x:f>IFERROR(R356/D356,0)</x:f>
        <x:v>1</x:v>
      </x:c>
      <x:c r="T356" s="38" t="n">
        <x:f>MIN(MAX(G356,0),MAX(D356-I356,0))</x:f>
        <x:v>0</x:v>
      </x:c>
      <x:c r="U356" s="44" t="n">
        <x:f>T356*E356</x:f>
        <x:v>0</x:v>
      </x:c>
      <x:c r="V356" s="38" t="n">
        <x:v>1</x:v>
      </x:c>
      <x:c r="W356" s="32" t="n">
        <x:v>1</x:v>
      </x:c>
      <x:c r="X356" s="50" t="n">
        <x:v>45698</x:v>
      </x:c>
      <x:c r="Y356" s="44" t="n">
        <x:v>5000</x:v>
      </x:c>
      <x:c r="Z356" s="44" t="n">
        <x:f>IF(I356&gt;0,R356*(J356/I356),0)</x:f>
        <x:v>14250</x:v>
      </x:c>
      <x:c r="AA356" s="44" t="n">
        <x:f>Z356-(R356*E356)</x:f>
        <x:v>5250</x:v>
      </x:c>
      <x:c r="AB356" s="47" t="n">
        <x:f>IFERROR(AA356/Z356,0)</x:f>
        <x:v>0.3684210526315789</x:v>
      </x:c>
      <x:c r="AC356" s="32" t="str">
        <x:f>IF(S356=0,"0%",IF(S356&lt;0.5,"1-49%",IF(S356&lt;0.8,"50-79%",IF(S356&lt;1,"80-99%","100%"))))</x:f>
        <x:v>100%</x:v>
      </x:c>
      <x:c r="AD356" s="33" t="str">
        <x:f>IF(G356&lt;0,"Stock negativo",IF(G356&lt;=0,"Sin stock actual",IF(I356&lt;=0,"Sin ventas desde compra",IF(Q356&lt;=0,"Con stock, sin ventas 365d",IF(S356&lt;0.5,"Rotación baja",IF(S356&lt;1,"Rotación media","Compra absorbida; stock repuesto"))))))</x:f>
        <x:v>Sin stock actual</x:v>
      </x:c>
    </x:row>
    <x:row r="357">
      <x:c r="A357" s="31" t="str">
        <x:v>MOTS1254</x:v>
      </x:c>
      <x:c r="B357" s="53" t="str">
        <x:v>PASTILLAS FRENO BWS X 125 EVOL</x:v>
      </x:c>
      <x:c r="C357" s="32" t="n">
        <x:v>1</x:v>
      </x:c>
      <x:c r="D357" s="38" t="n">
        <x:v>1</x:v>
      </x:c>
      <x:c r="E357" s="44" t="n">
        <x:v>8800</x:v>
      </x:c>
      <x:c r="F357" s="44" t="n">
        <x:v>8800</x:v>
      </x:c>
      <x:c r="G357" s="41" t="n">
        <x:v>0</x:v>
      </x:c>
      <x:c r="H357" s="44" t="n">
        <x:f>MAX(G357,0)*E357</x:f>
        <x:v>0</x:v>
      </x:c>
      <x:c r="I357" s="38" t="n">
        <x:v>1</x:v>
      </x:c>
      <x:c r="J357" s="44" t="n">
        <x:v>15000</x:v>
      </x:c>
      <x:c r="K357" s="32" t="n">
        <x:v>1</x:v>
      </x:c>
      <x:c r="L357" s="50" t="n">
        <x:v>45602.57146990741</x:v>
      </x:c>
      <x:c r="M357" s="50" t="n">
        <x:v>45602.57146990741</x:v>
      </x:c>
      <x:c r="N357" s="32" t="n">
        <x:f>IF(M357="","",MAX(0,'Resumen'!$B$3-M357))</x:f>
        <x:v>664.4285300925912</x:v>
      </x:c>
      <x:c r="O357" s="38" t="n">
        <x:v>0</x:v>
      </x:c>
      <x:c r="P357" s="38" t="n">
        <x:v>0</x:v>
      </x:c>
      <x:c r="Q357" s="38" t="n">
        <x:v>0</x:v>
      </x:c>
      <x:c r="R357" s="38" t="n">
        <x:f>MIN(D357,I357)</x:f>
        <x:v>1</x:v>
      </x:c>
      <x:c r="S357" s="47" t="n">
        <x:f>IFERROR(R357/D357,0)</x:f>
        <x:v>1</x:v>
      </x:c>
      <x:c r="T357" s="38" t="n">
        <x:f>MIN(MAX(G357,0),MAX(D357-I357,0))</x:f>
        <x:v>0</x:v>
      </x:c>
      <x:c r="U357" s="44" t="n">
        <x:f>T357*E357</x:f>
        <x:v>0</x:v>
      </x:c>
      <x:c r="V357" s="38" t="n">
        <x:v>0</x:v>
      </x:c>
      <x:c r="W357" s="32" t="n">
        <x:v>0</x:v>
      </x:c>
      <x:c r="X357" s="50"/>
      <x:c r="Y357" s="44" t="n">
        <x:v>15000</x:v>
      </x:c>
      <x:c r="Z357" s="44" t="n">
        <x:f>IF(I357&gt;0,R357*(J357/I357),0)</x:f>
        <x:v>15000</x:v>
      </x:c>
      <x:c r="AA357" s="44" t="n">
        <x:f>Z357-(R357*E357)</x:f>
        <x:v>6200</x:v>
      </x:c>
      <x:c r="AB357" s="47" t="n">
        <x:f>IFERROR(AA357/Z357,0)</x:f>
        <x:v>0.41333333333333333</x:v>
      </x:c>
      <x:c r="AC357" s="32" t="str">
        <x:f>IF(S357=0,"0%",IF(S357&lt;0.5,"1-49%",IF(S357&lt;0.8,"50-79%",IF(S357&lt;1,"80-99%","100%"))))</x:f>
        <x:v>100%</x:v>
      </x:c>
      <x:c r="AD357" s="33" t="str">
        <x:f>IF(G357&lt;0,"Stock negativo",IF(G357&lt;=0,"Sin stock actual",IF(I357&lt;=0,"Sin ventas desde compra",IF(Q357&lt;=0,"Con stock, sin ventas 365d",IF(S357&lt;0.5,"Rotación baja",IF(S357&lt;1,"Rotación media","Compra absorbida; stock repuesto"))))))</x:f>
        <x:v>Sin stock actual</x:v>
      </x:c>
    </x:row>
    <x:row r="358">
      <x:c r="A358" s="31" t="str">
        <x:v>MOTS1115</x:v>
      </x:c>
      <x:c r="B358" s="53" t="str">
        <x:v>PORTA PLACA PLASTICO NEGRO</x:v>
      </x:c>
      <x:c r="C358" s="32" t="n">
        <x:v>1</x:v>
      </x:c>
      <x:c r="D358" s="38" t="n">
        <x:v>2</x:v>
      </x:c>
      <x:c r="E358" s="44" t="n">
        <x:v>4300</x:v>
      </x:c>
      <x:c r="F358" s="44" t="n">
        <x:v>8600</x:v>
      </x:c>
      <x:c r="G358" s="41" t="n">
        <x:v>0</x:v>
      </x:c>
      <x:c r="H358" s="44" t="n">
        <x:f>MAX(G358,0)*E358</x:f>
        <x:v>0</x:v>
      </x:c>
      <x:c r="I358" s="38" t="n">
        <x:v>2</x:v>
      </x:c>
      <x:c r="J358" s="44" t="n">
        <x:v>16500</x:v>
      </x:c>
      <x:c r="K358" s="32" t="n">
        <x:v>2</x:v>
      </x:c>
      <x:c r="L358" s="50" t="n">
        <x:v>45552.65091435185</x:v>
      </x:c>
      <x:c r="M358" s="50" t="n">
        <x:v>45567.592256944445</x:v>
      </x:c>
      <x:c r="N358" s="32" t="n">
        <x:f>IF(M358="","",MAX(0,'Resumen'!$B$3-M358))</x:f>
        <x:v>699.4077430555553</x:v>
      </x:c>
      <x:c r="O358" s="38" t="n">
        <x:v>0</x:v>
      </x:c>
      <x:c r="P358" s="38" t="n">
        <x:v>0</x:v>
      </x:c>
      <x:c r="Q358" s="38" t="n">
        <x:v>0</x:v>
      </x:c>
      <x:c r="R358" s="38" t="n">
        <x:f>MIN(D358,I358)</x:f>
        <x:v>2</x:v>
      </x:c>
      <x:c r="S358" s="47" t="n">
        <x:f>IFERROR(R358/D358,0)</x:f>
        <x:v>1</x:v>
      </x:c>
      <x:c r="T358" s="38" t="n">
        <x:f>MIN(MAX(G358,0),MAX(D358-I358,0))</x:f>
        <x:v>0</x:v>
      </x:c>
      <x:c r="U358" s="44" t="n">
        <x:f>T358*E358</x:f>
        <x:v>0</x:v>
      </x:c>
      <x:c r="V358" s="38" t="n">
        <x:v>0</x:v>
      </x:c>
      <x:c r="W358" s="32" t="n">
        <x:v>0</x:v>
      </x:c>
      <x:c r="X358" s="50"/>
      <x:c r="Y358" s="44" t="n">
        <x:v>7500</x:v>
      </x:c>
      <x:c r="Z358" s="44" t="n">
        <x:f>IF(I358&gt;0,R358*(J358/I358),0)</x:f>
        <x:v>16500</x:v>
      </x:c>
      <x:c r="AA358" s="44" t="n">
        <x:f>Z358-(R358*E358)</x:f>
        <x:v>7900</x:v>
      </x:c>
      <x:c r="AB358" s="47" t="n">
        <x:f>IFERROR(AA358/Z358,0)</x:f>
        <x:v>0.47878787878787876</x:v>
      </x:c>
      <x:c r="AC358" s="32" t="str">
        <x:f>IF(S358=0,"0%",IF(S358&lt;0.5,"1-49%",IF(S358&lt;0.8,"50-79%",IF(S358&lt;1,"80-99%","100%"))))</x:f>
        <x:v>100%</x:v>
      </x:c>
      <x:c r="AD358" s="33" t="str">
        <x:f>IF(G358&lt;0,"Stock negativo",IF(G358&lt;=0,"Sin stock actual",IF(I358&lt;=0,"Sin ventas desde compra",IF(Q358&lt;=0,"Con stock, sin ventas 365d",IF(S358&lt;0.5,"Rotación baja",IF(S358&lt;1,"Rotación media","Compra absorbida; stock repuesto"))))))</x:f>
        <x:v>Sin stock actual</x:v>
      </x:c>
    </x:row>
    <x:row r="359">
      <x:c r="A359" s="31" t="str">
        <x:v>MOTS1116</x:v>
      </x:c>
      <x:c r="B359" s="53" t="str">
        <x:v>PORTA PLACA PLASTICO ROJO</x:v>
      </x:c>
      <x:c r="C359" s="32" t="n">
        <x:v>1</x:v>
      </x:c>
      <x:c r="D359" s="38" t="n">
        <x:v>2</x:v>
      </x:c>
      <x:c r="E359" s="44" t="n">
        <x:v>4300</x:v>
      </x:c>
      <x:c r="F359" s="44" t="n">
        <x:v>8600</x:v>
      </x:c>
      <x:c r="G359" s="41" t="n">
        <x:v>0</x:v>
      </x:c>
      <x:c r="H359" s="44" t="n">
        <x:f>MAX(G359,0)*E359</x:f>
        <x:v>0</x:v>
      </x:c>
      <x:c r="I359" s="38" t="n">
        <x:v>2</x:v>
      </x:c>
      <x:c r="J359" s="44" t="n">
        <x:v>14500</x:v>
      </x:c>
      <x:c r="K359" s="32" t="n">
        <x:v>2</x:v>
      </x:c>
      <x:c r="L359" s="50" t="n">
        <x:v>45611.696493055555</x:v>
      </x:c>
      <x:c r="M359" s="50" t="n">
        <x:v>45852.74060185185</x:v>
      </x:c>
      <x:c r="N359" s="32" t="n">
        <x:f>IF(M359="","",MAX(0,'Resumen'!$B$3-M359))</x:f>
        <x:v>414.25939814814774</x:v>
      </x:c>
      <x:c r="O359" s="38" t="n">
        <x:v>0</x:v>
      </x:c>
      <x:c r="P359" s="38" t="n">
        <x:v>0</x:v>
      </x:c>
      <x:c r="Q359" s="38" t="n">
        <x:v>0</x:v>
      </x:c>
      <x:c r="R359" s="38" t="n">
        <x:f>MIN(D359,I359)</x:f>
        <x:v>2</x:v>
      </x:c>
      <x:c r="S359" s="47" t="n">
        <x:f>IFERROR(R359/D359,0)</x:f>
        <x:v>1</x:v>
      </x:c>
      <x:c r="T359" s="38" t="n">
        <x:f>MIN(MAX(G359,0),MAX(D359-I359,0))</x:f>
        <x:v>0</x:v>
      </x:c>
      <x:c r="U359" s="44" t="n">
        <x:f>T359*E359</x:f>
        <x:v>0</x:v>
      </x:c>
      <x:c r="V359" s="38" t="n">
        <x:v>0</x:v>
      </x:c>
      <x:c r="W359" s="32" t="n">
        <x:v>0</x:v>
      </x:c>
      <x:c r="X359" s="50"/>
      <x:c r="Y359" s="44" t="n">
        <x:v>7500</x:v>
      </x:c>
      <x:c r="Z359" s="44" t="n">
        <x:f>IF(I359&gt;0,R359*(J359/I359),0)</x:f>
        <x:v>14500</x:v>
      </x:c>
      <x:c r="AA359" s="44" t="n">
        <x:f>Z359-(R359*E359)</x:f>
        <x:v>5900</x:v>
      </x:c>
      <x:c r="AB359" s="47" t="n">
        <x:f>IFERROR(AA359/Z359,0)</x:f>
        <x:v>0.4068965517241379</x:v>
      </x:c>
      <x:c r="AC359" s="32" t="str">
        <x:f>IF(S359=0,"0%",IF(S359&lt;0.5,"1-49%",IF(S359&lt;0.8,"50-79%",IF(S359&lt;1,"80-99%","100%"))))</x:f>
        <x:v>100%</x:v>
      </x:c>
      <x:c r="AD359" s="33" t="str">
        <x:f>IF(G359&lt;0,"Stock negativo",IF(G359&lt;=0,"Sin stock actual",IF(I359&lt;=0,"Sin ventas desde compra",IF(Q359&lt;=0,"Con stock, sin ventas 365d",IF(S359&lt;0.5,"Rotación baja",IF(S359&lt;1,"Rotación media","Compra absorbida; stock repuesto"))))))</x:f>
        <x:v>Sin stock actual</x:v>
      </x:c>
    </x:row>
    <x:row r="360">
      <x:c r="A360" s="31" t="str">
        <x:v>MOTS1311</x:v>
      </x:c>
      <x:c r="B360" s="53" t="str">
        <x:v>TUERCA No. 6</x:v>
      </x:c>
      <x:c r="C360" s="32" t="n">
        <x:v>1</x:v>
      </x:c>
      <x:c r="D360" s="38" t="n">
        <x:v>172</x:v>
      </x:c>
      <x:c r="E360" s="44" t="n">
        <x:v>50</x:v>
      </x:c>
      <x:c r="F360" s="44" t="n">
        <x:v>8600</x:v>
      </x:c>
      <x:c r="G360" s="41" t="n">
        <x:v>1</x:v>
      </x:c>
      <x:c r="H360" s="44" t="n">
        <x:f>MAX(G360,0)*E360</x:f>
        <x:v>50</x:v>
      </x:c>
      <x:c r="I360" s="38" t="n">
        <x:v>172</x:v>
      </x:c>
      <x:c r="J360" s="44" t="n">
        <x:v>17200</x:v>
      </x:c>
      <x:c r="K360" s="32" t="n">
        <x:v>81</x:v>
      </x:c>
      <x:c r="L360" s="50" t="n">
        <x:v>45502.81240740741</x:v>
      </x:c>
      <x:c r="M360" s="50" t="n">
        <x:v>45703.67052083334</x:v>
      </x:c>
      <x:c r="N360" s="32" t="n">
        <x:f>IF(M360="","",MAX(0,'Resumen'!$B$3-M360))</x:f>
        <x:v>563.3294791666631</x:v>
      </x:c>
      <x:c r="O360" s="38" t="n">
        <x:v>0</x:v>
      </x:c>
      <x:c r="P360" s="38" t="n">
        <x:v>0</x:v>
      </x:c>
      <x:c r="Q360" s="38" t="n">
        <x:v>0</x:v>
      </x:c>
      <x:c r="R360" s="38" t="n">
        <x:f>MIN(D360,I360)</x:f>
        <x:v>172</x:v>
      </x:c>
      <x:c r="S360" s="47" t="n">
        <x:f>IFERROR(R360/D360,0)</x:f>
        <x:v>1</x:v>
      </x:c>
      <x:c r="T360" s="38" t="n">
        <x:f>MIN(MAX(G360,0),MAX(D360-I360,0))</x:f>
        <x:v>0</x:v>
      </x:c>
      <x:c r="U360" s="44" t="n">
        <x:f>T360*E360</x:f>
        <x:v>0</x:v>
      </x:c>
      <x:c r="V360" s="38" t="n">
        <x:v>1</x:v>
      </x:c>
      <x:c r="W360" s="32" t="n">
        <x:v>1</x:v>
      </x:c>
      <x:c r="X360" s="50" t="n">
        <x:v>45613</x:v>
      </x:c>
      <x:c r="Y360" s="44" t="n">
        <x:v>100</x:v>
      </x:c>
      <x:c r="Z360" s="44" t="n">
        <x:f>IF(I360&gt;0,R360*(J360/I360),0)</x:f>
        <x:v>17200</x:v>
      </x:c>
      <x:c r="AA360" s="44" t="n">
        <x:f>Z360-(R360*E360)</x:f>
        <x:v>8600</x:v>
      </x:c>
      <x:c r="AB360" s="47" t="n">
        <x:f>IFERROR(AA360/Z360,0)</x:f>
        <x:v>0.5</x:v>
      </x:c>
      <x:c r="AC360" s="32" t="str">
        <x:f>IF(S360=0,"0%",IF(S360&lt;0.5,"1-49%",IF(S360&lt;0.8,"50-79%",IF(S360&lt;1,"80-99%","100%"))))</x:f>
        <x:v>100%</x:v>
      </x:c>
      <x:c r="AD360" s="33" t="str">
        <x:f>IF(G360&lt;0,"Stock negativo",IF(G360&lt;=0,"Sin stock actual",IF(I360&lt;=0,"Sin ventas desde compra",IF(Q360&lt;=0,"Con stock, sin ventas 365d",IF(S360&lt;0.5,"Rotación baja",IF(S360&lt;1,"Rotación media","Compra absorbida; stock repuesto"))))))</x:f>
        <x:v>Con stock, sin ventas 365d</x:v>
      </x:c>
    </x:row>
    <x:row r="361">
      <x:c r="A361" s="31" t="str">
        <x:v>TOR - 057</x:v>
      </x:c>
      <x:c r="B361" s="53" t="str">
        <x:v>TORNILLO GOLOSO</x:v>
      </x:c>
      <x:c r="C361" s="32" t="n">
        <x:v>1</x:v>
      </x:c>
      <x:c r="D361" s="38" t="n">
        <x:v>33</x:v>
      </x:c>
      <x:c r="E361" s="44" t="n">
        <x:v>260</x:v>
      </x:c>
      <x:c r="F361" s="44" t="n">
        <x:v>8580</x:v>
      </x:c>
      <x:c r="G361" s="41" t="n">
        <x:v>-2</x:v>
      </x:c>
      <x:c r="H361" s="44" t="n">
        <x:f>MAX(G361,0)*E361</x:f>
        <x:v>0</x:v>
      </x:c>
      <x:c r="I361" s="38" t="n">
        <x:v>33</x:v>
      </x:c>
      <x:c r="J361" s="44" t="n">
        <x:v>16500</x:v>
      </x:c>
      <x:c r="K361" s="32" t="n">
        <x:v>11</x:v>
      </x:c>
      <x:c r="L361" s="50" t="n">
        <x:v>45507.7140162037</x:v>
      </x:c>
      <x:c r="M361" s="50" t="n">
        <x:v>45572.94244212963</x:v>
      </x:c>
      <x:c r="N361" s="32" t="n">
        <x:f>IF(M361="","",MAX(0,'Resumen'!$B$3-M361))</x:f>
        <x:v>694.057557870372</x:v>
      </x:c>
      <x:c r="O361" s="38" t="n">
        <x:v>0</x:v>
      </x:c>
      <x:c r="P361" s="38" t="n">
        <x:v>0</x:v>
      </x:c>
      <x:c r="Q361" s="38" t="n">
        <x:v>0</x:v>
      </x:c>
      <x:c r="R361" s="38" t="n">
        <x:f>MIN(D361,I361)</x:f>
        <x:v>33</x:v>
      </x:c>
      <x:c r="S361" s="47" t="n">
        <x:f>IFERROR(R361/D361,0)</x:f>
        <x:v>1</x:v>
      </x:c>
      <x:c r="T361" s="38" t="n">
        <x:f>MIN(MAX(G361,0),MAX(D361-I361,0))</x:f>
        <x:v>0</x:v>
      </x:c>
      <x:c r="U361" s="44" t="n">
        <x:f>T361*E361</x:f>
        <x:v>0</x:v>
      </x:c>
      <x:c r="V361" s="38" t="n">
        <x:v>0</x:v>
      </x:c>
      <x:c r="W361" s="32" t="n">
        <x:v>0</x:v>
      </x:c>
      <x:c r="X361" s="50"/>
      <x:c r="Y361" s="44" t="n">
        <x:v>500</x:v>
      </x:c>
      <x:c r="Z361" s="44" t="n">
        <x:f>IF(I361&gt;0,R361*(J361/I361),0)</x:f>
        <x:v>16500</x:v>
      </x:c>
      <x:c r="AA361" s="44" t="n">
        <x:f>Z361-(R361*E361)</x:f>
        <x:v>7920</x:v>
      </x:c>
      <x:c r="AB361" s="47" t="n">
        <x:f>IFERROR(AA361/Z361,0)</x:f>
        <x:v>0.48</x:v>
      </x:c>
      <x:c r="AC361" s="32" t="str">
        <x:f>IF(S361=0,"0%",IF(S361&lt;0.5,"1-49%",IF(S361&lt;0.8,"50-79%",IF(S361&lt;1,"80-99%","100%"))))</x:f>
        <x:v>100%</x:v>
      </x:c>
      <x:c r="AD361" s="33" t="str">
        <x:f>IF(G361&lt;0,"Stock negativo",IF(G361&lt;=0,"Sin stock actual",IF(I361&lt;=0,"Sin ventas desde compra",IF(Q361&lt;=0,"Con stock, sin ventas 365d",IF(S361&lt;0.5,"Rotación baja",IF(S361&lt;1,"Rotación media","Compra absorbida; stock repuesto"))))))</x:f>
        <x:v>Stock negativo</x:v>
      </x:c>
    </x:row>
    <x:row r="362">
      <x:c r="A362" s="31" t="str">
        <x:v>MOTS1000</x:v>
      </x:c>
      <x:c r="B362" s="53" t="str">
        <x:v>CARENAJE DT BLANCO ORIGINAL PLASTICO</x:v>
      </x:c>
      <x:c r="C362" s="32" t="n">
        <x:v>1</x:v>
      </x:c>
      <x:c r="D362" s="38" t="n">
        <x:v>1</x:v>
      </x:c>
      <x:c r="E362" s="44" t="n">
        <x:v>8500</x:v>
      </x:c>
      <x:c r="F362" s="44" t="n">
        <x:v>8500</x:v>
      </x:c>
      <x:c r="G362" s="41" t="n">
        <x:v>0</x:v>
      </x:c>
      <x:c r="H362" s="44" t="n">
        <x:f>MAX(G362,0)*E362</x:f>
        <x:v>0</x:v>
      </x:c>
      <x:c r="I362" s="38" t="n">
        <x:v>1</x:v>
      </x:c>
      <x:c r="J362" s="44" t="n">
        <x:v>14500</x:v>
      </x:c>
      <x:c r="K362" s="32" t="n">
        <x:v>1</x:v>
      </x:c>
      <x:c r="L362" s="50" t="n">
        <x:v>45506.916354166664</x:v>
      </x:c>
      <x:c r="M362" s="50" t="n">
        <x:v>45506.916354166664</x:v>
      </x:c>
      <x:c r="N362" s="32" t="n">
        <x:f>IF(M362="","",MAX(0,'Resumen'!$B$3-M362))</x:f>
        <x:v>760.083645833336</x:v>
      </x:c>
      <x:c r="O362" s="38" t="n">
        <x:v>0</x:v>
      </x:c>
      <x:c r="P362" s="38" t="n">
        <x:v>0</x:v>
      </x:c>
      <x:c r="Q362" s="38" t="n">
        <x:v>0</x:v>
      </x:c>
      <x:c r="R362" s="38" t="n">
        <x:f>MIN(D362,I362)</x:f>
        <x:v>1</x:v>
      </x:c>
      <x:c r="S362" s="47" t="n">
        <x:f>IFERROR(R362/D362,0)</x:f>
        <x:v>1</x:v>
      </x:c>
      <x:c r="T362" s="38" t="n">
        <x:f>MIN(MAX(G362,0),MAX(D362-I362,0))</x:f>
        <x:v>0</x:v>
      </x:c>
      <x:c r="U362" s="44" t="n">
        <x:f>T362*E362</x:f>
        <x:v>0</x:v>
      </x:c>
      <x:c r="V362" s="38" t="n">
        <x:v>0</x:v>
      </x:c>
      <x:c r="W362" s="32" t="n">
        <x:v>0</x:v>
      </x:c>
      <x:c r="X362" s="50"/>
      <x:c r="Y362" s="44" t="n">
        <x:v>14500</x:v>
      </x:c>
      <x:c r="Z362" s="44" t="n">
        <x:f>IF(I362&gt;0,R362*(J362/I362),0)</x:f>
        <x:v>14500</x:v>
      </x:c>
      <x:c r="AA362" s="44" t="n">
        <x:f>Z362-(R362*E362)</x:f>
        <x:v>6000</x:v>
      </x:c>
      <x:c r="AB362" s="47" t="n">
        <x:f>IFERROR(AA362/Z362,0)</x:f>
        <x:v>0.41379310344827586</x:v>
      </x:c>
      <x:c r="AC362" s="32" t="str">
        <x:f>IF(S362=0,"0%",IF(S362&lt;0.5,"1-49%",IF(S362&lt;0.8,"50-79%",IF(S362&lt;1,"80-99%","100%"))))</x:f>
        <x:v>100%</x:v>
      </x:c>
      <x:c r="AD362" s="33" t="str">
        <x:f>IF(G362&lt;0,"Stock negativo",IF(G362&lt;=0,"Sin stock actual",IF(I362&lt;=0,"Sin ventas desde compra",IF(Q362&lt;=0,"Con stock, sin ventas 365d",IF(S362&lt;0.5,"Rotación baja",IF(S362&lt;1,"Rotación media","Compra absorbida; stock repuesto"))))))</x:f>
        <x:v>Sin stock actual</x:v>
      </x:c>
    </x:row>
    <x:row r="363">
      <x:c r="A363" s="31" t="str">
        <x:v>MOTS1001</x:v>
      </x:c>
      <x:c r="B363" s="53" t="str">
        <x:v>CARENAJE DT NEGRO ORIGINAL PLASTICO</x:v>
      </x:c>
      <x:c r="C363" s="32" t="n">
        <x:v>1</x:v>
      </x:c>
      <x:c r="D363" s="38" t="n">
        <x:v>1</x:v>
      </x:c>
      <x:c r="E363" s="44" t="n">
        <x:v>8500</x:v>
      </x:c>
      <x:c r="F363" s="44" t="n">
        <x:v>8500</x:v>
      </x:c>
      <x:c r="G363" s="41" t="n">
        <x:v>0</x:v>
      </x:c>
      <x:c r="H363" s="44" t="n">
        <x:f>MAX(G363,0)*E363</x:f>
        <x:v>0</x:v>
      </x:c>
      <x:c r="I363" s="38" t="n">
        <x:v>1</x:v>
      </x:c>
      <x:c r="J363" s="44" t="n">
        <x:v>14500</x:v>
      </x:c>
      <x:c r="K363" s="32" t="n">
        <x:v>1</x:v>
      </x:c>
      <x:c r="L363" s="50" t="n">
        <x:v>45689.90204861111</x:v>
      </x:c>
      <x:c r="M363" s="50" t="n">
        <x:v>45689.90204861111</x:v>
      </x:c>
      <x:c r="N363" s="32" t="n">
        <x:f>IF(M363="","",MAX(0,'Resumen'!$B$3-M363))</x:f>
        <x:v>577.0979513888888</x:v>
      </x:c>
      <x:c r="O363" s="38" t="n">
        <x:v>0</x:v>
      </x:c>
      <x:c r="P363" s="38" t="n">
        <x:v>0</x:v>
      </x:c>
      <x:c r="Q363" s="38" t="n">
        <x:v>0</x:v>
      </x:c>
      <x:c r="R363" s="38" t="n">
        <x:f>MIN(D363,I363)</x:f>
        <x:v>1</x:v>
      </x:c>
      <x:c r="S363" s="47" t="n">
        <x:f>IFERROR(R363/D363,0)</x:f>
        <x:v>1</x:v>
      </x:c>
      <x:c r="T363" s="38" t="n">
        <x:f>MIN(MAX(G363,0),MAX(D363-I363,0))</x:f>
        <x:v>0</x:v>
      </x:c>
      <x:c r="U363" s="44" t="n">
        <x:f>T363*E363</x:f>
        <x:v>0</x:v>
      </x:c>
      <x:c r="V363" s="38" t="n">
        <x:v>0</x:v>
      </x:c>
      <x:c r="W363" s="32" t="n">
        <x:v>0</x:v>
      </x:c>
      <x:c r="X363" s="50"/>
      <x:c r="Y363" s="44" t="n">
        <x:v>14500</x:v>
      </x:c>
      <x:c r="Z363" s="44" t="n">
        <x:f>IF(I363&gt;0,R363*(J363/I363),0)</x:f>
        <x:v>14500</x:v>
      </x:c>
      <x:c r="AA363" s="44" t="n">
        <x:f>Z363-(R363*E363)</x:f>
        <x:v>6000</x:v>
      </x:c>
      <x:c r="AB363" s="47" t="n">
        <x:f>IFERROR(AA363/Z363,0)</x:f>
        <x:v>0.41379310344827586</x:v>
      </x:c>
      <x:c r="AC363" s="32" t="str">
        <x:f>IF(S363=0,"0%",IF(S363&lt;0.5,"1-49%",IF(S363&lt;0.8,"50-79%",IF(S363&lt;1,"80-99%","100%"))))</x:f>
        <x:v>100%</x:v>
      </x:c>
      <x:c r="AD363" s="33" t="str">
        <x:f>IF(G363&lt;0,"Stock negativo",IF(G363&lt;=0,"Sin stock actual",IF(I363&lt;=0,"Sin ventas desde compra",IF(Q363&lt;=0,"Con stock, sin ventas 365d",IF(S363&lt;0.5,"Rotación baja",IF(S363&lt;1,"Rotación media","Compra absorbida; stock repuesto"))))))</x:f>
        <x:v>Sin stock actual</x:v>
      </x:c>
    </x:row>
    <x:row r="364">
      <x:c r="A364" s="31" t="str">
        <x:v>MOTS1210</x:v>
      </x:c>
      <x:c r="B364" s="53" t="str">
        <x:v>BANDA FRENO GS/ GN 125/ AKT EVO / TCS ROKKO</x:v>
      </x:c>
      <x:c r="C364" s="32" t="n">
        <x:v>1</x:v>
      </x:c>
      <x:c r="D364" s="38" t="n">
        <x:v>1</x:v>
      </x:c>
      <x:c r="E364" s="44" t="n">
        <x:v>8500</x:v>
      </x:c>
      <x:c r="F364" s="44" t="n">
        <x:v>8500</x:v>
      </x:c>
      <x:c r="G364" s="41" t="n">
        <x:v>0</x:v>
      </x:c>
      <x:c r="H364" s="44" t="n">
        <x:f>MAX(G364,0)*E364</x:f>
        <x:v>0</x:v>
      </x:c>
      <x:c r="I364" s="38" t="n">
        <x:v>1</x:v>
      </x:c>
      <x:c r="J364" s="44" t="n">
        <x:v>14500</x:v>
      </x:c>
      <x:c r="K364" s="32" t="n">
        <x:v>1</x:v>
      </x:c>
      <x:c r="L364" s="50" t="n">
        <x:v>45696.99039351852</x:v>
      </x:c>
      <x:c r="M364" s="50" t="n">
        <x:v>45696.99039351852</x:v>
      </x:c>
      <x:c r="N364" s="32" t="n">
        <x:f>IF(M364="","",MAX(0,'Resumen'!$B$3-M364))</x:f>
        <x:v>570.0096064814788</x:v>
      </x:c>
      <x:c r="O364" s="38" t="n">
        <x:v>0</x:v>
      </x:c>
      <x:c r="P364" s="38" t="n">
        <x:v>0</x:v>
      </x:c>
      <x:c r="Q364" s="38" t="n">
        <x:v>0</x:v>
      </x:c>
      <x:c r="R364" s="38" t="n">
        <x:f>MIN(D364,I364)</x:f>
        <x:v>1</x:v>
      </x:c>
      <x:c r="S364" s="47" t="n">
        <x:f>IFERROR(R364/D364,0)</x:f>
        <x:v>1</x:v>
      </x:c>
      <x:c r="T364" s="38" t="n">
        <x:f>MIN(MAX(G364,0),MAX(D364-I364,0))</x:f>
        <x:v>0</x:v>
      </x:c>
      <x:c r="U364" s="44" t="n">
        <x:f>T364*E364</x:f>
        <x:v>0</x:v>
      </x:c>
      <x:c r="V364" s="38" t="n">
        <x:v>0</x:v>
      </x:c>
      <x:c r="W364" s="32" t="n">
        <x:v>0</x:v>
      </x:c>
      <x:c r="X364" s="50"/>
      <x:c r="Y364" s="44" t="n">
        <x:v>14500</x:v>
      </x:c>
      <x:c r="Z364" s="44" t="n">
        <x:f>IF(I364&gt;0,R364*(J364/I364),0)</x:f>
        <x:v>14500</x:v>
      </x:c>
      <x:c r="AA364" s="44" t="n">
        <x:f>Z364-(R364*E364)</x:f>
        <x:v>6000</x:v>
      </x:c>
      <x:c r="AB364" s="47" t="n">
        <x:f>IFERROR(AA364/Z364,0)</x:f>
        <x:v>0.41379310344827586</x:v>
      </x:c>
      <x:c r="AC364" s="32" t="str">
        <x:f>IF(S364=0,"0%",IF(S364&lt;0.5,"1-49%",IF(S364&lt;0.8,"50-79%",IF(S364&lt;1,"80-99%","100%"))))</x:f>
        <x:v>100%</x:v>
      </x:c>
      <x:c r="AD364" s="33" t="str">
        <x:f>IF(G364&lt;0,"Stock negativo",IF(G364&lt;=0,"Sin stock actual",IF(I364&lt;=0,"Sin ventas desde compra",IF(Q364&lt;=0,"Con stock, sin ventas 365d",IF(S364&lt;0.5,"Rotación baja",IF(S364&lt;1,"Rotación media","Compra absorbida; stock repuesto"))))))</x:f>
        <x:v>Sin stock actual</x:v>
      </x:c>
    </x:row>
    <x:row r="365">
      <x:c r="A365" s="31" t="str">
        <x:v>MOTS1294</x:v>
      </x:c>
      <x:c r="B365" s="53" t="str">
        <x:v>JUEGO FUELLE UNIVERSAL PAR N -A CAUCHOS MOTOS</x:v>
      </x:c>
      <x:c r="C365" s="32" t="n">
        <x:v>1</x:v>
      </x:c>
      <x:c r="D365" s="38" t="n">
        <x:v>1</x:v>
      </x:c>
      <x:c r="E365" s="44" t="n">
        <x:v>8500</x:v>
      </x:c>
      <x:c r="F365" s="44" t="n">
        <x:v>8500</x:v>
      </x:c>
      <x:c r="G365" s="41" t="n">
        <x:v>1</x:v>
      </x:c>
      <x:c r="H365" s="44" t="n">
        <x:f>MAX(G365,0)*E365</x:f>
        <x:v>8500</x:v>
      </x:c>
      <x:c r="I365" s="38" t="n">
        <x:v>0</x:v>
      </x:c>
      <x:c r="J365" s="44" t="n">
        <x:v>0</x:v>
      </x:c>
      <x:c r="K365" s="32" t="n">
        <x:v>0</x:v>
      </x:c>
      <x:c r="L365" s="50"/>
      <x:c r="M365" s="50"/>
      <x:c r="N365" s="32" t="str">
        <x:f>IF(M365="","",MAX(0,'Resumen'!$B$3-M365))</x:f>
      </x:c>
      <x:c r="O365" s="38" t="n">
        <x:v>0</x:v>
      </x:c>
      <x:c r="P365" s="38" t="n">
        <x:v>0</x:v>
      </x:c>
      <x:c r="Q365" s="38" t="n">
        <x:v>0</x:v>
      </x:c>
      <x:c r="R365" s="38" t="n">
        <x:f>MIN(D365,I365)</x:f>
        <x:v>0</x:v>
      </x:c>
      <x:c r="S365" s="47" t="n">
        <x:f>IFERROR(R365/D365,0)</x:f>
        <x:v>0</x:v>
      </x:c>
      <x:c r="T365" s="38" t="n">
        <x:f>MIN(MAX(G365,0),MAX(D365-I365,0))</x:f>
        <x:v>1</x:v>
      </x:c>
      <x:c r="U365" s="44" t="n">
        <x:f>T365*E365</x:f>
        <x:v>8500</x:v>
      </x:c>
      <x:c r="V365" s="38" t="n">
        <x:v>0</x:v>
      </x:c>
      <x:c r="W365" s="32" t="n">
        <x:v>0</x:v>
      </x:c>
      <x:c r="X365" s="50"/>
      <x:c r="Y365" s="44" t="n">
        <x:v>14500</x:v>
      </x:c>
      <x:c r="Z365" s="44" t="n">
        <x:f>IF(I365&gt;0,R365*(J365/I365),0)</x:f>
        <x:v>0</x:v>
      </x:c>
      <x:c r="AA365" s="44" t="n">
        <x:f>Z365-(R365*E365)</x:f>
        <x:v>0</x:v>
      </x:c>
      <x:c r="AB365" s="47" t="n">
        <x:f>IFERROR(AA365/Z365,0)</x:f>
        <x:v>0</x:v>
      </x:c>
      <x:c r="AC365" s="32" t="str">
        <x:f>IF(S365=0,"0%",IF(S365&lt;0.5,"1-49%",IF(S365&lt;0.8,"50-79%",IF(S365&lt;1,"80-99%","100%"))))</x:f>
        <x:v>0%</x:v>
      </x:c>
      <x:c r="AD365" s="33" t="str">
        <x:f>IF(G365&lt;0,"Stock negativo",IF(G365&lt;=0,"Sin stock actual",IF(I365&lt;=0,"Sin ventas desde compra",IF(Q365&lt;=0,"Con stock, sin ventas 365d",IF(S365&lt;0.5,"Rotación baja",IF(S365&lt;1,"Rotación media","Compra absorbida; stock repuesto"))))))</x:f>
        <x:v>Sin ventas desde compra</x:v>
      </x:c>
    </x:row>
    <x:row r="366">
      <x:c r="A366" s="31" t="str">
        <x:v>AH35435</x:v>
      </x:c>
      <x:c r="B366" s="53" t="str">
        <x:v>BOMBILLO 12 V 35 W CLEAR DUNA</x:v>
      </x:c>
      <x:c r="C366" s="32" t="n">
        <x:v>1</x:v>
      </x:c>
      <x:c r="D366" s="38" t="n">
        <x:v>7</x:v>
      </x:c>
      <x:c r="E366" s="44" t="n">
        <x:v>1200</x:v>
      </x:c>
      <x:c r="F366" s="44" t="n">
        <x:v>8400</x:v>
      </x:c>
      <x:c r="G366" s="41" t="n">
        <x:v>0</x:v>
      </x:c>
      <x:c r="H366" s="44" t="n">
        <x:f>MAX(G366,0)*E366</x:f>
        <x:v>0</x:v>
      </x:c>
      <x:c r="I366" s="38" t="n">
        <x:v>7</x:v>
      </x:c>
      <x:c r="J366" s="44" t="n">
        <x:v>14000</x:v>
      </x:c>
      <x:c r="K366" s="32" t="n">
        <x:v>3</x:v>
      </x:c>
      <x:c r="L366" s="50" t="n">
        <x:v>45527.58684027778</x:v>
      </x:c>
      <x:c r="M366" s="50" t="n">
        <x:v>45669.79143518519</x:v>
      </x:c>
      <x:c r="N366" s="32" t="n">
        <x:f>IF(M366="","",MAX(0,'Resumen'!$B$3-M366))</x:f>
        <x:v>597.2085648148131</x:v>
      </x:c>
      <x:c r="O366" s="38" t="n">
        <x:v>0</x:v>
      </x:c>
      <x:c r="P366" s="38" t="n">
        <x:v>0</x:v>
      </x:c>
      <x:c r="Q366" s="38" t="n">
        <x:v>0</x:v>
      </x:c>
      <x:c r="R366" s="38" t="n">
        <x:f>MIN(D366,I366)</x:f>
        <x:v>7</x:v>
      </x:c>
      <x:c r="S366" s="47" t="n">
        <x:f>IFERROR(R366/D366,0)</x:f>
        <x:v>1</x:v>
      </x:c>
      <x:c r="T366" s="38" t="n">
        <x:f>MIN(MAX(G366,0),MAX(D366-I366,0))</x:f>
        <x:v>0</x:v>
      </x:c>
      <x:c r="U366" s="44" t="n">
        <x:f>T366*E366</x:f>
        <x:v>0</x:v>
      </x:c>
      <x:c r="V366" s="38" t="n">
        <x:v>0</x:v>
      </x:c>
      <x:c r="W366" s="32" t="n">
        <x:v>0</x:v>
      </x:c>
      <x:c r="X366" s="50"/>
      <x:c r="Y366" s="44" t="n">
        <x:v>2000</x:v>
      </x:c>
      <x:c r="Z366" s="44" t="n">
        <x:f>IF(I366&gt;0,R366*(J366/I366),0)</x:f>
        <x:v>14000</x:v>
      </x:c>
      <x:c r="AA366" s="44" t="n">
        <x:f>Z366-(R366*E366)</x:f>
        <x:v>5600</x:v>
      </x:c>
      <x:c r="AB366" s="47" t="n">
        <x:f>IFERROR(AA366/Z366,0)</x:f>
        <x:v>0.4</x:v>
      </x:c>
      <x:c r="AC366" s="32" t="str">
        <x:f>IF(S366=0,"0%",IF(S366&lt;0.5,"1-49%",IF(S366&lt;0.8,"50-79%",IF(S366&lt;1,"80-99%","100%"))))</x:f>
        <x:v>100%</x:v>
      </x:c>
      <x:c r="AD366" s="33" t="str">
        <x:f>IF(G366&lt;0,"Stock negativo",IF(G366&lt;=0,"Sin stock actual",IF(I366&lt;=0,"Sin ventas desde compra",IF(Q366&lt;=0,"Con stock, sin ventas 365d",IF(S366&lt;0.5,"Rotación baja",IF(S366&lt;1,"Rotación media","Compra absorbida; stock repuesto"))))))</x:f>
        <x:v>Sin stock actual</x:v>
      </x:c>
    </x:row>
    <x:row r="367">
      <x:c r="A367" s="31" t="str">
        <x:v>4216</x:v>
      </x:c>
      <x:c r="B367" s="53" t="str">
        <x:v>TORNILLO FLANGE 6X 80 LLAVE 8 TORNIFRENOS</x:v>
      </x:c>
      <x:c r="C367" s="32" t="n">
        <x:v>1</x:v>
      </x:c>
      <x:c r="D367" s="38" t="n">
        <x:v>10</x:v>
      </x:c>
      <x:c r="E367" s="44" t="n">
        <x:v>829</x:v>
      </x:c>
      <x:c r="F367" s="44" t="n">
        <x:v>8290</x:v>
      </x:c>
      <x:c r="G367" s="41" t="n">
        <x:v>7</x:v>
      </x:c>
      <x:c r="H367" s="44" t="n">
        <x:f>MAX(G367,0)*E367</x:f>
        <x:v>5803</x:v>
      </x:c>
      <x:c r="I367" s="38" t="n">
        <x:v>3</x:v>
      </x:c>
      <x:c r="J367" s="44" t="n">
        <x:v>4000</x:v>
      </x:c>
      <x:c r="K367" s="32" t="n">
        <x:v>2</x:v>
      </x:c>
      <x:c r="L367" s="50" t="n">
        <x:v>45661.730208333334</x:v>
      </x:c>
      <x:c r="M367" s="50" t="n">
        <x:v>45736.55905092593</x:v>
      </x:c>
      <x:c r="N367" s="32" t="n">
        <x:f>IF(M367="","",MAX(0,'Resumen'!$B$3-M367))</x:f>
        <x:v>530.4409490740727</x:v>
      </x:c>
      <x:c r="O367" s="38" t="n">
        <x:v>0</x:v>
      </x:c>
      <x:c r="P367" s="38" t="n">
        <x:v>0</x:v>
      </x:c>
      <x:c r="Q367" s="38" t="n">
        <x:v>0</x:v>
      </x:c>
      <x:c r="R367" s="38" t="n">
        <x:f>MIN(D367,I367)</x:f>
        <x:v>3</x:v>
      </x:c>
      <x:c r="S367" s="47" t="n">
        <x:f>IFERROR(R367/D367,0)</x:f>
        <x:v>0.3</x:v>
      </x:c>
      <x:c r="T367" s="38" t="n">
        <x:f>MIN(MAX(G367,0),MAX(D367-I367,0))</x:f>
        <x:v>7</x:v>
      </x:c>
      <x:c r="U367" s="44" t="n">
        <x:f>T367*E367</x:f>
        <x:v>5803</x:v>
      </x:c>
      <x:c r="V367" s="38" t="n">
        <x:v>0</x:v>
      </x:c>
      <x:c r="W367" s="32" t="n">
        <x:v>0</x:v>
      </x:c>
      <x:c r="X367" s="50"/>
      <x:c r="Y367" s="44" t="n">
        <x:v>1500</x:v>
      </x:c>
      <x:c r="Z367" s="44" t="n">
        <x:f>IF(I367&gt;0,R367*(J367/I367),0)</x:f>
        <x:v>4000</x:v>
      </x:c>
      <x:c r="AA367" s="44" t="n">
        <x:f>Z367-(R367*E367)</x:f>
        <x:v>1513</x:v>
      </x:c>
      <x:c r="AB367" s="47" t="n">
        <x:f>IFERROR(AA367/Z367,0)</x:f>
        <x:v>0.37825</x:v>
      </x:c>
      <x:c r="AC367" s="32" t="str">
        <x:f>IF(S367=0,"0%",IF(S367&lt;0.5,"1-49%",IF(S367&lt;0.8,"50-79%",IF(S367&lt;1,"80-99%","100%"))))</x:f>
        <x:v>1-49%</x:v>
      </x:c>
      <x:c r="AD367" s="33" t="str">
        <x:f>IF(G367&lt;0,"Stock negativo",IF(G367&lt;=0,"Sin stock actual",IF(I367&lt;=0,"Sin ventas desde compra",IF(Q367&lt;=0,"Con stock, sin ventas 365d",IF(S367&lt;0.5,"Rotación baja",IF(S367&lt;1,"Rotación media","Compra absorbida; stock repuesto"))))))</x:f>
        <x:v>Con stock, sin ventas 365d</x:v>
      </x:c>
    </x:row>
    <x:row r="368">
      <x:c r="A368" s="31" t="str">
        <x:v>TOR - 9442</x:v>
      </x:c>
      <x:c r="B368" s="53" t="str">
        <x:v>TORNILLO ESTRELLA 8 X15 TORNIFRENOS</x:v>
      </x:c>
      <x:c r="C368" s="32" t="n">
        <x:v>1</x:v>
      </x:c>
      <x:c r="D368" s="38" t="n">
        <x:v>29</x:v>
      </x:c>
      <x:c r="E368" s="44" t="n">
        <x:v>285</x:v>
      </x:c>
      <x:c r="F368" s="44" t="n">
        <x:v>8265</x:v>
      </x:c>
      <x:c r="G368" s="41" t="n">
        <x:v>29</x:v>
      </x:c>
      <x:c r="H368" s="44" t="n">
        <x:f>MAX(G368,0)*E368</x:f>
        <x:v>8265</x:v>
      </x:c>
      <x:c r="I368" s="38" t="n">
        <x:v>0</x:v>
      </x:c>
      <x:c r="J368" s="44" t="n">
        <x:v>0</x:v>
      </x:c>
      <x:c r="K368" s="32" t="n">
        <x:v>0</x:v>
      </x:c>
      <x:c r="L368" s="50"/>
      <x:c r="M368" s="50"/>
      <x:c r="N368" s="32" t="str">
        <x:f>IF(M368="","",MAX(0,'Resumen'!$B$3-M368))</x:f>
      </x:c>
      <x:c r="O368" s="38" t="n">
        <x:v>0</x:v>
      </x:c>
      <x:c r="P368" s="38" t="n">
        <x:v>0</x:v>
      </x:c>
      <x:c r="Q368" s="38" t="n">
        <x:v>0</x:v>
      </x:c>
      <x:c r="R368" s="38" t="n">
        <x:f>MIN(D368,I368)</x:f>
        <x:v>0</x:v>
      </x:c>
      <x:c r="S368" s="47" t="n">
        <x:f>IFERROR(R368/D368,0)</x:f>
        <x:v>0</x:v>
      </x:c>
      <x:c r="T368" s="38" t="n">
        <x:f>MIN(MAX(G368,0),MAX(D368-I368,0))</x:f>
        <x:v>29</x:v>
      </x:c>
      <x:c r="U368" s="44" t="n">
        <x:f>T368*E368</x:f>
        <x:v>8265</x:v>
      </x:c>
      <x:c r="V368" s="38" t="n">
        <x:v>0</x:v>
      </x:c>
      <x:c r="W368" s="32" t="n">
        <x:v>0</x:v>
      </x:c>
      <x:c r="X368" s="50"/>
      <x:c r="Y368" s="44" t="n">
        <x:v>500</x:v>
      </x:c>
      <x:c r="Z368" s="44" t="n">
        <x:f>IF(I368&gt;0,R368*(J368/I368),0)</x:f>
        <x:v>0</x:v>
      </x:c>
      <x:c r="AA368" s="44" t="n">
        <x:f>Z368-(R368*E368)</x:f>
        <x:v>0</x:v>
      </x:c>
      <x:c r="AB368" s="47" t="n">
        <x:f>IFERROR(AA368/Z368,0)</x:f>
        <x:v>0</x:v>
      </x:c>
      <x:c r="AC368" s="32" t="str">
        <x:f>IF(S368=0,"0%",IF(S368&lt;0.5,"1-49%",IF(S368&lt;0.8,"50-79%",IF(S368&lt;1,"80-99%","100%"))))</x:f>
        <x:v>0%</x:v>
      </x:c>
      <x:c r="AD368" s="33" t="str">
        <x:f>IF(G368&lt;0,"Stock negativo",IF(G368&lt;=0,"Sin stock actual",IF(I368&lt;=0,"Sin ventas desde compra",IF(Q368&lt;=0,"Con stock, sin ventas 365d",IF(S368&lt;0.5,"Rotación baja",IF(S368&lt;1,"Rotación media","Compra absorbida; stock repuesto"))))))</x:f>
        <x:v>Sin ventas desde compra</x:v>
      </x:c>
    </x:row>
    <x:row r="369">
      <x:c r="A369" s="31" t="str">
        <x:v>MOTS1119</x:v>
      </x:c>
      <x:c r="B369" s="53" t="str">
        <x:v>EMPAQUE EJE CULATIN DE 100 / ECO / ART 110</x:v>
      </x:c>
      <x:c r="C369" s="32" t="n">
        <x:v>1</x:v>
      </x:c>
      <x:c r="D369" s="38" t="n">
        <x:v>9</x:v>
      </x:c>
      <x:c r="E369" s="44" t="n">
        <x:v>900</x:v>
      </x:c>
      <x:c r="F369" s="44" t="n">
        <x:v>8100</x:v>
      </x:c>
      <x:c r="G369" s="41" t="n">
        <x:v>0</x:v>
      </x:c>
      <x:c r="H369" s="44" t="n">
        <x:f>MAX(G369,0)*E369</x:f>
        <x:v>0</x:v>
      </x:c>
      <x:c r="I369" s="38" t="n">
        <x:v>9</x:v>
      </x:c>
      <x:c r="J369" s="44" t="n">
        <x:v>11000</x:v>
      </x:c>
      <x:c r="K369" s="32" t="n">
        <x:v>4</x:v>
      </x:c>
      <x:c r="L369" s="50" t="n">
        <x:v>45561.612604166665</x:v>
      </x:c>
      <x:c r="M369" s="50" t="n">
        <x:v>45656.979837962965</x:v>
      </x:c>
      <x:c r="N369" s="32" t="n">
        <x:f>IF(M369="","",MAX(0,'Resumen'!$B$3-M369))</x:f>
        <x:v>610.0201620370353</x:v>
      </x:c>
      <x:c r="O369" s="38" t="n">
        <x:v>0</x:v>
      </x:c>
      <x:c r="P369" s="38" t="n">
        <x:v>0</x:v>
      </x:c>
      <x:c r="Q369" s="38" t="n">
        <x:v>0</x:v>
      </x:c>
      <x:c r="R369" s="38" t="n">
        <x:f>MIN(D369,I369)</x:f>
        <x:v>9</x:v>
      </x:c>
      <x:c r="S369" s="47" t="n">
        <x:f>IFERROR(R369/D369,0)</x:f>
        <x:v>1</x:v>
      </x:c>
      <x:c r="T369" s="38" t="n">
        <x:f>MIN(MAX(G369,0),MAX(D369-I369,0))</x:f>
        <x:v>0</x:v>
      </x:c>
      <x:c r="U369" s="44" t="n">
        <x:f>T369*E369</x:f>
        <x:v>0</x:v>
      </x:c>
      <x:c r="V369" s="38" t="n">
        <x:v>0</x:v>
      </x:c>
      <x:c r="W369" s="32" t="n">
        <x:v>0</x:v>
      </x:c>
      <x:c r="X369" s="50"/>
      <x:c r="Y369" s="44" t="n">
        <x:v>1500</x:v>
      </x:c>
      <x:c r="Z369" s="44" t="n">
        <x:f>IF(I369&gt;0,R369*(J369/I369),0)</x:f>
        <x:v>11000</x:v>
      </x:c>
      <x:c r="AA369" s="44" t="n">
        <x:f>Z369-(R369*E369)</x:f>
        <x:v>2900</x:v>
      </x:c>
      <x:c r="AB369" s="47" t="n">
        <x:f>IFERROR(AA369/Z369,0)</x:f>
        <x:v>0.2636363636363636</x:v>
      </x:c>
      <x:c r="AC369" s="32" t="str">
        <x:f>IF(S369=0,"0%",IF(S369&lt;0.5,"1-49%",IF(S369&lt;0.8,"50-79%",IF(S369&lt;1,"80-99%","100%"))))</x:f>
        <x:v>100%</x:v>
      </x:c>
      <x:c r="AD369" s="33" t="str">
        <x:f>IF(G369&lt;0,"Stock negativo",IF(G369&lt;=0,"Sin stock actual",IF(I369&lt;=0,"Sin ventas desde compra",IF(Q369&lt;=0,"Con stock, sin ventas 365d",IF(S369&lt;0.5,"Rotación baja",IF(S369&lt;1,"Rotación media","Compra absorbida; stock repuesto"))))))</x:f>
        <x:v>Sin stock actual</x:v>
      </x:c>
    </x:row>
    <x:row r="370">
      <x:c r="A370" s="31" t="str">
        <x:v>TOR - 0472</x:v>
      </x:c>
      <x:c r="B370" s="53" t="str">
        <x:v>TORNILLO BRISTOL 8 X60 TORNIFRENOS</x:v>
      </x:c>
      <x:c r="C370" s="32" t="n">
        <x:v>2</x:v>
      </x:c>
      <x:c r="D370" s="38" t="n">
        <x:v>14</x:v>
      </x:c>
      <x:c r="E370" s="44" t="n">
        <x:v>573.4285714285714</x:v>
      </x:c>
      <x:c r="F370" s="44" t="n">
        <x:v>8028</x:v>
      </x:c>
      <x:c r="G370" s="41" t="n">
        <x:v>14</x:v>
      </x:c>
      <x:c r="H370" s="44" t="n">
        <x:f>MAX(G370,0)*E370</x:f>
        <x:v>8028</x:v>
      </x:c>
      <x:c r="I370" s="38" t="n">
        <x:v>0</x:v>
      </x:c>
      <x:c r="J370" s="44" t="n">
        <x:v>0</x:v>
      </x:c>
      <x:c r="K370" s="32" t="n">
        <x:v>0</x:v>
      </x:c>
      <x:c r="L370" s="50"/>
      <x:c r="M370" s="50"/>
      <x:c r="N370" s="32" t="str">
        <x:f>IF(M370="","",MAX(0,'Resumen'!$B$3-M370))</x:f>
      </x:c>
      <x:c r="O370" s="38" t="n">
        <x:v>0</x:v>
      </x:c>
      <x:c r="P370" s="38" t="n">
        <x:v>0</x:v>
      </x:c>
      <x:c r="Q370" s="38" t="n">
        <x:v>0</x:v>
      </x:c>
      <x:c r="R370" s="38" t="n">
        <x:f>MIN(D370,I370)</x:f>
        <x:v>0</x:v>
      </x:c>
      <x:c r="S370" s="47" t="n">
        <x:f>IFERROR(R370/D370,0)</x:f>
        <x:v>0</x:v>
      </x:c>
      <x:c r="T370" s="38" t="n">
        <x:f>MIN(MAX(G370,0),MAX(D370-I370,0))</x:f>
        <x:v>14</x:v>
      </x:c>
      <x:c r="U370" s="44" t="n">
        <x:f>T370*E370</x:f>
        <x:v>8028</x:v>
      </x:c>
      <x:c r="V370" s="38" t="n">
        <x:v>0</x:v>
      </x:c>
      <x:c r="W370" s="32" t="n">
        <x:v>0</x:v>
      </x:c>
      <x:c r="X370" s="50"/>
      <x:c r="Y370" s="44" t="n">
        <x:v>1500</x:v>
      </x:c>
      <x:c r="Z370" s="44" t="n">
        <x:f>IF(I370&gt;0,R370*(J370/I370),0)</x:f>
        <x:v>0</x:v>
      </x:c>
      <x:c r="AA370" s="44" t="n">
        <x:f>Z370-(R370*E370)</x:f>
        <x:v>0</x:v>
      </x:c>
      <x:c r="AB370" s="47" t="n">
        <x:f>IFERROR(AA370/Z370,0)</x:f>
        <x:v>0</x:v>
      </x:c>
      <x:c r="AC370" s="32" t="str">
        <x:f>IF(S370=0,"0%",IF(S370&lt;0.5,"1-49%",IF(S370&lt;0.8,"50-79%",IF(S370&lt;1,"80-99%","100%"))))</x:f>
        <x:v>0%</x:v>
      </x:c>
      <x:c r="AD370" s="33" t="str">
        <x:f>IF(G370&lt;0,"Stock negativo",IF(G370&lt;=0,"Sin stock actual",IF(I370&lt;=0,"Sin ventas desde compra",IF(Q370&lt;=0,"Con stock, sin ventas 365d",IF(S370&lt;0.5,"Rotación baja",IF(S370&lt;1,"Rotación media","Compra absorbida; stock repuesto"))))))</x:f>
        <x:v>Sin ventas desde compra</x:v>
      </x:c>
    </x:row>
    <x:row r="371">
      <x:c r="A371" s="31" t="str">
        <x:v>MOTS1020</x:v>
      </x:c>
      <x:c r="B371" s="53" t="str">
        <x:v>BRAZO TENSOR CADENILLA ECO HERO</x:v>
      </x:c>
      <x:c r="C371" s="32" t="n">
        <x:v>1</x:v>
      </x:c>
      <x:c r="D371" s="38" t="n">
        <x:v>2</x:v>
      </x:c>
      <x:c r="E371" s="44" t="n">
        <x:v>4000</x:v>
      </x:c>
      <x:c r="F371" s="44" t="n">
        <x:v>8000</x:v>
      </x:c>
      <x:c r="G371" s="41" t="n">
        <x:v>0</x:v>
      </x:c>
      <x:c r="H371" s="44" t="n">
        <x:f>MAX(G371,0)*E371</x:f>
        <x:v>0</x:v>
      </x:c>
      <x:c r="I371" s="38" t="n">
        <x:v>2</x:v>
      </x:c>
      <x:c r="J371" s="44" t="n">
        <x:v>13000</x:v>
      </x:c>
      <x:c r="K371" s="32" t="n">
        <x:v>2</x:v>
      </x:c>
      <x:c r="L371" s="50" t="n">
        <x:v>45561.612604166665</x:v>
      </x:c>
      <x:c r="M371" s="50" t="n">
        <x:v>45611.696493055555</x:v>
      </x:c>
      <x:c r="N371" s="32" t="n">
        <x:f>IF(M371="","",MAX(0,'Resumen'!$B$3-M371))</x:f>
        <x:v>655.303506944445</x:v>
      </x:c>
      <x:c r="O371" s="38" t="n">
        <x:v>0</x:v>
      </x:c>
      <x:c r="P371" s="38" t="n">
        <x:v>0</x:v>
      </x:c>
      <x:c r="Q371" s="38" t="n">
        <x:v>0</x:v>
      </x:c>
      <x:c r="R371" s="38" t="n">
        <x:f>MIN(D371,I371)</x:f>
        <x:v>2</x:v>
      </x:c>
      <x:c r="S371" s="47" t="n">
        <x:f>IFERROR(R371/D371,0)</x:f>
        <x:v>1</x:v>
      </x:c>
      <x:c r="T371" s="38" t="n">
        <x:f>MIN(MAX(G371,0),MAX(D371-I371,0))</x:f>
        <x:v>0</x:v>
      </x:c>
      <x:c r="U371" s="44" t="n">
        <x:f>T371*E371</x:f>
        <x:v>0</x:v>
      </x:c>
      <x:c r="V371" s="38" t="n">
        <x:v>0</x:v>
      </x:c>
      <x:c r="W371" s="32" t="n">
        <x:v>0</x:v>
      </x:c>
      <x:c r="X371" s="50"/>
      <x:c r="Y371" s="44" t="n">
        <x:v>7000</x:v>
      </x:c>
      <x:c r="Z371" s="44" t="n">
        <x:f>IF(I371&gt;0,R371*(J371/I371),0)</x:f>
        <x:v>13000</x:v>
      </x:c>
      <x:c r="AA371" s="44" t="n">
        <x:f>Z371-(R371*E371)</x:f>
        <x:v>5000</x:v>
      </x:c>
      <x:c r="AB371" s="47" t="n">
        <x:f>IFERROR(AA371/Z371,0)</x:f>
        <x:v>0.38461538461538464</x:v>
      </x:c>
      <x:c r="AC371" s="32" t="str">
        <x:f>IF(S371=0,"0%",IF(S371&lt;0.5,"1-49%",IF(S371&lt;0.8,"50-79%",IF(S371&lt;1,"80-99%","100%"))))</x:f>
        <x:v>100%</x:v>
      </x:c>
      <x:c r="AD371" s="33" t="str">
        <x:f>IF(G371&lt;0,"Stock negativo",IF(G371&lt;=0,"Sin stock actual",IF(I371&lt;=0,"Sin ventas desde compra",IF(Q371&lt;=0,"Con stock, sin ventas 365d",IF(S371&lt;0.5,"Rotación baja",IF(S371&lt;1,"Rotación media","Compra absorbida; stock repuesto"))))))</x:f>
        <x:v>Sin stock actual</x:v>
      </x:c>
    </x:row>
    <x:row r="372">
      <x:c r="A372" s="31" t="str">
        <x:v>MOTS1042</x:v>
      </x:c>
      <x:c r="B372" s="53" t="str">
        <x:v>RETEN 20-32-5</x:v>
      </x:c>
      <x:c r="C372" s="32" t="n">
        <x:v>1</x:v>
      </x:c>
      <x:c r="D372" s="38" t="n">
        <x:v>4</x:v>
      </x:c>
      <x:c r="E372" s="44" t="n">
        <x:v>2000</x:v>
      </x:c>
      <x:c r="F372" s="44" t="n">
        <x:v>8000</x:v>
      </x:c>
      <x:c r="G372" s="41" t="n">
        <x:v>4</x:v>
      </x:c>
      <x:c r="H372" s="44" t="n">
        <x:f>MAX(G372,0)*E372</x:f>
        <x:v>8000</x:v>
      </x:c>
      <x:c r="I372" s="38" t="n">
        <x:v>0</x:v>
      </x:c>
      <x:c r="J372" s="44" t="n">
        <x:v>0</x:v>
      </x:c>
      <x:c r="K372" s="32" t="n">
        <x:v>0</x:v>
      </x:c>
      <x:c r="L372" s="50"/>
      <x:c r="M372" s="50"/>
      <x:c r="N372" s="32" t="str">
        <x:f>IF(M372="","",MAX(0,'Resumen'!$B$3-M372))</x:f>
      </x:c>
      <x:c r="O372" s="38" t="n">
        <x:v>0</x:v>
      </x:c>
      <x:c r="P372" s="38" t="n">
        <x:v>0</x:v>
      </x:c>
      <x:c r="Q372" s="38" t="n">
        <x:v>0</x:v>
      </x:c>
      <x:c r="R372" s="38" t="n">
        <x:f>MIN(D372,I372)</x:f>
        <x:v>0</x:v>
      </x:c>
      <x:c r="S372" s="47" t="n">
        <x:f>IFERROR(R372/D372,0)</x:f>
        <x:v>0</x:v>
      </x:c>
      <x:c r="T372" s="38" t="n">
        <x:f>MIN(MAX(G372,0),MAX(D372-I372,0))</x:f>
        <x:v>4</x:v>
      </x:c>
      <x:c r="U372" s="44" t="n">
        <x:f>T372*E372</x:f>
        <x:v>8000</x:v>
      </x:c>
      <x:c r="V372" s="38" t="n">
        <x:v>0</x:v>
      </x:c>
      <x:c r="W372" s="32" t="n">
        <x:v>0</x:v>
      </x:c>
      <x:c r="X372" s="50"/>
      <x:c r="Y372" s="44" t="n">
        <x:v>3500</x:v>
      </x:c>
      <x:c r="Z372" s="44" t="n">
        <x:f>IF(I372&gt;0,R372*(J372/I372),0)</x:f>
        <x:v>0</x:v>
      </x:c>
      <x:c r="AA372" s="44" t="n">
        <x:f>Z372-(R372*E372)</x:f>
        <x:v>0</x:v>
      </x:c>
      <x:c r="AB372" s="47" t="n">
        <x:f>IFERROR(AA372/Z372,0)</x:f>
        <x:v>0</x:v>
      </x:c>
      <x:c r="AC372" s="32" t="str">
        <x:f>IF(S372=0,"0%",IF(S372&lt;0.5,"1-49%",IF(S372&lt;0.8,"50-79%",IF(S372&lt;1,"80-99%","100%"))))</x:f>
        <x:v>0%</x:v>
      </x:c>
      <x:c r="AD372" s="33" t="str">
        <x:f>IF(G372&lt;0,"Stock negativo",IF(G372&lt;=0,"Sin stock actual",IF(I372&lt;=0,"Sin ventas desde compra",IF(Q372&lt;=0,"Con stock, sin ventas 365d",IF(S372&lt;0.5,"Rotación baja",IF(S372&lt;1,"Rotación media","Compra absorbida; stock repuesto"))))))</x:f>
        <x:v>Sin ventas desde compra</x:v>
      </x:c>
    </x:row>
    <x:row r="373">
      <x:c r="A373" s="31" t="str">
        <x:v>MOTS1072</x:v>
      </x:c>
      <x:c r="B373" s="53" t="str">
        <x:v>RETEN 16-24-04</x:v>
      </x:c>
      <x:c r="C373" s="32" t="n">
        <x:v>1</x:v>
      </x:c>
      <x:c r="D373" s="38" t="n">
        <x:v>8</x:v>
      </x:c>
      <x:c r="E373" s="44" t="n">
        <x:v>1000</x:v>
      </x:c>
      <x:c r="F373" s="44" t="n">
        <x:v>8000</x:v>
      </x:c>
      <x:c r="G373" s="41" t="n">
        <x:v>7</x:v>
      </x:c>
      <x:c r="H373" s="44" t="n">
        <x:f>MAX(G373,0)*E373</x:f>
        <x:v>7000</x:v>
      </x:c>
      <x:c r="I373" s="38" t="n">
        <x:v>1</x:v>
      </x:c>
      <x:c r="J373" s="44" t="n">
        <x:v>2000</x:v>
      </x:c>
      <x:c r="K373" s="32" t="n">
        <x:v>1</x:v>
      </x:c>
      <x:c r="L373" s="50" t="n">
        <x:v>45625.92005787037</x:v>
      </x:c>
      <x:c r="M373" s="50" t="n">
        <x:v>45625.92005787037</x:v>
      </x:c>
      <x:c r="N373" s="32" t="n">
        <x:f>IF(M373="","",MAX(0,'Resumen'!$B$3-M373))</x:f>
        <x:v>641.0799421296324</x:v>
      </x:c>
      <x:c r="O373" s="38" t="n">
        <x:v>0</x:v>
      </x:c>
      <x:c r="P373" s="38" t="n">
        <x:v>0</x:v>
      </x:c>
      <x:c r="Q373" s="38" t="n">
        <x:v>0</x:v>
      </x:c>
      <x:c r="R373" s="38" t="n">
        <x:f>MIN(D373,I373)</x:f>
        <x:v>1</x:v>
      </x:c>
      <x:c r="S373" s="47" t="n">
        <x:f>IFERROR(R373/D373,0)</x:f>
        <x:v>0.125</x:v>
      </x:c>
      <x:c r="T373" s="38" t="n">
        <x:f>MIN(MAX(G373,0),MAX(D373-I373,0))</x:f>
        <x:v>7</x:v>
      </x:c>
      <x:c r="U373" s="44" t="n">
        <x:f>T373*E373</x:f>
        <x:v>7000</x:v>
      </x:c>
      <x:c r="V373" s="38" t="n">
        <x:v>0</x:v>
      </x:c>
      <x:c r="W373" s="32" t="n">
        <x:v>0</x:v>
      </x:c>
      <x:c r="X373" s="50"/>
      <x:c r="Y373" s="44" t="n">
        <x:v>2000</x:v>
      </x:c>
      <x:c r="Z373" s="44" t="n">
        <x:f>IF(I373&gt;0,R373*(J373/I373),0)</x:f>
        <x:v>2000</x:v>
      </x:c>
      <x:c r="AA373" s="44" t="n">
        <x:f>Z373-(R373*E373)</x:f>
        <x:v>1000</x:v>
      </x:c>
      <x:c r="AB373" s="47" t="n">
        <x:f>IFERROR(AA373/Z373,0)</x:f>
        <x:v>0.5</x:v>
      </x:c>
      <x:c r="AC373" s="32" t="str">
        <x:f>IF(S373=0,"0%",IF(S373&lt;0.5,"1-49%",IF(S373&lt;0.8,"50-79%",IF(S373&lt;1,"80-99%","100%"))))</x:f>
        <x:v>1-49%</x:v>
      </x:c>
      <x:c r="AD373" s="33" t="str">
        <x:f>IF(G373&lt;0,"Stock negativo",IF(G373&lt;=0,"Sin stock actual",IF(I373&lt;=0,"Sin ventas desde compra",IF(Q373&lt;=0,"Con stock, sin ventas 365d",IF(S373&lt;0.5,"Rotación baja",IF(S373&lt;1,"Rotación media","Compra absorbida; stock repuesto"))))))</x:f>
        <x:v>Con stock, sin ventas 365d</x:v>
      </x:c>
    </x:row>
    <x:row r="374">
      <x:c r="A374" s="31" t="str">
        <x:v>MOTS1108</x:v>
      </x:c>
      <x:c r="B374" s="53" t="str">
        <x:v>TERMINAL PLANO (MACHO</x:v>
      </x:c>
      <x:c r="C374" s="32" t="n">
        <x:v>1</x:v>
      </x:c>
      <x:c r="D374" s="38" t="n">
        <x:v>50</x:v>
      </x:c>
      <x:c r="E374" s="44" t="n">
        <x:v>160</x:v>
      </x:c>
      <x:c r="F374" s="44" t="n">
        <x:v>8000</x:v>
      </x:c>
      <x:c r="G374" s="41" t="n">
        <x:v>20</x:v>
      </x:c>
      <x:c r="H374" s="44" t="n">
        <x:f>MAX(G374,0)*E374</x:f>
        <x:v>3200</x:v>
      </x:c>
      <x:c r="I374" s="38" t="n">
        <x:v>42</x:v>
      </x:c>
      <x:c r="J374" s="44" t="n">
        <x:v>12600</x:v>
      </x:c>
      <x:c r="K374" s="32" t="n">
        <x:v>13</x:v>
      </x:c>
      <x:c r="L374" s="50" t="n">
        <x:v>45513.69020833333</x:v>
      </x:c>
      <x:c r="M374" s="50" t="n">
        <x:v>46245.841099537036</x:v>
      </x:c>
      <x:c r="N374" s="32" t="n">
        <x:f>IF(M374="","",MAX(0,'Resumen'!$B$3-M374))</x:f>
        <x:v>21.158900462964084</x:v>
      </x:c>
      <x:c r="O374" s="38" t="n">
        <x:v>3</x:v>
      </x:c>
      <x:c r="P374" s="38" t="n">
        <x:v>9</x:v>
      </x:c>
      <x:c r="Q374" s="38" t="n">
        <x:v>24</x:v>
      </x:c>
      <x:c r="R374" s="38" t="n">
        <x:f>MIN(D374,I374)</x:f>
        <x:v>42</x:v>
      </x:c>
      <x:c r="S374" s="47" t="n">
        <x:f>IFERROR(R374/D374,0)</x:f>
        <x:v>0.84</x:v>
      </x:c>
      <x:c r="T374" s="38" t="n">
        <x:f>MIN(MAX(G374,0),MAX(D374-I374,0))</x:f>
        <x:v>8</x:v>
      </x:c>
      <x:c r="U374" s="44" t="n">
        <x:f>T374*E374</x:f>
        <x:v>1280</x:v>
      </x:c>
      <x:c r="V374" s="38" t="n">
        <x:v>12</x:v>
      </x:c>
      <x:c r="W374" s="32" t="n">
        <x:v>3</x:v>
      </x:c>
      <x:c r="X374" s="50" t="n">
        <x:v>45942</x:v>
      </x:c>
      <x:c r="Y374" s="44" t="n">
        <x:v>300</x:v>
      </x:c>
      <x:c r="Z374" s="44" t="n">
        <x:f>IF(I374&gt;0,R374*(J374/I374),0)</x:f>
        <x:v>12600</x:v>
      </x:c>
      <x:c r="AA374" s="44" t="n">
        <x:f>Z374-(R374*E374)</x:f>
        <x:v>5880</x:v>
      </x:c>
      <x:c r="AB374" s="47" t="n">
        <x:f>IFERROR(AA374/Z374,0)</x:f>
        <x:v>0.4666666666666667</x:v>
      </x:c>
      <x:c r="AC374" s="32" t="str">
        <x:f>IF(S374=0,"0%",IF(S374&lt;0.5,"1-49%",IF(S374&lt;0.8,"50-79%",IF(S374&lt;1,"80-99%","100%"))))</x:f>
        <x:v>80-99%</x:v>
      </x:c>
      <x:c r="AD374" s="33" t="str">
        <x:f>IF(G374&lt;0,"Stock negativo",IF(G374&lt;=0,"Sin stock actual",IF(I374&lt;=0,"Sin ventas desde compra",IF(Q374&lt;=0,"Con stock, sin ventas 365d",IF(S374&lt;0.5,"Rotación baja",IF(S374&lt;1,"Rotación media","Compra absorbida; stock repuesto"))))))</x:f>
        <x:v>Rotación media</x:v>
      </x:c>
    </x:row>
    <x:row r="375">
      <x:c r="A375" s="31" t="str">
        <x:v>MOTS1148</x:v>
      </x:c>
      <x:c r="B375" s="53" t="str">
        <x:v>DIRECCIONAL BWS FI HUMO TRA - FER UND</x:v>
      </x:c>
      <x:c r="C375" s="32" t="n">
        <x:v>1</x:v>
      </x:c>
      <x:c r="D375" s="38" t="n">
        <x:v>1</x:v>
      </x:c>
      <x:c r="E375" s="44" t="n">
        <x:v>8000</x:v>
      </x:c>
      <x:c r="F375" s="44" t="n">
        <x:v>8000</x:v>
      </x:c>
      <x:c r="G375" s="41" t="n">
        <x:v>6</x:v>
      </x:c>
      <x:c r="H375" s="44" t="n">
        <x:f>MAX(G375,0)*E375</x:f>
        <x:v>48000</x:v>
      </x:c>
      <x:c r="I375" s="38" t="n">
        <x:v>1</x:v>
      </x:c>
      <x:c r="J375" s="44" t="n">
        <x:v>12000</x:v>
      </x:c>
      <x:c r="K375" s="32" t="n">
        <x:v>1</x:v>
      </x:c>
      <x:c r="L375" s="50" t="n">
        <x:v>45563.62672453704</x:v>
      </x:c>
      <x:c r="M375" s="50" t="n">
        <x:v>45563.62672453704</x:v>
      </x:c>
      <x:c r="N375" s="32" t="n">
        <x:f>IF(M375="","",MAX(0,'Resumen'!$B$3-M375))</x:f>
        <x:v>703.37327546296</x:v>
      </x:c>
      <x:c r="O375" s="38" t="n">
        <x:v>0</x:v>
      </x:c>
      <x:c r="P375" s="38" t="n">
        <x:v>0</x:v>
      </x:c>
      <x:c r="Q375" s="38" t="n">
        <x:v>0</x:v>
      </x:c>
      <x:c r="R375" s="38" t="n">
        <x:f>MIN(D375,I375)</x:f>
        <x:v>1</x:v>
      </x:c>
      <x:c r="S375" s="47" t="n">
        <x:f>IFERROR(R375/D375,0)</x:f>
        <x:v>1</x:v>
      </x:c>
      <x:c r="T375" s="38" t="n">
        <x:f>MIN(MAX(G375,0),MAX(D375-I375,0))</x:f>
        <x:v>0</x:v>
      </x:c>
      <x:c r="U375" s="44" t="n">
        <x:f>T375*E375</x:f>
        <x:v>0</x:v>
      </x:c>
      <x:c r="V375" s="38" t="n">
        <x:v>6</x:v>
      </x:c>
      <x:c r="W375" s="32" t="n">
        <x:v>2</x:v>
      </x:c>
      <x:c r="X375" s="50" t="n">
        <x:v>45695</x:v>
      </x:c>
      <x:c r="Y375" s="44" t="n">
        <x:v>14000</x:v>
      </x:c>
      <x:c r="Z375" s="44" t="n">
        <x:f>IF(I375&gt;0,R375*(J375/I375),0)</x:f>
        <x:v>12000</x:v>
      </x:c>
      <x:c r="AA375" s="44" t="n">
        <x:f>Z375-(R375*E375)</x:f>
        <x:v>4000</x:v>
      </x:c>
      <x:c r="AB375" s="47" t="n">
        <x:f>IFERROR(AA375/Z375,0)</x:f>
        <x:v>0.3333333333333333</x:v>
      </x:c>
      <x:c r="AC375" s="32" t="str">
        <x:f>IF(S375=0,"0%",IF(S375&lt;0.5,"1-49%",IF(S375&lt;0.8,"50-79%",IF(S375&lt;1,"80-99%","100%"))))</x:f>
        <x:v>100%</x:v>
      </x:c>
      <x:c r="AD375" s="33" t="str">
        <x:f>IF(G375&lt;0,"Stock negativo",IF(G375&lt;=0,"Sin stock actual",IF(I375&lt;=0,"Sin ventas desde compra",IF(Q375&lt;=0,"Con stock, sin ventas 365d",IF(S375&lt;0.5,"Rotación baja",IF(S375&lt;1,"Rotación media","Compra absorbida; stock repuesto"))))))</x:f>
        <x:v>Con stock, sin ventas 365d</x:v>
      </x:c>
    </x:row>
    <x:row r="376">
      <x:c r="A376" s="31" t="str">
        <x:v>MOTS1227</x:v>
      </x:c>
      <x:c r="B376" s="53" t="str">
        <x:v>BALINERA 6300RRS C3 NXT</x:v>
      </x:c>
      <x:c r="C376" s="32" t="n">
        <x:v>1</x:v>
      </x:c>
      <x:c r="D376" s="38" t="n">
        <x:v>2</x:v>
      </x:c>
      <x:c r="E376" s="44" t="n">
        <x:v>4000</x:v>
      </x:c>
      <x:c r="F376" s="44" t="n">
        <x:v>8000</x:v>
      </x:c>
      <x:c r="G376" s="41" t="n">
        <x:v>0</x:v>
      </x:c>
      <x:c r="H376" s="44" t="n">
        <x:f>MAX(G376,0)*E376</x:f>
        <x:v>0</x:v>
      </x:c>
      <x:c r="I376" s="38" t="n">
        <x:v>2</x:v>
      </x:c>
      <x:c r="J376" s="44" t="n">
        <x:v>11000</x:v>
      </x:c>
      <x:c r="K376" s="32" t="n">
        <x:v>1</x:v>
      </x:c>
      <x:c r="L376" s="50" t="n">
        <x:v>45562.54728009259</x:v>
      </x:c>
      <x:c r="M376" s="50" t="n">
        <x:v>45562.54728009259</x:v>
      </x:c>
      <x:c r="N376" s="32" t="n">
        <x:f>IF(M376="","",MAX(0,'Resumen'!$B$3-M376))</x:f>
        <x:v>704.4527199074073</x:v>
      </x:c>
      <x:c r="O376" s="38" t="n">
        <x:v>0</x:v>
      </x:c>
      <x:c r="P376" s="38" t="n">
        <x:v>0</x:v>
      </x:c>
      <x:c r="Q376" s="38" t="n">
        <x:v>0</x:v>
      </x:c>
      <x:c r="R376" s="38" t="n">
        <x:f>MIN(D376,I376)</x:f>
        <x:v>2</x:v>
      </x:c>
      <x:c r="S376" s="47" t="n">
        <x:f>IFERROR(R376/D376,0)</x:f>
        <x:v>1</x:v>
      </x:c>
      <x:c r="T376" s="38" t="n">
        <x:f>MIN(MAX(G376,0),MAX(D376-I376,0))</x:f>
        <x:v>0</x:v>
      </x:c>
      <x:c r="U376" s="44" t="n">
        <x:f>T376*E376</x:f>
        <x:v>0</x:v>
      </x:c>
      <x:c r="V376" s="38" t="n">
        <x:v>0</x:v>
      </x:c>
      <x:c r="W376" s="32" t="n">
        <x:v>0</x:v>
      </x:c>
      <x:c r="X376" s="50"/>
      <x:c r="Y376" s="44" t="n">
        <x:v>7000</x:v>
      </x:c>
      <x:c r="Z376" s="44" t="n">
        <x:f>IF(I376&gt;0,R376*(J376/I376),0)</x:f>
        <x:v>11000</x:v>
      </x:c>
      <x:c r="AA376" s="44" t="n">
        <x:f>Z376-(R376*E376)</x:f>
        <x:v>3000</x:v>
      </x:c>
      <x:c r="AB376" s="47" t="n">
        <x:f>IFERROR(AA376/Z376,0)</x:f>
        <x:v>0.2727272727272727</x:v>
      </x:c>
      <x:c r="AC376" s="32" t="str">
        <x:f>IF(S376=0,"0%",IF(S376&lt;0.5,"1-49%",IF(S376&lt;0.8,"50-79%",IF(S376&lt;1,"80-99%","100%"))))</x:f>
        <x:v>100%</x:v>
      </x:c>
      <x:c r="AD376" s="33" t="str">
        <x:f>IF(G376&lt;0,"Stock negativo",IF(G376&lt;=0,"Sin stock actual",IF(I376&lt;=0,"Sin ventas desde compra",IF(Q376&lt;=0,"Con stock, sin ventas 365d",IF(S376&lt;0.5,"Rotación baja",IF(S376&lt;1,"Rotación media","Compra absorbida; stock repuesto"))))))</x:f>
        <x:v>Sin stock actual</x:v>
      </x:c>
    </x:row>
    <x:row r="377">
      <x:c r="A377" s="31" t="str">
        <x:v>MOTS1230</x:v>
      </x:c>
      <x:c r="B377" s="53" t="str">
        <x:v>BALINERA 6003 2RS  KML</x:v>
      </x:c>
      <x:c r="C377" s="32" t="n">
        <x:v>1</x:v>
      </x:c>
      <x:c r="D377" s="38" t="n">
        <x:v>4</x:v>
      </x:c>
      <x:c r="E377" s="44" t="n">
        <x:v>2000</x:v>
      </x:c>
      <x:c r="F377" s="44" t="n">
        <x:v>8000</x:v>
      </x:c>
      <x:c r="G377" s="41" t="n">
        <x:v>0</x:v>
      </x:c>
      <x:c r="H377" s="44" t="n">
        <x:f>MAX(G377,0)*E377</x:f>
        <x:v>0</x:v>
      </x:c>
      <x:c r="I377" s="38" t="n">
        <x:v>4</x:v>
      </x:c>
      <x:c r="J377" s="44" t="n">
        <x:v>10000</x:v>
      </x:c>
      <x:c r="K377" s="32" t="n">
        <x:v>1</x:v>
      </x:c>
      <x:c r="L377" s="50" t="n">
        <x:v>45693.80583333333</x:v>
      </x:c>
      <x:c r="M377" s="50" t="n">
        <x:v>45693.80583333333</x:v>
      </x:c>
      <x:c r="N377" s="32" t="n">
        <x:f>IF(M377="","",MAX(0,'Resumen'!$B$3-M377))</x:f>
        <x:v>573.194166666668</x:v>
      </x:c>
      <x:c r="O377" s="38" t="n">
        <x:v>0</x:v>
      </x:c>
      <x:c r="P377" s="38" t="n">
        <x:v>0</x:v>
      </x:c>
      <x:c r="Q377" s="38" t="n">
        <x:v>0</x:v>
      </x:c>
      <x:c r="R377" s="38" t="n">
        <x:f>MIN(D377,I377)</x:f>
        <x:v>4</x:v>
      </x:c>
      <x:c r="S377" s="47" t="n">
        <x:f>IFERROR(R377/D377,0)</x:f>
        <x:v>1</x:v>
      </x:c>
      <x:c r="T377" s="38" t="n">
        <x:f>MIN(MAX(G377,0),MAX(D377-I377,0))</x:f>
        <x:v>0</x:v>
      </x:c>
      <x:c r="U377" s="44" t="n">
        <x:f>T377*E377</x:f>
        <x:v>0</x:v>
      </x:c>
      <x:c r="V377" s="38" t="n">
        <x:v>0</x:v>
      </x:c>
      <x:c r="W377" s="32" t="n">
        <x:v>0</x:v>
      </x:c>
      <x:c r="X377" s="50"/>
      <x:c r="Y377" s="44" t="n">
        <x:v>3500</x:v>
      </x:c>
      <x:c r="Z377" s="44" t="n">
        <x:f>IF(I377&gt;0,R377*(J377/I377),0)</x:f>
        <x:v>10000</x:v>
      </x:c>
      <x:c r="AA377" s="44" t="n">
        <x:f>Z377-(R377*E377)</x:f>
        <x:v>2000</x:v>
      </x:c>
      <x:c r="AB377" s="47" t="n">
        <x:f>IFERROR(AA377/Z377,0)</x:f>
        <x:v>0.2</x:v>
      </x:c>
      <x:c r="AC377" s="32" t="str">
        <x:f>IF(S377=0,"0%",IF(S377&lt;0.5,"1-49%",IF(S377&lt;0.8,"50-79%",IF(S377&lt;1,"80-99%","100%"))))</x:f>
        <x:v>100%</x:v>
      </x:c>
      <x:c r="AD377" s="33" t="str">
        <x:f>IF(G377&lt;0,"Stock negativo",IF(G377&lt;=0,"Sin stock actual",IF(I377&lt;=0,"Sin ventas desde compra",IF(Q377&lt;=0,"Con stock, sin ventas 365d",IF(S377&lt;0.5,"Rotación baja",IF(S377&lt;1,"Rotación media","Compra absorbida; stock repuesto"))))))</x:f>
        <x:v>Sin stock actual</x:v>
      </x:c>
    </x:row>
    <x:row r="378">
      <x:c r="A378" s="31" t="str">
        <x:v>MOTS1231</x:v>
      </x:c>
      <x:c r="B378" s="53" t="str">
        <x:v>BALINERA 6300 CM KOYO</x:v>
      </x:c>
      <x:c r="C378" s="32" t="n">
        <x:v>1</x:v>
      </x:c>
      <x:c r="D378" s="38" t="n">
        <x:v>1</x:v>
      </x:c>
      <x:c r="E378" s="44" t="n">
        <x:v>8000</x:v>
      </x:c>
      <x:c r="F378" s="44" t="n">
        <x:v>8000</x:v>
      </x:c>
      <x:c r="G378" s="41" t="n">
        <x:v>0</x:v>
      </x:c>
      <x:c r="H378" s="44" t="n">
        <x:f>MAX(G378,0)*E378</x:f>
        <x:v>0</x:v>
      </x:c>
      <x:c r="I378" s="38" t="n">
        <x:v>1</x:v>
      </x:c>
      <x:c r="J378" s="44" t="n">
        <x:v>13000</x:v>
      </x:c>
      <x:c r="K378" s="32" t="n">
        <x:v>1</x:v>
      </x:c>
      <x:c r="L378" s="50" t="n">
        <x:v>45606.63832175926</x:v>
      </x:c>
      <x:c r="M378" s="50" t="n">
        <x:v>45606.63832175926</x:v>
      </x:c>
      <x:c r="N378" s="32" t="n">
        <x:f>IF(M378="","",MAX(0,'Resumen'!$B$3-M378))</x:f>
        <x:v>660.3616782407407</x:v>
      </x:c>
      <x:c r="O378" s="38" t="n">
        <x:v>0</x:v>
      </x:c>
      <x:c r="P378" s="38" t="n">
        <x:v>0</x:v>
      </x:c>
      <x:c r="Q378" s="38" t="n">
        <x:v>0</x:v>
      </x:c>
      <x:c r="R378" s="38" t="n">
        <x:f>MIN(D378,I378)</x:f>
        <x:v>1</x:v>
      </x:c>
      <x:c r="S378" s="47" t="n">
        <x:f>IFERROR(R378/D378,0)</x:f>
        <x:v>1</x:v>
      </x:c>
      <x:c r="T378" s="38" t="n">
        <x:f>MIN(MAX(G378,0),MAX(D378-I378,0))</x:f>
        <x:v>0</x:v>
      </x:c>
      <x:c r="U378" s="44" t="n">
        <x:f>T378*E378</x:f>
        <x:v>0</x:v>
      </x:c>
      <x:c r="V378" s="38" t="n">
        <x:v>0</x:v>
      </x:c>
      <x:c r="W378" s="32" t="n">
        <x:v>0</x:v>
      </x:c>
      <x:c r="X378" s="50"/>
      <x:c r="Y378" s="44" t="n">
        <x:v>13500</x:v>
      </x:c>
      <x:c r="Z378" s="44" t="n">
        <x:f>IF(I378&gt;0,R378*(J378/I378),0)</x:f>
        <x:v>13000</x:v>
      </x:c>
      <x:c r="AA378" s="44" t="n">
        <x:f>Z378-(R378*E378)</x:f>
        <x:v>5000</x:v>
      </x:c>
      <x:c r="AB378" s="47" t="n">
        <x:f>IFERROR(AA378/Z378,0)</x:f>
        <x:v>0.38461538461538464</x:v>
      </x:c>
      <x:c r="AC378" s="32" t="str">
        <x:f>IF(S378=0,"0%",IF(S378&lt;0.5,"1-49%",IF(S378&lt;0.8,"50-79%",IF(S378&lt;1,"80-99%","100%"))))</x:f>
        <x:v>100%</x:v>
      </x:c>
      <x:c r="AD378" s="33" t="str">
        <x:f>IF(G378&lt;0,"Stock negativo",IF(G378&lt;=0,"Sin stock actual",IF(I378&lt;=0,"Sin ventas desde compra",IF(Q378&lt;=0,"Con stock, sin ventas 365d",IF(S378&lt;0.5,"Rotación baja",IF(S378&lt;1,"Rotación media","Compra absorbida; stock repuesto"))))))</x:f>
        <x:v>Sin stock actual</x:v>
      </x:c>
    </x:row>
    <x:row r="379">
      <x:c r="A379" s="31" t="str">
        <x:v>MOTS1236</x:v>
      </x:c>
      <x:c r="B379" s="53" t="str">
        <x:v>BALINERA 6000 ZZCM KOYO</x:v>
      </x:c>
      <x:c r="C379" s="32" t="n">
        <x:v>1</x:v>
      </x:c>
      <x:c r="D379" s="38" t="n">
        <x:v>2</x:v>
      </x:c>
      <x:c r="E379" s="44" t="n">
        <x:v>4000</x:v>
      </x:c>
      <x:c r="F379" s="44" t="n">
        <x:v>8000</x:v>
      </x:c>
      <x:c r="G379" s="41" t="n">
        <x:v>2</x:v>
      </x:c>
      <x:c r="H379" s="44" t="n">
        <x:f>MAX(G379,0)*E379</x:f>
        <x:v>8000</x:v>
      </x:c>
      <x:c r="I379" s="38" t="n">
        <x:v>0</x:v>
      </x:c>
      <x:c r="J379" s="44" t="n">
        <x:v>0</x:v>
      </x:c>
      <x:c r="K379" s="32" t="n">
        <x:v>0</x:v>
      </x:c>
      <x:c r="L379" s="50"/>
      <x:c r="M379" s="50"/>
      <x:c r="N379" s="32" t="str">
        <x:f>IF(M379="","",MAX(0,'Resumen'!$B$3-M379))</x:f>
      </x:c>
      <x:c r="O379" s="38" t="n">
        <x:v>0</x:v>
      </x:c>
      <x:c r="P379" s="38" t="n">
        <x:v>0</x:v>
      </x:c>
      <x:c r="Q379" s="38" t="n">
        <x:v>0</x:v>
      </x:c>
      <x:c r="R379" s="38" t="n">
        <x:f>MIN(D379,I379)</x:f>
        <x:v>0</x:v>
      </x:c>
      <x:c r="S379" s="47" t="n">
        <x:f>IFERROR(R379/D379,0)</x:f>
        <x:v>0</x:v>
      </x:c>
      <x:c r="T379" s="38" t="n">
        <x:f>MIN(MAX(G379,0),MAX(D379-I379,0))</x:f>
        <x:v>2</x:v>
      </x:c>
      <x:c r="U379" s="44" t="n">
        <x:f>T379*E379</x:f>
        <x:v>8000</x:v>
      </x:c>
      <x:c r="V379" s="38" t="n">
        <x:v>0</x:v>
      </x:c>
      <x:c r="W379" s="32" t="n">
        <x:v>0</x:v>
      </x:c>
      <x:c r="X379" s="50"/>
      <x:c r="Y379" s="44" t="n">
        <x:v>7000</x:v>
      </x:c>
      <x:c r="Z379" s="44" t="n">
        <x:f>IF(I379&gt;0,R379*(J379/I379),0)</x:f>
        <x:v>0</x:v>
      </x:c>
      <x:c r="AA379" s="44" t="n">
        <x:f>Z379-(R379*E379)</x:f>
        <x:v>0</x:v>
      </x:c>
      <x:c r="AB379" s="47" t="n">
        <x:f>IFERROR(AA379/Z379,0)</x:f>
        <x:v>0</x:v>
      </x:c>
      <x:c r="AC379" s="32" t="str">
        <x:f>IF(S379=0,"0%",IF(S379&lt;0.5,"1-49%",IF(S379&lt;0.8,"50-79%",IF(S379&lt;1,"80-99%","100%"))))</x:f>
        <x:v>0%</x:v>
      </x:c>
      <x:c r="AD379" s="33" t="str">
        <x:f>IF(G379&lt;0,"Stock negativo",IF(G379&lt;=0,"Sin stock actual",IF(I379&lt;=0,"Sin ventas desde compra",IF(Q379&lt;=0,"Con stock, sin ventas 365d",IF(S379&lt;0.5,"Rotación baja",IF(S379&lt;1,"Rotación media","Compra absorbida; stock repuesto"))))))</x:f>
        <x:v>Sin ventas desde compra</x:v>
      </x:c>
    </x:row>
    <x:row r="380">
      <x:c r="A380" s="31" t="str">
        <x:v>MOTS1280</x:v>
      </x:c>
      <x:c r="B380" s="53" t="str">
        <x:v>SELLOS VALVULAS ECO</x:v>
      </x:c>
      <x:c r="C380" s="32" t="n">
        <x:v>1</x:v>
      </x:c>
      <x:c r="D380" s="38" t="n">
        <x:v>8</x:v>
      </x:c>
      <x:c r="E380" s="44" t="n">
        <x:v>1000</x:v>
      </x:c>
      <x:c r="F380" s="44" t="n">
        <x:v>8000</x:v>
      </x:c>
      <x:c r="G380" s="41" t="n">
        <x:v>2</x:v>
      </x:c>
      <x:c r="H380" s="44" t="n">
        <x:f>MAX(G380,0)*E380</x:f>
        <x:v>2000</x:v>
      </x:c>
      <x:c r="I380" s="38" t="n">
        <x:v>8</x:v>
      </x:c>
      <x:c r="J380" s="44" t="n">
        <x:v>16000</x:v>
      </x:c>
      <x:c r="K380" s="32" t="n">
        <x:v>3</x:v>
      </x:c>
      <x:c r="L380" s="50" t="n">
        <x:v>45510.000069444446</x:v>
      </x:c>
      <x:c r="M380" s="50" t="n">
        <x:v>45557.72418981481</x:v>
      </x:c>
      <x:c r="N380" s="32" t="n">
        <x:f>IF(M380="","",MAX(0,'Resumen'!$B$3-M380))</x:f>
        <x:v>709.2758101851869</x:v>
      </x:c>
      <x:c r="O380" s="38" t="n">
        <x:v>0</x:v>
      </x:c>
      <x:c r="P380" s="38" t="n">
        <x:v>0</x:v>
      </x:c>
      <x:c r="Q380" s="38" t="n">
        <x:v>0</x:v>
      </x:c>
      <x:c r="R380" s="38" t="n">
        <x:f>MIN(D380,I380)</x:f>
        <x:v>8</x:v>
      </x:c>
      <x:c r="S380" s="47" t="n">
        <x:f>IFERROR(R380/D380,0)</x:f>
        <x:v>1</x:v>
      </x:c>
      <x:c r="T380" s="38" t="n">
        <x:f>MIN(MAX(G380,0),MAX(D380-I380,0))</x:f>
        <x:v>0</x:v>
      </x:c>
      <x:c r="U380" s="44" t="n">
        <x:f>T380*E380</x:f>
        <x:v>0</x:v>
      </x:c>
      <x:c r="V380" s="38" t="n">
        <x:v>2</x:v>
      </x:c>
      <x:c r="W380" s="32" t="n">
        <x:v>1</x:v>
      </x:c>
      <x:c r="X380" s="50" t="n">
        <x:v>45671</x:v>
      </x:c>
      <x:c r="Y380" s="44" t="n">
        <x:v>2000</x:v>
      </x:c>
      <x:c r="Z380" s="44" t="n">
        <x:f>IF(I380&gt;0,R380*(J380/I380),0)</x:f>
        <x:v>16000</x:v>
      </x:c>
      <x:c r="AA380" s="44" t="n">
        <x:f>Z380-(R380*E380)</x:f>
        <x:v>8000</x:v>
      </x:c>
      <x:c r="AB380" s="47" t="n">
        <x:f>IFERROR(AA380/Z380,0)</x:f>
        <x:v>0.5</x:v>
      </x:c>
      <x:c r="AC380" s="32" t="str">
        <x:f>IF(S380=0,"0%",IF(S380&lt;0.5,"1-49%",IF(S380&lt;0.8,"50-79%",IF(S380&lt;1,"80-99%","100%"))))</x:f>
        <x:v>100%</x:v>
      </x:c>
      <x:c r="AD380" s="33" t="str">
        <x:f>IF(G380&lt;0,"Stock negativo",IF(G380&lt;=0,"Sin stock actual",IF(I380&lt;=0,"Sin ventas desde compra",IF(Q380&lt;=0,"Con stock, sin ventas 365d",IF(S380&lt;0.5,"Rotación baja",IF(S380&lt;1,"Rotación media","Compra absorbida; stock repuesto"))))))</x:f>
        <x:v>Con stock, sin ventas 365d</x:v>
      </x:c>
    </x:row>
    <x:row r="381">
      <x:c r="A381" s="31" t="str">
        <x:v>MOTS1291</x:v>
      </x:c>
      <x:c r="B381" s="53" t="str">
        <x:v>DEFENSA CUADRADA DE POSAPIE IND</x:v>
      </x:c>
      <x:c r="C381" s="32" t="n">
        <x:v>1</x:v>
      </x:c>
      <x:c r="D381" s="38" t="n">
        <x:v>4</x:v>
      </x:c>
      <x:c r="E381" s="44" t="n">
        <x:v>2000</x:v>
      </x:c>
      <x:c r="F381" s="44" t="n">
        <x:v>8000</x:v>
      </x:c>
      <x:c r="G381" s="41" t="n">
        <x:v>4</x:v>
      </x:c>
      <x:c r="H381" s="44" t="n">
        <x:f>MAX(G381,0)*E381</x:f>
        <x:v>8000</x:v>
      </x:c>
      <x:c r="I381" s="38" t="n">
        <x:v>0</x:v>
      </x:c>
      <x:c r="J381" s="44" t="n">
        <x:v>0</x:v>
      </x:c>
      <x:c r="K381" s="32" t="n">
        <x:v>0</x:v>
      </x:c>
      <x:c r="L381" s="50"/>
      <x:c r="M381" s="50"/>
      <x:c r="N381" s="32" t="str">
        <x:f>IF(M381="","",MAX(0,'Resumen'!$B$3-M381))</x:f>
      </x:c>
      <x:c r="O381" s="38" t="n">
        <x:v>0</x:v>
      </x:c>
      <x:c r="P381" s="38" t="n">
        <x:v>0</x:v>
      </x:c>
      <x:c r="Q381" s="38" t="n">
        <x:v>0</x:v>
      </x:c>
      <x:c r="R381" s="38" t="n">
        <x:f>MIN(D381,I381)</x:f>
        <x:v>0</x:v>
      </x:c>
      <x:c r="S381" s="47" t="n">
        <x:f>IFERROR(R381/D381,0)</x:f>
        <x:v>0</x:v>
      </x:c>
      <x:c r="T381" s="38" t="n">
        <x:f>MIN(MAX(G381,0),MAX(D381-I381,0))</x:f>
        <x:v>4</x:v>
      </x:c>
      <x:c r="U381" s="44" t="n">
        <x:f>T381*E381</x:f>
        <x:v>8000</x:v>
      </x:c>
      <x:c r="V381" s="38" t="n">
        <x:v>0</x:v>
      </x:c>
      <x:c r="W381" s="32" t="n">
        <x:v>0</x:v>
      </x:c>
      <x:c r="X381" s="50"/>
      <x:c r="Y381" s="44" t="n">
        <x:v>3500</x:v>
      </x:c>
      <x:c r="Z381" s="44" t="n">
        <x:f>IF(I381&gt;0,R381*(J381/I381),0)</x:f>
        <x:v>0</x:v>
      </x:c>
      <x:c r="AA381" s="44" t="n">
        <x:f>Z381-(R381*E381)</x:f>
        <x:v>0</x:v>
      </x:c>
      <x:c r="AB381" s="47" t="n">
        <x:f>IFERROR(AA381/Z381,0)</x:f>
        <x:v>0</x:v>
      </x:c>
      <x:c r="AC381" s="32" t="str">
        <x:f>IF(S381=0,"0%",IF(S381&lt;0.5,"1-49%",IF(S381&lt;0.8,"50-79%",IF(S381&lt;1,"80-99%","100%"))))</x:f>
        <x:v>0%</x:v>
      </x:c>
      <x:c r="AD381" s="33" t="str">
        <x:f>IF(G381&lt;0,"Stock negativo",IF(G381&lt;=0,"Sin stock actual",IF(I381&lt;=0,"Sin ventas desde compra",IF(Q381&lt;=0,"Con stock, sin ventas 365d",IF(S381&lt;0.5,"Rotación baja",IF(S381&lt;1,"Rotación media","Compra absorbida; stock repuesto"))))))</x:f>
        <x:v>Sin ventas desde compra</x:v>
      </x:c>
    </x:row>
    <x:row r="382">
      <x:c r="A382" s="31" t="str">
        <x:v>P1212</x:v>
      </x:c>
      <x:c r="B382" s="53" t="str">
        <x:v>BALINERA 6200 ZZC3 KOYO</x:v>
      </x:c>
      <x:c r="C382" s="32" t="n">
        <x:v>1</x:v>
      </x:c>
      <x:c r="D382" s="38" t="n">
        <x:v>2</x:v>
      </x:c>
      <x:c r="E382" s="44" t="n">
        <x:v>4000</x:v>
      </x:c>
      <x:c r="F382" s="44" t="n">
        <x:v>8000</x:v>
      </x:c>
      <x:c r="G382" s="41" t="n">
        <x:v>2</x:v>
      </x:c>
      <x:c r="H382" s="44" t="n">
        <x:f>MAX(G382,0)*E382</x:f>
        <x:v>8000</x:v>
      </x:c>
      <x:c r="I382" s="38" t="n">
        <x:v>0</x:v>
      </x:c>
      <x:c r="J382" s="44" t="n">
        <x:v>0</x:v>
      </x:c>
      <x:c r="K382" s="32" t="n">
        <x:v>0</x:v>
      </x:c>
      <x:c r="L382" s="50"/>
      <x:c r="M382" s="50"/>
      <x:c r="N382" s="32" t="str">
        <x:f>IF(M382="","",MAX(0,'Resumen'!$B$3-M382))</x:f>
      </x:c>
      <x:c r="O382" s="38" t="n">
        <x:v>0</x:v>
      </x:c>
      <x:c r="P382" s="38" t="n">
        <x:v>0</x:v>
      </x:c>
      <x:c r="Q382" s="38" t="n">
        <x:v>0</x:v>
      </x:c>
      <x:c r="R382" s="38" t="n">
        <x:f>MIN(D382,I382)</x:f>
        <x:v>0</x:v>
      </x:c>
      <x:c r="S382" s="47" t="n">
        <x:f>IFERROR(R382/D382,0)</x:f>
        <x:v>0</x:v>
      </x:c>
      <x:c r="T382" s="38" t="n">
        <x:f>MIN(MAX(G382,0),MAX(D382-I382,0))</x:f>
        <x:v>2</x:v>
      </x:c>
      <x:c r="U382" s="44" t="n">
        <x:f>T382*E382</x:f>
        <x:v>8000</x:v>
      </x:c>
      <x:c r="V382" s="38" t="n">
        <x:v>0</x:v>
      </x:c>
      <x:c r="W382" s="32" t="n">
        <x:v>0</x:v>
      </x:c>
      <x:c r="X382" s="50"/>
      <x:c r="Y382" s="44" t="n">
        <x:v>6000</x:v>
      </x:c>
      <x:c r="Z382" s="44" t="n">
        <x:f>IF(I382&gt;0,R382*(J382/I382),0)</x:f>
        <x:v>0</x:v>
      </x:c>
      <x:c r="AA382" s="44" t="n">
        <x:f>Z382-(R382*E382)</x:f>
        <x:v>0</x:v>
      </x:c>
      <x:c r="AB382" s="47" t="n">
        <x:f>IFERROR(AA382/Z382,0)</x:f>
        <x:v>0</x:v>
      </x:c>
      <x:c r="AC382" s="32" t="str">
        <x:f>IF(S382=0,"0%",IF(S382&lt;0.5,"1-49%",IF(S382&lt;0.8,"50-79%",IF(S382&lt;1,"80-99%","100%"))))</x:f>
        <x:v>0%</x:v>
      </x:c>
      <x:c r="AD382" s="33" t="str">
        <x:f>IF(G382&lt;0,"Stock negativo",IF(G382&lt;=0,"Sin stock actual",IF(I382&lt;=0,"Sin ventas desde compra",IF(Q382&lt;=0,"Con stock, sin ventas 365d",IF(S382&lt;0.5,"Rotación baja",IF(S382&lt;1,"Rotación media","Compra absorbida; stock repuesto"))))))</x:f>
        <x:v>Sin ventas desde compra</x:v>
      </x:c>
    </x:row>
    <x:row r="383">
      <x:c r="A383" s="31" t="str">
        <x:v>MOTS1027</x:v>
      </x:c>
      <x:c r="B383" s="53" t="str">
        <x:v>CAUCHO AMORTIGUADOR BUJE 12 MM</x:v>
      </x:c>
      <x:c r="C383" s="32" t="n">
        <x:v>1</x:v>
      </x:c>
      <x:c r="D383" s="38" t="n">
        <x:v>5</x:v>
      </x:c>
      <x:c r="E383" s="44" t="n">
        <x:v>1550</x:v>
      </x:c>
      <x:c r="F383" s="44" t="n">
        <x:v>7750</x:v>
      </x:c>
      <x:c r="G383" s="41" t="n">
        <x:v>2</x:v>
      </x:c>
      <x:c r="H383" s="44" t="n">
        <x:f>MAX(G383,0)*E383</x:f>
        <x:v>3100</x:v>
      </x:c>
      <x:c r="I383" s="38" t="n">
        <x:v>5</x:v>
      </x:c>
      <x:c r="J383" s="44" t="n">
        <x:v>15000</x:v>
      </x:c>
      <x:c r="K383" s="32" t="n">
        <x:v>3</x:v>
      </x:c>
      <x:c r="L383" s="50" t="n">
        <x:v>45515.6496875</x:v>
      </x:c>
      <x:c r="M383" s="50" t="n">
        <x:v>45614.70002314815</x:v>
      </x:c>
      <x:c r="N383" s="32" t="n">
        <x:f>IF(M383="","",MAX(0,'Resumen'!$B$3-M383))</x:f>
        <x:v>652.2999768518494</x:v>
      </x:c>
      <x:c r="O383" s="38" t="n">
        <x:v>0</x:v>
      </x:c>
      <x:c r="P383" s="38" t="n">
        <x:v>0</x:v>
      </x:c>
      <x:c r="Q383" s="38" t="n">
        <x:v>0</x:v>
      </x:c>
      <x:c r="R383" s="38" t="n">
        <x:f>MIN(D383,I383)</x:f>
        <x:v>5</x:v>
      </x:c>
      <x:c r="S383" s="47" t="n">
        <x:f>IFERROR(R383/D383,0)</x:f>
        <x:v>1</x:v>
      </x:c>
      <x:c r="T383" s="38" t="n">
        <x:f>MIN(MAX(G383,0),MAX(D383-I383,0))</x:f>
        <x:v>0</x:v>
      </x:c>
      <x:c r="U383" s="44" t="n">
        <x:f>T383*E383</x:f>
        <x:v>0</x:v>
      </x:c>
      <x:c r="V383" s="38" t="n">
        <x:v>4</x:v>
      </x:c>
      <x:c r="W383" s="32" t="n">
        <x:v>1</x:v>
      </x:c>
      <x:c r="X383" s="50" t="n">
        <x:v>45553</x:v>
      </x:c>
      <x:c r="Y383" s="44" t="n">
        <x:v>3000</x:v>
      </x:c>
      <x:c r="Z383" s="44" t="n">
        <x:f>IF(I383&gt;0,R383*(J383/I383),0)</x:f>
        <x:v>15000</x:v>
      </x:c>
      <x:c r="AA383" s="44" t="n">
        <x:f>Z383-(R383*E383)</x:f>
        <x:v>7250</x:v>
      </x:c>
      <x:c r="AB383" s="47" t="n">
        <x:f>IFERROR(AA383/Z383,0)</x:f>
        <x:v>0.48333333333333334</x:v>
      </x:c>
      <x:c r="AC383" s="32" t="str">
        <x:f>IF(S383=0,"0%",IF(S383&lt;0.5,"1-49%",IF(S383&lt;0.8,"50-79%",IF(S383&lt;1,"80-99%","100%"))))</x:f>
        <x:v>100%</x:v>
      </x:c>
      <x:c r="AD383" s="33" t="str">
        <x:f>IF(G383&lt;0,"Stock negativo",IF(G383&lt;=0,"Sin stock actual",IF(I383&lt;=0,"Sin ventas desde compra",IF(Q383&lt;=0,"Con stock, sin ventas 365d",IF(S383&lt;0.5,"Rotación baja",IF(S383&lt;1,"Rotación media","Compra absorbida; stock repuesto"))))))</x:f>
        <x:v>Con stock, sin ventas 365d</x:v>
      </x:c>
    </x:row>
    <x:row r="384">
      <x:c r="A384" s="31" t="str">
        <x:v>CAL - 020</x:v>
      </x:c>
      <x:c r="B384" s="53" t="str">
        <x:v>REPOSA PIE TRA XTZ 125 PAR</x:v>
      </x:c>
      <x:c r="C384" s="32" t="n">
        <x:v>1</x:v>
      </x:c>
      <x:c r="D384" s="38" t="n">
        <x:v>1</x:v>
      </x:c>
      <x:c r="E384" s="44" t="n">
        <x:v>7700</x:v>
      </x:c>
      <x:c r="F384" s="44" t="n">
        <x:v>7700</x:v>
      </x:c>
      <x:c r="G384" s="41" t="n">
        <x:v>0</x:v>
      </x:c>
      <x:c r="H384" s="44" t="n">
        <x:f>MAX(G384,0)*E384</x:f>
        <x:v>0</x:v>
      </x:c>
      <x:c r="I384" s="38" t="n">
        <x:v>1</x:v>
      </x:c>
      <x:c r="J384" s="44" t="n">
        <x:v>13000</x:v>
      </x:c>
      <x:c r="K384" s="32" t="n">
        <x:v>1</x:v>
      </x:c>
      <x:c r="L384" s="50" t="n">
        <x:v>45500.90010416666</x:v>
      </x:c>
      <x:c r="M384" s="50" t="n">
        <x:v>45500.90010416666</x:v>
      </x:c>
      <x:c r="N384" s="32" t="n">
        <x:f>IF(M384="","",MAX(0,'Resumen'!$B$3-M384))</x:f>
        <x:v>766.0998958333366</x:v>
      </x:c>
      <x:c r="O384" s="38" t="n">
        <x:v>0</x:v>
      </x:c>
      <x:c r="P384" s="38" t="n">
        <x:v>0</x:v>
      </x:c>
      <x:c r="Q384" s="38" t="n">
        <x:v>0</x:v>
      </x:c>
      <x:c r="R384" s="38" t="n">
        <x:f>MIN(D384,I384)</x:f>
        <x:v>1</x:v>
      </x:c>
      <x:c r="S384" s="47" t="n">
        <x:f>IFERROR(R384/D384,0)</x:f>
        <x:v>1</x:v>
      </x:c>
      <x:c r="T384" s="38" t="n">
        <x:f>MIN(MAX(G384,0),MAX(D384-I384,0))</x:f>
        <x:v>0</x:v>
      </x:c>
      <x:c r="U384" s="44" t="n">
        <x:f>T384*E384</x:f>
        <x:v>0</x:v>
      </x:c>
      <x:c r="V384" s="38" t="n">
        <x:v>0</x:v>
      </x:c>
      <x:c r="W384" s="32" t="n">
        <x:v>0</x:v>
      </x:c>
      <x:c r="X384" s="50"/>
      <x:c r="Y384" s="44" t="n">
        <x:v>13000</x:v>
      </x:c>
      <x:c r="Z384" s="44" t="n">
        <x:f>IF(I384&gt;0,R384*(J384/I384),0)</x:f>
        <x:v>13000</x:v>
      </x:c>
      <x:c r="AA384" s="44" t="n">
        <x:f>Z384-(R384*E384)</x:f>
        <x:v>5300</x:v>
      </x:c>
      <x:c r="AB384" s="47" t="n">
        <x:f>IFERROR(AA384/Z384,0)</x:f>
        <x:v>0.4076923076923077</x:v>
      </x:c>
      <x:c r="AC384" s="32" t="str">
        <x:f>IF(S384=0,"0%",IF(S384&lt;0.5,"1-49%",IF(S384&lt;0.8,"50-79%",IF(S384&lt;1,"80-99%","100%"))))</x:f>
        <x:v>100%</x:v>
      </x:c>
      <x:c r="AD384" s="33" t="str">
        <x:f>IF(G384&lt;0,"Stock negativo",IF(G384&lt;=0,"Sin stock actual",IF(I384&lt;=0,"Sin ventas desde compra",IF(Q384&lt;=0,"Con stock, sin ventas 365d",IF(S384&lt;0.5,"Rotación baja",IF(S384&lt;1,"Rotación media","Compra absorbida; stock repuesto"))))))</x:f>
        <x:v>Sin stock actual</x:v>
      </x:c>
    </x:row>
    <x:row r="385">
      <x:c r="A385" s="31" t="str">
        <x:v>TOR - 0458</x:v>
      </x:c>
      <x:c r="B385" s="53" t="str">
        <x:v>TORNILLO BRISTOL 6 X60 TORNIFRENOS</x:v>
      </x:c>
      <x:c r="C385" s="32" t="n">
        <x:v>1</x:v>
      </x:c>
      <x:c r="D385" s="38" t="n">
        <x:v>20</x:v>
      </x:c>
      <x:c r="E385" s="44" t="n">
        <x:v>385</x:v>
      </x:c>
      <x:c r="F385" s="44" t="n">
        <x:v>7700</x:v>
      </x:c>
      <x:c r="G385" s="41" t="n">
        <x:v>18</x:v>
      </x:c>
      <x:c r="H385" s="44" t="n">
        <x:f>MAX(G385,0)*E385</x:f>
        <x:v>6930</x:v>
      </x:c>
      <x:c r="I385" s="38" t="n">
        <x:v>2</x:v>
      </x:c>
      <x:c r="J385" s="44" t="n">
        <x:v>1400</x:v>
      </x:c>
      <x:c r="K385" s="32" t="n">
        <x:v>2</x:v>
      </x:c>
      <x:c r="L385" s="50" t="n">
        <x:v>45626.71974537037</x:v>
      </x:c>
      <x:c r="M385" s="50" t="n">
        <x:v>45638.83503472222</x:v>
      </x:c>
      <x:c r="N385" s="32" t="n">
        <x:f>IF(M385="","",MAX(0,'Resumen'!$B$3-M385))</x:f>
        <x:v>628.1649652777778</x:v>
      </x:c>
      <x:c r="O385" s="38" t="n">
        <x:v>0</x:v>
      </x:c>
      <x:c r="P385" s="38" t="n">
        <x:v>0</x:v>
      </x:c>
      <x:c r="Q385" s="38" t="n">
        <x:v>0</x:v>
      </x:c>
      <x:c r="R385" s="38" t="n">
        <x:f>MIN(D385,I385)</x:f>
        <x:v>2</x:v>
      </x:c>
      <x:c r="S385" s="47" t="n">
        <x:f>IFERROR(R385/D385,0)</x:f>
        <x:v>0.1</x:v>
      </x:c>
      <x:c r="T385" s="38" t="n">
        <x:f>MIN(MAX(G385,0),MAX(D385-I385,0))</x:f>
        <x:v>18</x:v>
      </x:c>
      <x:c r="U385" s="44" t="n">
        <x:f>T385*E385</x:f>
        <x:v>6930</x:v>
      </x:c>
      <x:c r="V385" s="38" t="n">
        <x:v>0</x:v>
      </x:c>
      <x:c r="W385" s="32" t="n">
        <x:v>0</x:v>
      </x:c>
      <x:c r="X385" s="50"/>
      <x:c r="Y385" s="44" t="n">
        <x:v>700</x:v>
      </x:c>
      <x:c r="Z385" s="44" t="n">
        <x:f>IF(I385&gt;0,R385*(J385/I385),0)</x:f>
        <x:v>1400</x:v>
      </x:c>
      <x:c r="AA385" s="44" t="n">
        <x:f>Z385-(R385*E385)</x:f>
        <x:v>630</x:v>
      </x:c>
      <x:c r="AB385" s="47" t="n">
        <x:f>IFERROR(AA385/Z385,0)</x:f>
        <x:v>0.45</x:v>
      </x:c>
      <x:c r="AC385" s="32" t="str">
        <x:f>IF(S385=0,"0%",IF(S385&lt;0.5,"1-49%",IF(S385&lt;0.8,"50-79%",IF(S385&lt;1,"80-99%","100%"))))</x:f>
        <x:v>1-49%</x:v>
      </x:c>
      <x:c r="AD385" s="33" t="str">
        <x:f>IF(G385&lt;0,"Stock negativo",IF(G385&lt;=0,"Sin stock actual",IF(I385&lt;=0,"Sin ventas desde compra",IF(Q385&lt;=0,"Con stock, sin ventas 365d",IF(S385&lt;0.5,"Rotación baja",IF(S385&lt;1,"Rotación media","Compra absorbida; stock repuesto"))))))</x:f>
        <x:v>Con stock, sin ventas 365d</x:v>
      </x:c>
    </x:row>
    <x:row r="386">
      <x:c r="A386" s="31" t="str">
        <x:v>TOR - 0460</x:v>
      </x:c>
      <x:c r="B386" s="53" t="str">
        <x:v>TORNILLO BRISTOL 6 X70 TORNIFRENOS</x:v>
      </x:c>
      <x:c r="C386" s="32" t="n">
        <x:v>1</x:v>
      </x:c>
      <x:c r="D386" s="38" t="n">
        <x:v>20</x:v>
      </x:c>
      <x:c r="E386" s="44" t="n">
        <x:v>382</x:v>
      </x:c>
      <x:c r="F386" s="44" t="n">
        <x:v>7640</x:v>
      </x:c>
      <x:c r="G386" s="41" t="n">
        <x:v>20</x:v>
      </x:c>
      <x:c r="H386" s="44" t="n">
        <x:f>MAX(G386,0)*E386</x:f>
        <x:v>7640</x:v>
      </x:c>
      <x:c r="I386" s="38" t="n">
        <x:v>1</x:v>
      </x:c>
      <x:c r="J386" s="44" t="n">
        <x:v>700</x:v>
      </x:c>
      <x:c r="K386" s="32" t="n">
        <x:v>1</x:v>
      </x:c>
      <x:c r="L386" s="50" t="n">
        <x:v>45990.9969212963</x:v>
      </x:c>
      <x:c r="M386" s="50" t="n">
        <x:v>45990.9969212963</x:v>
      </x:c>
      <x:c r="N386" s="32" t="n">
        <x:f>IF(M386="","",MAX(0,'Resumen'!$B$3-M386))</x:f>
        <x:v>276.00307870370307</x:v>
      </x:c>
      <x:c r="O386" s="38" t="n">
        <x:v>0</x:v>
      </x:c>
      <x:c r="P386" s="38" t="n">
        <x:v>0</x:v>
      </x:c>
      <x:c r="Q386" s="38" t="n">
        <x:v>1</x:v>
      </x:c>
      <x:c r="R386" s="38" t="n">
        <x:f>MIN(D386,I386)</x:f>
        <x:v>1</x:v>
      </x:c>
      <x:c r="S386" s="47" t="n">
        <x:f>IFERROR(R386/D386,0)</x:f>
        <x:v>0.05</x:v>
      </x:c>
      <x:c r="T386" s="38" t="n">
        <x:f>MIN(MAX(G386,0),MAX(D386-I386,0))</x:f>
        <x:v>19</x:v>
      </x:c>
      <x:c r="U386" s="44" t="n">
        <x:f>T386*E386</x:f>
        <x:v>7258</x:v>
      </x:c>
      <x:c r="V386" s="38" t="n">
        <x:v>1</x:v>
      </x:c>
      <x:c r="W386" s="32" t="n">
        <x:v>1</x:v>
      </x:c>
      <x:c r="X386" s="50" t="n">
        <x:v>45989</x:v>
      </x:c>
      <x:c r="Y386" s="44" t="n">
        <x:v>700</x:v>
      </x:c>
      <x:c r="Z386" s="44" t="n">
        <x:f>IF(I386&gt;0,R386*(J386/I386),0)</x:f>
        <x:v>700</x:v>
      </x:c>
      <x:c r="AA386" s="44" t="n">
        <x:f>Z386-(R386*E386)</x:f>
        <x:v>318</x:v>
      </x:c>
      <x:c r="AB386" s="47" t="n">
        <x:f>IFERROR(AA386/Z386,0)</x:f>
        <x:v>0.4542857142857143</x:v>
      </x:c>
      <x:c r="AC386" s="32" t="str">
        <x:f>IF(S386=0,"0%",IF(S386&lt;0.5,"1-49%",IF(S386&lt;0.8,"50-79%",IF(S386&lt;1,"80-99%","100%"))))</x:f>
        <x:v>1-49%</x:v>
      </x:c>
      <x:c r="AD386" s="33" t="str">
        <x:f>IF(G386&lt;0,"Stock negativo",IF(G386&lt;=0,"Sin stock actual",IF(I386&lt;=0,"Sin ventas desde compra",IF(Q386&lt;=0,"Con stock, sin ventas 365d",IF(S386&lt;0.5,"Rotación baja",IF(S386&lt;1,"Rotación media","Compra absorbida; stock repuesto"))))))</x:f>
        <x:v>Rotación baja</x:v>
      </x:c>
    </x:row>
    <x:row r="387">
      <x:c r="A387" s="31" t="str">
        <x:v>MOTS1036</x:v>
      </x:c>
      <x:c r="B387" s="53" t="str">
        <x:v>CUÑAS DE VALVULA</x:v>
      </x:c>
      <x:c r="C387" s="32" t="n">
        <x:v>1</x:v>
      </x:c>
      <x:c r="D387" s="38" t="n">
        <x:v>19</x:v>
      </x:c>
      <x:c r="E387" s="44" t="n">
        <x:v>400</x:v>
      </x:c>
      <x:c r="F387" s="44" t="n">
        <x:v>7600</x:v>
      </x:c>
      <x:c r="G387" s="41" t="n">
        <x:v>19</x:v>
      </x:c>
      <x:c r="H387" s="44" t="n">
        <x:f>MAX(G387,0)*E387</x:f>
        <x:v>7600</x:v>
      </x:c>
      <x:c r="I387" s="38" t="n">
        <x:v>0</x:v>
      </x:c>
      <x:c r="J387" s="44" t="n">
        <x:v>0</x:v>
      </x:c>
      <x:c r="K387" s="32" t="n">
        <x:v>0</x:v>
      </x:c>
      <x:c r="L387" s="50"/>
      <x:c r="M387" s="50"/>
      <x:c r="N387" s="32" t="str">
        <x:f>IF(M387="","",MAX(0,'Resumen'!$B$3-M387))</x:f>
      </x:c>
      <x:c r="O387" s="38" t="n">
        <x:v>0</x:v>
      </x:c>
      <x:c r="P387" s="38" t="n">
        <x:v>0</x:v>
      </x:c>
      <x:c r="Q387" s="38" t="n">
        <x:v>0</x:v>
      </x:c>
      <x:c r="R387" s="38" t="n">
        <x:f>MIN(D387,I387)</x:f>
        <x:v>0</x:v>
      </x:c>
      <x:c r="S387" s="47" t="n">
        <x:f>IFERROR(R387/D387,0)</x:f>
        <x:v>0</x:v>
      </x:c>
      <x:c r="T387" s="38" t="n">
        <x:f>MIN(MAX(G387,0),MAX(D387-I387,0))</x:f>
        <x:v>19</x:v>
      </x:c>
      <x:c r="U387" s="44" t="n">
        <x:f>T387*E387</x:f>
        <x:v>7600</x:v>
      </x:c>
      <x:c r="V387" s="38" t="n">
        <x:v>0</x:v>
      </x:c>
      <x:c r="W387" s="32" t="n">
        <x:v>0</x:v>
      </x:c>
      <x:c r="X387" s="50"/>
      <x:c r="Y387" s="44" t="n">
        <x:v>700</x:v>
      </x:c>
      <x:c r="Z387" s="44" t="n">
        <x:f>IF(I387&gt;0,R387*(J387/I387),0)</x:f>
        <x:v>0</x:v>
      </x:c>
      <x:c r="AA387" s="44" t="n">
        <x:f>Z387-(R387*E387)</x:f>
        <x:v>0</x:v>
      </x:c>
      <x:c r="AB387" s="47" t="n">
        <x:f>IFERROR(AA387/Z387,0)</x:f>
        <x:v>0</x:v>
      </x:c>
      <x:c r="AC387" s="32" t="str">
        <x:f>IF(S387=0,"0%",IF(S387&lt;0.5,"1-49%",IF(S387&lt;0.8,"50-79%",IF(S387&lt;1,"80-99%","100%"))))</x:f>
        <x:v>0%</x:v>
      </x:c>
      <x:c r="AD387" s="33" t="str">
        <x:f>IF(G387&lt;0,"Stock negativo",IF(G387&lt;=0,"Sin stock actual",IF(I387&lt;=0,"Sin ventas desde compra",IF(Q387&lt;=0,"Con stock, sin ventas 365d",IF(S387&lt;0.5,"Rotación baja",IF(S387&lt;1,"Rotación media","Compra absorbida; stock repuesto"))))))</x:f>
        <x:v>Sin ventas desde compra</x:v>
      </x:c>
    </x:row>
    <x:row r="388">
      <x:c r="A388" s="31" t="str">
        <x:v>4213</x:v>
      </x:c>
      <x:c r="B388" s="53" t="str">
        <x:v>TORNILLO FLANGE 6X 65 LLAVE 8 TORNIFRENOS</x:v>
      </x:c>
      <x:c r="C388" s="32" t="n">
        <x:v>1</x:v>
      </x:c>
      <x:c r="D388" s="38" t="n">
        <x:v>11</x:v>
      </x:c>
      <x:c r="E388" s="44" t="n">
        <x:v>683</x:v>
      </x:c>
      <x:c r="F388" s="44" t="n">
        <x:v>7513</x:v>
      </x:c>
      <x:c r="G388" s="41" t="n">
        <x:v>11</x:v>
      </x:c>
      <x:c r="H388" s="44" t="n">
        <x:f>MAX(G388,0)*E388</x:f>
        <x:v>7513</x:v>
      </x:c>
      <x:c r="I388" s="38" t="n">
        <x:v>0</x:v>
      </x:c>
      <x:c r="J388" s="44" t="n">
        <x:v>0</x:v>
      </x:c>
      <x:c r="K388" s="32" t="n">
        <x:v>0</x:v>
      </x:c>
      <x:c r="L388" s="50"/>
      <x:c r="M388" s="50"/>
      <x:c r="N388" s="32" t="str">
        <x:f>IF(M388="","",MAX(0,'Resumen'!$B$3-M388))</x:f>
      </x:c>
      <x:c r="O388" s="38" t="n">
        <x:v>0</x:v>
      </x:c>
      <x:c r="P388" s="38" t="n">
        <x:v>0</x:v>
      </x:c>
      <x:c r="Q388" s="38" t="n">
        <x:v>0</x:v>
      </x:c>
      <x:c r="R388" s="38" t="n">
        <x:f>MIN(D388,I388)</x:f>
        <x:v>0</x:v>
      </x:c>
      <x:c r="S388" s="47" t="n">
        <x:f>IFERROR(R388/D388,0)</x:f>
        <x:v>0</x:v>
      </x:c>
      <x:c r="T388" s="38" t="n">
        <x:f>MIN(MAX(G388,0),MAX(D388-I388,0))</x:f>
        <x:v>11</x:v>
      </x:c>
      <x:c r="U388" s="44" t="n">
        <x:f>T388*E388</x:f>
        <x:v>7513</x:v>
      </x:c>
      <x:c r="V388" s="38" t="n">
        <x:v>0</x:v>
      </x:c>
      <x:c r="W388" s="32" t="n">
        <x:v>0</x:v>
      </x:c>
      <x:c r="X388" s="50"/>
      <x:c r="Y388" s="44" t="n">
        <x:v>1500</x:v>
      </x:c>
      <x:c r="Z388" s="44" t="n">
        <x:f>IF(I388&gt;0,R388*(J388/I388),0)</x:f>
        <x:v>0</x:v>
      </x:c>
      <x:c r="AA388" s="44" t="n">
        <x:f>Z388-(R388*E388)</x:f>
        <x:v>0</x:v>
      </x:c>
      <x:c r="AB388" s="47" t="n">
        <x:f>IFERROR(AA388/Z388,0)</x:f>
        <x:v>0</x:v>
      </x:c>
      <x:c r="AC388" s="32" t="str">
        <x:f>IF(S388=0,"0%",IF(S388&lt;0.5,"1-49%",IF(S388&lt;0.8,"50-79%",IF(S388&lt;1,"80-99%","100%"))))</x:f>
        <x:v>0%</x:v>
      </x:c>
      <x:c r="AD388" s="33" t="str">
        <x:f>IF(G388&lt;0,"Stock negativo",IF(G388&lt;=0,"Sin stock actual",IF(I388&lt;=0,"Sin ventas desde compra",IF(Q388&lt;=0,"Con stock, sin ventas 365d",IF(S388&lt;0.5,"Rotación baja",IF(S388&lt;1,"Rotación media","Compra absorbida; stock repuesto"))))))</x:f>
        <x:v>Sin ventas desde compra</x:v>
      </x:c>
    </x:row>
    <x:row r="389">
      <x:c r="A389" s="31" t="str">
        <x:v>D122</x:v>
      </x:c>
      <x:c r="B389" s="53" t="str">
        <x:v>RESTAURADOR PARTES NEGRAS, NEGRO PERFECTO, PISTA</x:v>
      </x:c>
      <x:c r="C389" s="32" t="n">
        <x:v>1</x:v>
      </x:c>
      <x:c r="D389" s="38" t="n">
        <x:v>1</x:v>
      </x:c>
      <x:c r="E389" s="44" t="n">
        <x:v>7500</x:v>
      </x:c>
      <x:c r="F389" s="44" t="n">
        <x:v>7500</x:v>
      </x:c>
      <x:c r="G389" s="41" t="n">
        <x:v>0</x:v>
      </x:c>
      <x:c r="H389" s="44" t="n">
        <x:f>MAX(G389,0)*E389</x:f>
        <x:v>0</x:v>
      </x:c>
      <x:c r="I389" s="38" t="n">
        <x:v>1</x:v>
      </x:c>
      <x:c r="J389" s="44" t="n">
        <x:v>12000</x:v>
      </x:c>
      <x:c r="K389" s="32" t="n">
        <x:v>1</x:v>
      </x:c>
      <x:c r="L389" s="50" t="n">
        <x:v>45592.715833333335</x:v>
      </x:c>
      <x:c r="M389" s="50" t="n">
        <x:v>45592.715833333335</x:v>
      </x:c>
      <x:c r="N389" s="32" t="n">
        <x:f>IF(M389="","",MAX(0,'Resumen'!$B$3-M389))</x:f>
        <x:v>674.2841666666645</x:v>
      </x:c>
      <x:c r="O389" s="38" t="n">
        <x:v>0</x:v>
      </x:c>
      <x:c r="P389" s="38" t="n">
        <x:v>0</x:v>
      </x:c>
      <x:c r="Q389" s="38" t="n">
        <x:v>0</x:v>
      </x:c>
      <x:c r="R389" s="38" t="n">
        <x:f>MIN(D389,I389)</x:f>
        <x:v>1</x:v>
      </x:c>
      <x:c r="S389" s="47" t="n">
        <x:f>IFERROR(R389/D389,0)</x:f>
        <x:v>1</x:v>
      </x:c>
      <x:c r="T389" s="38" t="n">
        <x:f>MIN(MAX(G389,0),MAX(D389-I389,0))</x:f>
        <x:v>0</x:v>
      </x:c>
      <x:c r="U389" s="44" t="n">
        <x:f>T389*E389</x:f>
        <x:v>0</x:v>
      </x:c>
      <x:c r="V389" s="38" t="n">
        <x:v>0</x:v>
      </x:c>
      <x:c r="W389" s="32" t="n">
        <x:v>0</x:v>
      </x:c>
      <x:c r="X389" s="50"/>
      <x:c r="Y389" s="44" t="n">
        <x:v>12500</x:v>
      </x:c>
      <x:c r="Z389" s="44" t="n">
        <x:f>IF(I389&gt;0,R389*(J389/I389),0)</x:f>
        <x:v>12000</x:v>
      </x:c>
      <x:c r="AA389" s="44" t="n">
        <x:f>Z389-(R389*E389)</x:f>
        <x:v>4500</x:v>
      </x:c>
      <x:c r="AB389" s="47" t="n">
        <x:f>IFERROR(AA389/Z389,0)</x:f>
        <x:v>0.375</x:v>
      </x:c>
      <x:c r="AC389" s="32" t="str">
        <x:f>IF(S389=0,"0%",IF(S389&lt;0.5,"1-49%",IF(S389&lt;0.8,"50-79%",IF(S389&lt;1,"80-99%","100%"))))</x:f>
        <x:v>100%</x:v>
      </x:c>
      <x:c r="AD389" s="33" t="str">
        <x:f>IF(G389&lt;0,"Stock negativo",IF(G389&lt;=0,"Sin stock actual",IF(I389&lt;=0,"Sin ventas desde compra",IF(Q389&lt;=0,"Con stock, sin ventas 365d",IF(S389&lt;0.5,"Rotación baja",IF(S389&lt;1,"Rotación media","Compra absorbida; stock repuesto"))))))</x:f>
        <x:v>Sin stock actual</x:v>
      </x:c>
    </x:row>
    <x:row r="390">
      <x:c r="A390" s="31" t="str">
        <x:v>FIL - 00131</x:v>
      </x:c>
      <x:c r="B390" s="53" t="str">
        <x:v>FILTRO AIRE DTK 125 - 175 GRAYONES FILTROS</x:v>
      </x:c>
      <x:c r="C390" s="32" t="n">
        <x:v>1</x:v>
      </x:c>
      <x:c r="D390" s="38" t="n">
        <x:v>3</x:v>
      </x:c>
      <x:c r="E390" s="44" t="n">
        <x:v>2500</x:v>
      </x:c>
      <x:c r="F390" s="44" t="n">
        <x:v>7500</x:v>
      </x:c>
      <x:c r="G390" s="41" t="n">
        <x:v>2</x:v>
      </x:c>
      <x:c r="H390" s="44" t="n">
        <x:f>MAX(G390,0)*E390</x:f>
        <x:v>5000</x:v>
      </x:c>
      <x:c r="I390" s="38" t="n">
        <x:v>1</x:v>
      </x:c>
      <x:c r="J390" s="44" t="n">
        <x:v>4000</x:v>
      </x:c>
      <x:c r="K390" s="32" t="n">
        <x:v>1</x:v>
      </x:c>
      <x:c r="L390" s="50" t="n">
        <x:v>45884.55991898148</x:v>
      </x:c>
      <x:c r="M390" s="50" t="n">
        <x:v>45884.55991898148</x:v>
      </x:c>
      <x:c r="N390" s="32" t="n">
        <x:f>IF(M390="","",MAX(0,'Resumen'!$B$3-M390))</x:f>
        <x:v>382.44008101851796</x:v>
      </x:c>
      <x:c r="O390" s="38" t="n">
        <x:v>0</x:v>
      </x:c>
      <x:c r="P390" s="38" t="n">
        <x:v>0</x:v>
      </x:c>
      <x:c r="Q390" s="38" t="n">
        <x:v>0</x:v>
      </x:c>
      <x:c r="R390" s="38" t="n">
        <x:f>MIN(D390,I390)</x:f>
        <x:v>1</x:v>
      </x:c>
      <x:c r="S390" s="47" t="n">
        <x:f>IFERROR(R390/D390,0)</x:f>
        <x:v>0.3333333333333333</x:v>
      </x:c>
      <x:c r="T390" s="38" t="n">
        <x:f>MIN(MAX(G390,0),MAX(D390-I390,0))</x:f>
        <x:v>2</x:v>
      </x:c>
      <x:c r="U390" s="44" t="n">
        <x:f>T390*E390</x:f>
        <x:v>5000</x:v>
      </x:c>
      <x:c r="V390" s="38" t="n">
        <x:v>0</x:v>
      </x:c>
      <x:c r="W390" s="32" t="n">
        <x:v>0</x:v>
      </x:c>
      <x:c r="X390" s="50"/>
      <x:c r="Y390" s="44" t="n">
        <x:v>4500</x:v>
      </x:c>
      <x:c r="Z390" s="44" t="n">
        <x:f>IF(I390&gt;0,R390*(J390/I390),0)</x:f>
        <x:v>4000</x:v>
      </x:c>
      <x:c r="AA390" s="44" t="n">
        <x:f>Z390-(R390*E390)</x:f>
        <x:v>1500</x:v>
      </x:c>
      <x:c r="AB390" s="47" t="n">
        <x:f>IFERROR(AA390/Z390,0)</x:f>
        <x:v>0.375</x:v>
      </x:c>
      <x:c r="AC390" s="32" t="str">
        <x:f>IF(S390=0,"0%",IF(S390&lt;0.5,"1-49%",IF(S390&lt;0.8,"50-79%",IF(S390&lt;1,"80-99%","100%"))))</x:f>
        <x:v>1-49%</x:v>
      </x:c>
      <x:c r="AD390" s="33" t="str">
        <x:f>IF(G390&lt;0,"Stock negativo",IF(G390&lt;=0,"Sin stock actual",IF(I390&lt;=0,"Sin ventas desde compra",IF(Q390&lt;=0,"Con stock, sin ventas 365d",IF(S390&lt;0.5,"Rotación baja",IF(S390&lt;1,"Rotación media","Compra absorbida; stock repuesto"))))))</x:f>
        <x:v>Con stock, sin ventas 365d</x:v>
      </x:c>
    </x:row>
    <x:row r="391">
      <x:c r="A391" s="31" t="str">
        <x:v>MOTS1005</x:v>
      </x:c>
      <x:c r="B391" s="53" t="str">
        <x:v>JUEGO CORTA VIENTO YAMAHA DT AZUL</x:v>
      </x:c>
      <x:c r="C391" s="32" t="n">
        <x:v>1</x:v>
      </x:c>
      <x:c r="D391" s="38" t="n">
        <x:v>1</x:v>
      </x:c>
      <x:c r="E391" s="44" t="n">
        <x:v>7500</x:v>
      </x:c>
      <x:c r="F391" s="44" t="n">
        <x:v>7500</x:v>
      </x:c>
      <x:c r="G391" s="41" t="n">
        <x:v>0</x:v>
      </x:c>
      <x:c r="H391" s="44" t="n">
        <x:f>MAX(G391,0)*E391</x:f>
        <x:v>0</x:v>
      </x:c>
      <x:c r="I391" s="38" t="n">
        <x:v>1</x:v>
      </x:c>
      <x:c r="J391" s="44" t="n">
        <x:v>15000</x:v>
      </x:c>
      <x:c r="K391" s="32" t="n">
        <x:v>1</x:v>
      </x:c>
      <x:c r="L391" s="50" t="n">
        <x:v>45535.85689814815</x:v>
      </x:c>
      <x:c r="M391" s="50" t="n">
        <x:v>45535.85689814815</x:v>
      </x:c>
      <x:c r="N391" s="32" t="n">
        <x:f>IF(M391="","",MAX(0,'Resumen'!$B$3-M391))</x:f>
        <x:v>731.1431018518488</x:v>
      </x:c>
      <x:c r="O391" s="38" t="n">
        <x:v>0</x:v>
      </x:c>
      <x:c r="P391" s="38" t="n">
        <x:v>0</x:v>
      </x:c>
      <x:c r="Q391" s="38" t="n">
        <x:v>0</x:v>
      </x:c>
      <x:c r="R391" s="38" t="n">
        <x:f>MIN(D391,I391)</x:f>
        <x:v>1</x:v>
      </x:c>
      <x:c r="S391" s="47" t="n">
        <x:f>IFERROR(R391/D391,0)</x:f>
        <x:v>1</x:v>
      </x:c>
      <x:c r="T391" s="38" t="n">
        <x:f>MIN(MAX(G391,0),MAX(D391-I391,0))</x:f>
        <x:v>0</x:v>
      </x:c>
      <x:c r="U391" s="44" t="n">
        <x:f>T391*E391</x:f>
        <x:v>0</x:v>
      </x:c>
      <x:c r="V391" s="38" t="n">
        <x:v>0</x:v>
      </x:c>
      <x:c r="W391" s="32" t="n">
        <x:v>0</x:v>
      </x:c>
      <x:c r="X391" s="50"/>
      <x:c r="Y391" s="44" t="n">
        <x:v>12500</x:v>
      </x:c>
      <x:c r="Z391" s="44" t="n">
        <x:f>IF(I391&gt;0,R391*(J391/I391),0)</x:f>
        <x:v>15000</x:v>
      </x:c>
      <x:c r="AA391" s="44" t="n">
        <x:f>Z391-(R391*E391)</x:f>
        <x:v>7500</x:v>
      </x:c>
      <x:c r="AB391" s="47" t="n">
        <x:f>IFERROR(AA391/Z391,0)</x:f>
        <x:v>0.5</x:v>
      </x:c>
      <x:c r="AC391" s="32" t="str">
        <x:f>IF(S391=0,"0%",IF(S391&lt;0.5,"1-49%",IF(S391&lt;0.8,"50-79%",IF(S391&lt;1,"80-99%","100%"))))</x:f>
        <x:v>100%</x:v>
      </x:c>
      <x:c r="AD391" s="33" t="str">
        <x:f>IF(G391&lt;0,"Stock negativo",IF(G391&lt;=0,"Sin stock actual",IF(I391&lt;=0,"Sin ventas desde compra",IF(Q391&lt;=0,"Con stock, sin ventas 365d",IF(S391&lt;0.5,"Rotación baja",IF(S391&lt;1,"Rotación media","Compra absorbida; stock repuesto"))))))</x:f>
        <x:v>Sin stock actual</x:v>
      </x:c>
    </x:row>
    <x:row r="392">
      <x:c r="A392" s="31" t="str">
        <x:v>MOTS1007</x:v>
      </x:c>
      <x:c r="B392" s="53" t="str">
        <x:v>JUEGO CORTA VIENTO LUJO</x:v>
      </x:c>
      <x:c r="C392" s="32" t="n">
        <x:v>1</x:v>
      </x:c>
      <x:c r="D392" s="38" t="n">
        <x:v>1</x:v>
      </x:c>
      <x:c r="E392" s="44" t="n">
        <x:v>7500</x:v>
      </x:c>
      <x:c r="F392" s="44" t="n">
        <x:v>7500</x:v>
      </x:c>
      <x:c r="G392" s="41" t="n">
        <x:v>1</x:v>
      </x:c>
      <x:c r="H392" s="44" t="n">
        <x:f>MAX(G392,0)*E392</x:f>
        <x:v>7500</x:v>
      </x:c>
      <x:c r="I392" s="38" t="n">
        <x:v>0</x:v>
      </x:c>
      <x:c r="J392" s="44" t="n">
        <x:v>0</x:v>
      </x:c>
      <x:c r="K392" s="32" t="n">
        <x:v>0</x:v>
      </x:c>
      <x:c r="L392" s="50"/>
      <x:c r="M392" s="50"/>
      <x:c r="N392" s="32" t="str">
        <x:f>IF(M392="","",MAX(0,'Resumen'!$B$3-M392))</x:f>
      </x:c>
      <x:c r="O392" s="38" t="n">
        <x:v>0</x:v>
      </x:c>
      <x:c r="P392" s="38" t="n">
        <x:v>0</x:v>
      </x:c>
      <x:c r="Q392" s="38" t="n">
        <x:v>0</x:v>
      </x:c>
      <x:c r="R392" s="38" t="n">
        <x:f>MIN(D392,I392)</x:f>
        <x:v>0</x:v>
      </x:c>
      <x:c r="S392" s="47" t="n">
        <x:f>IFERROR(R392/D392,0)</x:f>
        <x:v>0</x:v>
      </x:c>
      <x:c r="T392" s="38" t="n">
        <x:f>MIN(MAX(G392,0),MAX(D392-I392,0))</x:f>
        <x:v>1</x:v>
      </x:c>
      <x:c r="U392" s="44" t="n">
        <x:f>T392*E392</x:f>
        <x:v>7500</x:v>
      </x:c>
      <x:c r="V392" s="38" t="n">
        <x:v>0</x:v>
      </x:c>
      <x:c r="W392" s="32" t="n">
        <x:v>0</x:v>
      </x:c>
      <x:c r="X392" s="50"/>
      <x:c r="Y392" s="44" t="n">
        <x:v>12500</x:v>
      </x:c>
      <x:c r="Z392" s="44" t="n">
        <x:f>IF(I392&gt;0,R392*(J392/I392),0)</x:f>
        <x:v>0</x:v>
      </x:c>
      <x:c r="AA392" s="44" t="n">
        <x:f>Z392-(R392*E392)</x:f>
        <x:v>0</x:v>
      </x:c>
      <x:c r="AB392" s="47" t="n">
        <x:f>IFERROR(AA392/Z392,0)</x:f>
        <x:v>0</x:v>
      </x:c>
      <x:c r="AC392" s="32" t="str">
        <x:f>IF(S392=0,"0%",IF(S392&lt;0.5,"1-49%",IF(S392&lt;0.8,"50-79%",IF(S392&lt;1,"80-99%","100%"))))</x:f>
        <x:v>0%</x:v>
      </x:c>
      <x:c r="AD392" s="33" t="str">
        <x:f>IF(G392&lt;0,"Stock negativo",IF(G392&lt;=0,"Sin stock actual",IF(I392&lt;=0,"Sin ventas desde compra",IF(Q392&lt;=0,"Con stock, sin ventas 365d",IF(S392&lt;0.5,"Rotación baja",IF(S392&lt;1,"Rotación media","Compra absorbida; stock repuesto"))))))</x:f>
        <x:v>Sin ventas desde compra</x:v>
      </x:c>
    </x:row>
    <x:row r="393">
      <x:c r="A393" s="31" t="str">
        <x:v>MOTS1050</x:v>
      </x:c>
      <x:c r="B393" s="53" t="str">
        <x:v>RETEN 20-30-7</x:v>
      </x:c>
      <x:c r="C393" s="32" t="n">
        <x:v>1</x:v>
      </x:c>
      <x:c r="D393" s="38" t="n">
        <x:v>5</x:v>
      </x:c>
      <x:c r="E393" s="44" t="n">
        <x:v>1500</x:v>
      </x:c>
      <x:c r="F393" s="44" t="n">
        <x:v>7500</x:v>
      </x:c>
      <x:c r="G393" s="41" t="n">
        <x:v>5</x:v>
      </x:c>
      <x:c r="H393" s="44" t="n">
        <x:f>MAX(G393,0)*E393</x:f>
        <x:v>7500</x:v>
      </x:c>
      <x:c r="I393" s="38" t="n">
        <x:v>0</x:v>
      </x:c>
      <x:c r="J393" s="44" t="n">
        <x:v>0</x:v>
      </x:c>
      <x:c r="K393" s="32" t="n">
        <x:v>0</x:v>
      </x:c>
      <x:c r="L393" s="50"/>
      <x:c r="M393" s="50"/>
      <x:c r="N393" s="32" t="str">
        <x:f>IF(M393="","",MAX(0,'Resumen'!$B$3-M393))</x:f>
      </x:c>
      <x:c r="O393" s="38" t="n">
        <x:v>0</x:v>
      </x:c>
      <x:c r="P393" s="38" t="n">
        <x:v>0</x:v>
      </x:c>
      <x:c r="Q393" s="38" t="n">
        <x:v>0</x:v>
      </x:c>
      <x:c r="R393" s="38" t="n">
        <x:f>MIN(D393,I393)</x:f>
        <x:v>0</x:v>
      </x:c>
      <x:c r="S393" s="47" t="n">
        <x:f>IFERROR(R393/D393,0)</x:f>
        <x:v>0</x:v>
      </x:c>
      <x:c r="T393" s="38" t="n">
        <x:f>MIN(MAX(G393,0),MAX(D393-I393,0))</x:f>
        <x:v>5</x:v>
      </x:c>
      <x:c r="U393" s="44" t="n">
        <x:f>T393*E393</x:f>
        <x:v>7500</x:v>
      </x:c>
      <x:c r="V393" s="38" t="n">
        <x:v>0</x:v>
      </x:c>
      <x:c r="W393" s="32" t="n">
        <x:v>0</x:v>
      </x:c>
      <x:c r="X393" s="50"/>
      <x:c r="Y393" s="44" t="n">
        <x:v>2500</x:v>
      </x:c>
      <x:c r="Z393" s="44" t="n">
        <x:f>IF(I393&gt;0,R393*(J393/I393),0)</x:f>
        <x:v>0</x:v>
      </x:c>
      <x:c r="AA393" s="44" t="n">
        <x:f>Z393-(R393*E393)</x:f>
        <x:v>0</x:v>
      </x:c>
      <x:c r="AB393" s="47" t="n">
        <x:f>IFERROR(AA393/Z393,0)</x:f>
        <x:v>0</x:v>
      </x:c>
      <x:c r="AC393" s="32" t="str">
        <x:f>IF(S393=0,"0%",IF(S393&lt;0.5,"1-49%",IF(S393&lt;0.8,"50-79%",IF(S393&lt;1,"80-99%","100%"))))</x:f>
        <x:v>0%</x:v>
      </x:c>
      <x:c r="AD393" s="33" t="str">
        <x:f>IF(G393&lt;0,"Stock negativo",IF(G393&lt;=0,"Sin stock actual",IF(I393&lt;=0,"Sin ventas desde compra",IF(Q393&lt;=0,"Con stock, sin ventas 365d",IF(S393&lt;0.5,"Rotación baja",IF(S393&lt;1,"Rotación media","Compra absorbida; stock repuesto"))))))</x:f>
        <x:v>Sin ventas desde compra</x:v>
      </x:c>
    </x:row>
    <x:row r="394">
      <x:c r="A394" s="31" t="str">
        <x:v>MOTS1071</x:v>
      </x:c>
      <x:c r="B394" s="53" t="str">
        <x:v>RETEN 29-39-10-5</x:v>
      </x:c>
      <x:c r="C394" s="32" t="n">
        <x:v>1</x:v>
      </x:c>
      <x:c r="D394" s="38" t="n">
        <x:v>5</x:v>
      </x:c>
      <x:c r="E394" s="44" t="n">
        <x:v>1500</x:v>
      </x:c>
      <x:c r="F394" s="44" t="n">
        <x:v>7500</x:v>
      </x:c>
      <x:c r="G394" s="41" t="n">
        <x:v>5</x:v>
      </x:c>
      <x:c r="H394" s="44" t="n">
        <x:f>MAX(G394,0)*E394</x:f>
        <x:v>7500</x:v>
      </x:c>
      <x:c r="I394" s="38" t="n">
        <x:v>0</x:v>
      </x:c>
      <x:c r="J394" s="44" t="n">
        <x:v>0</x:v>
      </x:c>
      <x:c r="K394" s="32" t="n">
        <x:v>0</x:v>
      </x:c>
      <x:c r="L394" s="50"/>
      <x:c r="M394" s="50"/>
      <x:c r="N394" s="32" t="str">
        <x:f>IF(M394="","",MAX(0,'Resumen'!$B$3-M394))</x:f>
      </x:c>
      <x:c r="O394" s="38" t="n">
        <x:v>0</x:v>
      </x:c>
      <x:c r="P394" s="38" t="n">
        <x:v>0</x:v>
      </x:c>
      <x:c r="Q394" s="38" t="n">
        <x:v>0</x:v>
      </x:c>
      <x:c r="R394" s="38" t="n">
        <x:f>MIN(D394,I394)</x:f>
        <x:v>0</x:v>
      </x:c>
      <x:c r="S394" s="47" t="n">
        <x:f>IFERROR(R394/D394,0)</x:f>
        <x:v>0</x:v>
      </x:c>
      <x:c r="T394" s="38" t="n">
        <x:f>MIN(MAX(G394,0),MAX(D394-I394,0))</x:f>
        <x:v>5</x:v>
      </x:c>
      <x:c r="U394" s="44" t="n">
        <x:f>T394*E394</x:f>
        <x:v>7500</x:v>
      </x:c>
      <x:c r="V394" s="38" t="n">
        <x:v>0</x:v>
      </x:c>
      <x:c r="W394" s="32" t="n">
        <x:v>0</x:v>
      </x:c>
      <x:c r="X394" s="50"/>
      <x:c r="Y394" s="44" t="n">
        <x:v>2500</x:v>
      </x:c>
      <x:c r="Z394" s="44" t="n">
        <x:f>IF(I394&gt;0,R394*(J394/I394),0)</x:f>
        <x:v>0</x:v>
      </x:c>
      <x:c r="AA394" s="44" t="n">
        <x:f>Z394-(R394*E394)</x:f>
        <x:v>0</x:v>
      </x:c>
      <x:c r="AB394" s="47" t="n">
        <x:f>IFERROR(AA394/Z394,0)</x:f>
        <x:v>0</x:v>
      </x:c>
      <x:c r="AC394" s="32" t="str">
        <x:f>IF(S394=0,"0%",IF(S394&lt;0.5,"1-49%",IF(S394&lt;0.8,"50-79%",IF(S394&lt;1,"80-99%","100%"))))</x:f>
        <x:v>0%</x:v>
      </x:c>
      <x:c r="AD394" s="33" t="str">
        <x:f>IF(G394&lt;0,"Stock negativo",IF(G394&lt;=0,"Sin stock actual",IF(I394&lt;=0,"Sin ventas desde compra",IF(Q394&lt;=0,"Con stock, sin ventas 365d",IF(S394&lt;0.5,"Rotación baja",IF(S394&lt;1,"Rotación media","Compra absorbida; stock repuesto"))))))</x:f>
        <x:v>Sin ventas desde compra</x:v>
      </x:c>
    </x:row>
    <x:row r="395">
      <x:c r="A395" s="31" t="str">
        <x:v>MOTS1074</x:v>
      </x:c>
      <x:c r="B395" s="53" t="str">
        <x:v>RETEN 37-49-8-1-5</x:v>
      </x:c>
      <x:c r="C395" s="32" t="n">
        <x:v>1</x:v>
      </x:c>
      <x:c r="D395" s="38" t="n">
        <x:v>5</x:v>
      </x:c>
      <x:c r="E395" s="44" t="n">
        <x:v>1500</x:v>
      </x:c>
      <x:c r="F395" s="44" t="n">
        <x:v>7500</x:v>
      </x:c>
      <x:c r="G395" s="41" t="n">
        <x:v>0</x:v>
      </x:c>
      <x:c r="H395" s="44" t="n">
        <x:f>MAX(G395,0)*E395</x:f>
        <x:v>0</x:v>
      </x:c>
      <x:c r="I395" s="38" t="n">
        <x:v>5</x:v>
      </x:c>
      <x:c r="J395" s="44" t="n">
        <x:v>12500</x:v>
      </x:c>
      <x:c r="K395" s="32" t="n">
        <x:v>3</x:v>
      </x:c>
      <x:c r="L395" s="50" t="n">
        <x:v>45846.80229166667</x:v>
      </x:c>
      <x:c r="M395" s="50" t="n">
        <x:v>45894.899722222224</x:v>
      </x:c>
      <x:c r="N395" s="32" t="n">
        <x:f>IF(M395="","",MAX(0,'Resumen'!$B$3-M395))</x:f>
        <x:v>372.1002777777758</x:v>
      </x:c>
      <x:c r="O395" s="38" t="n">
        <x:v>0</x:v>
      </x:c>
      <x:c r="P395" s="38" t="n">
        <x:v>0</x:v>
      </x:c>
      <x:c r="Q395" s="38" t="n">
        <x:v>0</x:v>
      </x:c>
      <x:c r="R395" s="38" t="n">
        <x:f>MIN(D395,I395)</x:f>
        <x:v>5</x:v>
      </x:c>
      <x:c r="S395" s="47" t="n">
        <x:f>IFERROR(R395/D395,0)</x:f>
        <x:v>1</x:v>
      </x:c>
      <x:c r="T395" s="38" t="n">
        <x:f>MIN(MAX(G395,0),MAX(D395-I395,0))</x:f>
        <x:v>0</x:v>
      </x:c>
      <x:c r="U395" s="44" t="n">
        <x:f>T395*E395</x:f>
        <x:v>0</x:v>
      </x:c>
      <x:c r="V395" s="38" t="n">
        <x:v>0</x:v>
      </x:c>
      <x:c r="W395" s="32" t="n">
        <x:v>0</x:v>
      </x:c>
      <x:c r="X395" s="50"/>
      <x:c r="Y395" s="44" t="n">
        <x:v>2500</x:v>
      </x:c>
      <x:c r="Z395" s="44" t="n">
        <x:f>IF(I395&gt;0,R395*(J395/I395),0)</x:f>
        <x:v>12500</x:v>
      </x:c>
      <x:c r="AA395" s="44" t="n">
        <x:f>Z395-(R395*E395)</x:f>
        <x:v>5000</x:v>
      </x:c>
      <x:c r="AB395" s="47" t="n">
        <x:f>IFERROR(AA395/Z395,0)</x:f>
        <x:v>0.4</x:v>
      </x:c>
      <x:c r="AC395" s="32" t="str">
        <x:f>IF(S395=0,"0%",IF(S395&lt;0.5,"1-49%",IF(S395&lt;0.8,"50-79%",IF(S395&lt;1,"80-99%","100%"))))</x:f>
        <x:v>100%</x:v>
      </x:c>
      <x:c r="AD395" s="33" t="str">
        <x:f>IF(G395&lt;0,"Stock negativo",IF(G395&lt;=0,"Sin stock actual",IF(I395&lt;=0,"Sin ventas desde compra",IF(Q395&lt;=0,"Con stock, sin ventas 365d",IF(S395&lt;0.5,"Rotación baja",IF(S395&lt;1,"Rotación media","Compra absorbida; stock repuesto"))))))</x:f>
        <x:v>Sin stock actual</x:v>
      </x:c>
    </x:row>
    <x:row r="396">
      <x:c r="A396" s="31" t="str">
        <x:v>MOTS1083</x:v>
      </x:c>
      <x:c r="B396" s="53" t="str">
        <x:v>RETEN 17-25-4 VV MOTOR</x:v>
      </x:c>
      <x:c r="C396" s="32" t="n">
        <x:v>1</x:v>
      </x:c>
      <x:c r="D396" s="38" t="n">
        <x:v>5</x:v>
      </x:c>
      <x:c r="E396" s="44" t="n">
        <x:v>1500</x:v>
      </x:c>
      <x:c r="F396" s="44" t="n">
        <x:v>7500</x:v>
      </x:c>
      <x:c r="G396" s="41" t="n">
        <x:v>5</x:v>
      </x:c>
      <x:c r="H396" s="44" t="n">
        <x:f>MAX(G396,0)*E396</x:f>
        <x:v>7500</x:v>
      </x:c>
      <x:c r="I396" s="38" t="n">
        <x:v>0</x:v>
      </x:c>
      <x:c r="J396" s="44" t="n">
        <x:v>0</x:v>
      </x:c>
      <x:c r="K396" s="32" t="n">
        <x:v>0</x:v>
      </x:c>
      <x:c r="L396" s="50"/>
      <x:c r="M396" s="50"/>
      <x:c r="N396" s="32" t="str">
        <x:f>IF(M396="","",MAX(0,'Resumen'!$B$3-M396))</x:f>
      </x:c>
      <x:c r="O396" s="38" t="n">
        <x:v>0</x:v>
      </x:c>
      <x:c r="P396" s="38" t="n">
        <x:v>0</x:v>
      </x:c>
      <x:c r="Q396" s="38" t="n">
        <x:v>0</x:v>
      </x:c>
      <x:c r="R396" s="38" t="n">
        <x:f>MIN(D396,I396)</x:f>
        <x:v>0</x:v>
      </x:c>
      <x:c r="S396" s="47" t="n">
        <x:f>IFERROR(R396/D396,0)</x:f>
        <x:v>0</x:v>
      </x:c>
      <x:c r="T396" s="38" t="n">
        <x:f>MIN(MAX(G396,0),MAX(D396-I396,0))</x:f>
        <x:v>5</x:v>
      </x:c>
      <x:c r="U396" s="44" t="n">
        <x:f>T396*E396</x:f>
        <x:v>7500</x:v>
      </x:c>
      <x:c r="V396" s="38" t="n">
        <x:v>0</x:v>
      </x:c>
      <x:c r="W396" s="32" t="n">
        <x:v>0</x:v>
      </x:c>
      <x:c r="X396" s="50"/>
      <x:c r="Y396" s="44" t="n">
        <x:v>2500</x:v>
      </x:c>
      <x:c r="Z396" s="44" t="n">
        <x:f>IF(I396&gt;0,R396*(J396/I396),0)</x:f>
        <x:v>0</x:v>
      </x:c>
      <x:c r="AA396" s="44" t="n">
        <x:f>Z396-(R396*E396)</x:f>
        <x:v>0</x:v>
      </x:c>
      <x:c r="AB396" s="47" t="n">
        <x:f>IFERROR(AA396/Z396,0)</x:f>
        <x:v>0</x:v>
      </x:c>
      <x:c r="AC396" s="32" t="str">
        <x:f>IF(S396=0,"0%",IF(S396&lt;0.5,"1-49%",IF(S396&lt;0.8,"50-79%",IF(S396&lt;1,"80-99%","100%"))))</x:f>
        <x:v>0%</x:v>
      </x:c>
      <x:c r="AD396" s="33" t="str">
        <x:f>IF(G396&lt;0,"Stock negativo",IF(G396&lt;=0,"Sin stock actual",IF(I396&lt;=0,"Sin ventas desde compra",IF(Q396&lt;=0,"Con stock, sin ventas 365d",IF(S396&lt;0.5,"Rotación baja",IF(S396&lt;1,"Rotación media","Compra absorbida; stock repuesto"))))))</x:f>
        <x:v>Sin ventas desde compra</x:v>
      </x:c>
    </x:row>
    <x:row r="397">
      <x:c r="A397" s="31" t="str">
        <x:v>MOTS1169</x:v>
      </x:c>
      <x:c r="B397" s="53" t="str">
        <x:v>CAUCHO MANZANA ECO/AM 110 / SPLENDOR YAHUSUR</x:v>
      </x:c>
      <x:c r="C397" s="32" t="n">
        <x:v>1</x:v>
      </x:c>
      <x:c r="D397" s="38" t="n">
        <x:v>1</x:v>
      </x:c>
      <x:c r="E397" s="44" t="n">
        <x:v>7500</x:v>
      </x:c>
      <x:c r="F397" s="44" t="n">
        <x:v>7500</x:v>
      </x:c>
      <x:c r="G397" s="41" t="n">
        <x:v>1</x:v>
      </x:c>
      <x:c r="H397" s="44" t="n">
        <x:f>MAX(G397,0)*E397</x:f>
        <x:v>7500</x:v>
      </x:c>
      <x:c r="I397" s="38" t="n">
        <x:v>0</x:v>
      </x:c>
      <x:c r="J397" s="44" t="n">
        <x:v>0</x:v>
      </x:c>
      <x:c r="K397" s="32" t="n">
        <x:v>0</x:v>
      </x:c>
      <x:c r="L397" s="50"/>
      <x:c r="M397" s="50"/>
      <x:c r="N397" s="32" t="str">
        <x:f>IF(M397="","",MAX(0,'Resumen'!$B$3-M397))</x:f>
      </x:c>
      <x:c r="O397" s="38" t="n">
        <x:v>0</x:v>
      </x:c>
      <x:c r="P397" s="38" t="n">
        <x:v>0</x:v>
      </x:c>
      <x:c r="Q397" s="38" t="n">
        <x:v>0</x:v>
      </x:c>
      <x:c r="R397" s="38" t="n">
        <x:f>MIN(D397,I397)</x:f>
        <x:v>0</x:v>
      </x:c>
      <x:c r="S397" s="47" t="n">
        <x:f>IFERROR(R397/D397,0)</x:f>
        <x:v>0</x:v>
      </x:c>
      <x:c r="T397" s="38" t="n">
        <x:f>MIN(MAX(G397,0),MAX(D397-I397,0))</x:f>
        <x:v>1</x:v>
      </x:c>
      <x:c r="U397" s="44" t="n">
        <x:f>T397*E397</x:f>
        <x:v>7500</x:v>
      </x:c>
      <x:c r="V397" s="38" t="n">
        <x:v>0</x:v>
      </x:c>
      <x:c r="W397" s="32" t="n">
        <x:v>0</x:v>
      </x:c>
      <x:c r="X397" s="50"/>
      <x:c r="Y397" s="44" t="n">
        <x:v>12500</x:v>
      </x:c>
      <x:c r="Z397" s="44" t="n">
        <x:f>IF(I397&gt;0,R397*(J397/I397),0)</x:f>
        <x:v>0</x:v>
      </x:c>
      <x:c r="AA397" s="44" t="n">
        <x:f>Z397-(R397*E397)</x:f>
        <x:v>0</x:v>
      </x:c>
      <x:c r="AB397" s="47" t="n">
        <x:f>IFERROR(AA397/Z397,0)</x:f>
        <x:v>0</x:v>
      </x:c>
      <x:c r="AC397" s="32" t="str">
        <x:f>IF(S397=0,"0%",IF(S397&lt;0.5,"1-49%",IF(S397&lt;0.8,"50-79%",IF(S397&lt;1,"80-99%","100%"))))</x:f>
        <x:v>0%</x:v>
      </x:c>
      <x:c r="AD397" s="33" t="str">
        <x:f>IF(G397&lt;0,"Stock negativo",IF(G397&lt;=0,"Sin stock actual",IF(I397&lt;=0,"Sin ventas desde compra",IF(Q397&lt;=0,"Con stock, sin ventas 365d",IF(S397&lt;0.5,"Rotación baja",IF(S397&lt;1,"Rotación media","Compra absorbida; stock repuesto"))))))</x:f>
        <x:v>Sin ventas desde compra</x:v>
      </x:c>
    </x:row>
    <x:row r="398">
      <x:c r="A398" s="31" t="str">
        <x:v>MOTS1282</x:v>
      </x:c>
      <x:c r="B398" s="53" t="str">
        <x:v>TAPON CCATER XL - SLR / TORNADO KEYMAN</x:v>
      </x:c>
      <x:c r="C398" s="32" t="n">
        <x:v>1</x:v>
      </x:c>
      <x:c r="D398" s="38" t="n">
        <x:v>3</x:v>
      </x:c>
      <x:c r="E398" s="44" t="n">
        <x:v>2500</x:v>
      </x:c>
      <x:c r="F398" s="44" t="n">
        <x:v>7500</x:v>
      </x:c>
      <x:c r="G398" s="41" t="n">
        <x:v>3</x:v>
      </x:c>
      <x:c r="H398" s="44" t="n">
        <x:f>MAX(G398,0)*E398</x:f>
        <x:v>7500</x:v>
      </x:c>
      <x:c r="I398" s="38" t="n">
        <x:v>0</x:v>
      </x:c>
      <x:c r="J398" s="44" t="n">
        <x:v>0</x:v>
      </x:c>
      <x:c r="K398" s="32" t="n">
        <x:v>0</x:v>
      </x:c>
      <x:c r="L398" s="50"/>
      <x:c r="M398" s="50"/>
      <x:c r="N398" s="32" t="str">
        <x:f>IF(M398="","",MAX(0,'Resumen'!$B$3-M398))</x:f>
      </x:c>
      <x:c r="O398" s="38" t="n">
        <x:v>0</x:v>
      </x:c>
      <x:c r="P398" s="38" t="n">
        <x:v>0</x:v>
      </x:c>
      <x:c r="Q398" s="38" t="n">
        <x:v>0</x:v>
      </x:c>
      <x:c r="R398" s="38" t="n">
        <x:f>MIN(D398,I398)</x:f>
        <x:v>0</x:v>
      </x:c>
      <x:c r="S398" s="47" t="n">
        <x:f>IFERROR(R398/D398,0)</x:f>
        <x:v>0</x:v>
      </x:c>
      <x:c r="T398" s="38" t="n">
        <x:f>MIN(MAX(G398,0),MAX(D398-I398,0))</x:f>
        <x:v>3</x:v>
      </x:c>
      <x:c r="U398" s="44" t="n">
        <x:f>T398*E398</x:f>
        <x:v>7500</x:v>
      </x:c>
      <x:c r="V398" s="38" t="n">
        <x:v>0</x:v>
      </x:c>
      <x:c r="W398" s="32" t="n">
        <x:v>0</x:v>
      </x:c>
      <x:c r="X398" s="50"/>
      <x:c r="Y398" s="44" t="n">
        <x:v>4500</x:v>
      </x:c>
      <x:c r="Z398" s="44" t="n">
        <x:f>IF(I398&gt;0,R398*(J398/I398),0)</x:f>
        <x:v>0</x:v>
      </x:c>
      <x:c r="AA398" s="44" t="n">
        <x:f>Z398-(R398*E398)</x:f>
        <x:v>0</x:v>
      </x:c>
      <x:c r="AB398" s="47" t="n">
        <x:f>IFERROR(AA398/Z398,0)</x:f>
        <x:v>0</x:v>
      </x:c>
      <x:c r="AC398" s="32" t="str">
        <x:f>IF(S398=0,"0%",IF(S398&lt;0.5,"1-49%",IF(S398&lt;0.8,"50-79%",IF(S398&lt;1,"80-99%","100%"))))</x:f>
        <x:v>0%</x:v>
      </x:c>
      <x:c r="AD398" s="33" t="str">
        <x:f>IF(G398&lt;0,"Stock negativo",IF(G398&lt;=0,"Sin stock actual",IF(I398&lt;=0,"Sin ventas desde compra",IF(Q398&lt;=0,"Con stock, sin ventas 365d",IF(S398&lt;0.5,"Rotación baja",IF(S398&lt;1,"Rotación media","Compra absorbida; stock repuesto"))))))</x:f>
        <x:v>Sin ventas desde compra</x:v>
      </x:c>
    </x:row>
    <x:row r="399">
      <x:c r="A399" s="31" t="str">
        <x:v>MOTS1308</x:v>
      </x:c>
      <x:c r="B399" s="53" t="str">
        <x:v>BOMBILLO DIRECCIONAL LED ULTRA BRILLANTE PAR MODOPARTS</x:v>
      </x:c>
      <x:c r="C399" s="32" t="n">
        <x:v>1</x:v>
      </x:c>
      <x:c r="D399" s="38" t="n">
        <x:v>3</x:v>
      </x:c>
      <x:c r="E399" s="44" t="n">
        <x:v>2500</x:v>
      </x:c>
      <x:c r="F399" s="44" t="n">
        <x:v>7500</x:v>
      </x:c>
      <x:c r="G399" s="41" t="n">
        <x:v>0</x:v>
      </x:c>
      <x:c r="H399" s="44" t="n">
        <x:f>MAX(G399,0)*E399</x:f>
        <x:v>0</x:v>
      </x:c>
      <x:c r="I399" s="38" t="n">
        <x:v>3</x:v>
      </x:c>
      <x:c r="J399" s="44" t="n">
        <x:v>13500</x:v>
      </x:c>
      <x:c r="K399" s="32" t="n">
        <x:v>2</x:v>
      </x:c>
      <x:c r="L399" s="50" t="n">
        <x:v>45553.65584490741</x:v>
      </x:c>
      <x:c r="M399" s="50" t="n">
        <x:v>45581.65553240741</x:v>
      </x:c>
      <x:c r="N399" s="32" t="n">
        <x:f>IF(M399="","",MAX(0,'Resumen'!$B$3-M399))</x:f>
        <x:v>685.344467592593</x:v>
      </x:c>
      <x:c r="O399" s="38" t="n">
        <x:v>0</x:v>
      </x:c>
      <x:c r="P399" s="38" t="n">
        <x:v>0</x:v>
      </x:c>
      <x:c r="Q399" s="38" t="n">
        <x:v>0</x:v>
      </x:c>
      <x:c r="R399" s="38" t="n">
        <x:f>MIN(D399,I399)</x:f>
        <x:v>3</x:v>
      </x:c>
      <x:c r="S399" s="47" t="n">
        <x:f>IFERROR(R399/D399,0)</x:f>
        <x:v>1</x:v>
      </x:c>
      <x:c r="T399" s="38" t="n">
        <x:f>MIN(MAX(G399,0),MAX(D399-I399,0))</x:f>
        <x:v>0</x:v>
      </x:c>
      <x:c r="U399" s="44" t="n">
        <x:f>T399*E399</x:f>
        <x:v>0</x:v>
      </x:c>
      <x:c r="V399" s="38" t="n">
        <x:v>0</x:v>
      </x:c>
      <x:c r="W399" s="32" t="n">
        <x:v>0</x:v>
      </x:c>
      <x:c r="X399" s="50"/>
      <x:c r="Y399" s="44" t="n">
        <x:v>4500</x:v>
      </x:c>
      <x:c r="Z399" s="44" t="n">
        <x:f>IF(I399&gt;0,R399*(J399/I399),0)</x:f>
        <x:v>13500</x:v>
      </x:c>
      <x:c r="AA399" s="44" t="n">
        <x:f>Z399-(R399*E399)</x:f>
        <x:v>6000</x:v>
      </x:c>
      <x:c r="AB399" s="47" t="n">
        <x:f>IFERROR(AA399/Z399,0)</x:f>
        <x:v>0.4444444444444444</x:v>
      </x:c>
      <x:c r="AC399" s="32" t="str">
        <x:f>IF(S399=0,"0%",IF(S399&lt;0.5,"1-49%",IF(S399&lt;0.8,"50-79%",IF(S399&lt;1,"80-99%","100%"))))</x:f>
        <x:v>100%</x:v>
      </x:c>
      <x:c r="AD399" s="33" t="str">
        <x:f>IF(G399&lt;0,"Stock negativo",IF(G399&lt;=0,"Sin stock actual",IF(I399&lt;=0,"Sin ventas desde compra",IF(Q399&lt;=0,"Con stock, sin ventas 365d",IF(S399&lt;0.5,"Rotación baja",IF(S399&lt;1,"Rotación media","Compra absorbida; stock repuesto"))))))</x:f>
        <x:v>Sin stock actual</x:v>
      </x:c>
    </x:row>
    <x:row r="400">
      <x:c r="A400" s="31" t="str">
        <x:v>SAIN284</x:v>
      </x:c>
      <x:c r="B400" s="53" t="str">
        <x:v>ESPUMA FILTRO AIRE BWS 125 MEDIA LUNA</x:v>
      </x:c>
      <x:c r="C400" s="32" t="n">
        <x:v>1</x:v>
      </x:c>
      <x:c r="D400" s="38" t="n">
        <x:v>3</x:v>
      </x:c>
      <x:c r="E400" s="44" t="n">
        <x:v>2500</x:v>
      </x:c>
      <x:c r="F400" s="44" t="n">
        <x:v>7500</x:v>
      </x:c>
      <x:c r="G400" s="41" t="n">
        <x:v>0</x:v>
      </x:c>
      <x:c r="H400" s="44" t="n">
        <x:f>MAX(G400,0)*E400</x:f>
        <x:v>0</x:v>
      </x:c>
      <x:c r="I400" s="38" t="n">
        <x:v>3</x:v>
      </x:c>
      <x:c r="J400" s="44" t="n">
        <x:v>13000</x:v>
      </x:c>
      <x:c r="K400" s="32" t="n">
        <x:v>3</x:v>
      </x:c>
      <x:c r="L400" s="50" t="n">
        <x:v>45503.65221064815</x:v>
      </x:c>
      <x:c r="M400" s="50" t="n">
        <x:v>45731.001539351855</x:v>
      </x:c>
      <x:c r="N400" s="32" t="n">
        <x:f>IF(M400="","",MAX(0,'Resumen'!$B$3-M400))</x:f>
        <x:v>535.9984606481448</x:v>
      </x:c>
      <x:c r="O400" s="38" t="n">
        <x:v>0</x:v>
      </x:c>
      <x:c r="P400" s="38" t="n">
        <x:v>0</x:v>
      </x:c>
      <x:c r="Q400" s="38" t="n">
        <x:v>0</x:v>
      </x:c>
      <x:c r="R400" s="38" t="n">
        <x:f>MIN(D400,I400)</x:f>
        <x:v>3</x:v>
      </x:c>
      <x:c r="S400" s="47" t="n">
        <x:f>IFERROR(R400/D400,0)</x:f>
        <x:v>1</x:v>
      </x:c>
      <x:c r="T400" s="38" t="n">
        <x:f>MIN(MAX(G400,0),MAX(D400-I400,0))</x:f>
        <x:v>0</x:v>
      </x:c>
      <x:c r="U400" s="44" t="n">
        <x:f>T400*E400</x:f>
        <x:v>0</x:v>
      </x:c>
      <x:c r="V400" s="38" t="n">
        <x:v>0</x:v>
      </x:c>
      <x:c r="W400" s="32" t="n">
        <x:v>0</x:v>
      </x:c>
      <x:c r="X400" s="50"/>
      <x:c r="Y400" s="44" t="n">
        <x:v>4500</x:v>
      </x:c>
      <x:c r="Z400" s="44" t="n">
        <x:f>IF(I400&gt;0,R400*(J400/I400),0)</x:f>
        <x:v>13000</x:v>
      </x:c>
      <x:c r="AA400" s="44" t="n">
        <x:f>Z400-(R400*E400)</x:f>
        <x:v>5500</x:v>
      </x:c>
      <x:c r="AB400" s="47" t="n">
        <x:f>IFERROR(AA400/Z400,0)</x:f>
        <x:v>0.4230769230769231</x:v>
      </x:c>
      <x:c r="AC400" s="32" t="str">
        <x:f>IF(S400=0,"0%",IF(S400&lt;0.5,"1-49%",IF(S400&lt;0.8,"50-79%",IF(S400&lt;1,"80-99%","100%"))))</x:f>
        <x:v>100%</x:v>
      </x:c>
      <x:c r="AD400" s="33" t="str">
        <x:f>IF(G400&lt;0,"Stock negativo",IF(G400&lt;=0,"Sin stock actual",IF(I400&lt;=0,"Sin ventas desde compra",IF(Q400&lt;=0,"Con stock, sin ventas 365d",IF(S400&lt;0.5,"Rotación baja",IF(S400&lt;1,"Rotación media","Compra absorbida; stock repuesto"))))))</x:f>
        <x:v>Sin stock actual</x:v>
      </x:c>
    </x:row>
    <x:row r="401">
      <x:c r="A401" s="31" t="str">
        <x:v>TOR - 0409</x:v>
      </x:c>
      <x:c r="B401" s="53" t="str">
        <x:v>TORNILLO BRISTOL 6 X55 TORNIFRENOS</x:v>
      </x:c>
      <x:c r="C401" s="32" t="n">
        <x:v>1</x:v>
      </x:c>
      <x:c r="D401" s="38" t="n">
        <x:v>20</x:v>
      </x:c>
      <x:c r="E401" s="44" t="n">
        <x:v>358</x:v>
      </x:c>
      <x:c r="F401" s="44" t="n">
        <x:v>7160</x:v>
      </x:c>
      <x:c r="G401" s="41" t="n">
        <x:v>16</x:v>
      </x:c>
      <x:c r="H401" s="44" t="n">
        <x:f>MAX(G401,0)*E401</x:f>
        <x:v>5728</x:v>
      </x:c>
      <x:c r="I401" s="38" t="n">
        <x:v>4</x:v>
      </x:c>
      <x:c r="J401" s="44" t="n">
        <x:v>2400</x:v>
      </x:c>
      <x:c r="K401" s="32" t="n">
        <x:v>1</x:v>
      </x:c>
      <x:c r="L401" s="50" t="n">
        <x:v>45554.804398148146</x:v>
      </x:c>
      <x:c r="M401" s="50" t="n">
        <x:v>45554.804398148146</x:v>
      </x:c>
      <x:c r="N401" s="32" t="n">
        <x:f>IF(M401="","",MAX(0,'Resumen'!$B$3-M401))</x:f>
        <x:v>712.195601851854</x:v>
      </x:c>
      <x:c r="O401" s="38" t="n">
        <x:v>0</x:v>
      </x:c>
      <x:c r="P401" s="38" t="n">
        <x:v>0</x:v>
      </x:c>
      <x:c r="Q401" s="38" t="n">
        <x:v>0</x:v>
      </x:c>
      <x:c r="R401" s="38" t="n">
        <x:f>MIN(D401,I401)</x:f>
        <x:v>4</x:v>
      </x:c>
      <x:c r="S401" s="47" t="n">
        <x:f>IFERROR(R401/D401,0)</x:f>
        <x:v>0.2</x:v>
      </x:c>
      <x:c r="T401" s="38" t="n">
        <x:f>MIN(MAX(G401,0),MAX(D401-I401,0))</x:f>
        <x:v>16</x:v>
      </x:c>
      <x:c r="U401" s="44" t="n">
        <x:f>T401*E401</x:f>
        <x:v>5728</x:v>
      </x:c>
      <x:c r="V401" s="38" t="n">
        <x:v>0</x:v>
      </x:c>
      <x:c r="W401" s="32" t="n">
        <x:v>0</x:v>
      </x:c>
      <x:c r="X401" s="50"/>
      <x:c r="Y401" s="44" t="n">
        <x:v>600</x:v>
      </x:c>
      <x:c r="Z401" s="44" t="n">
        <x:f>IF(I401&gt;0,R401*(J401/I401),0)</x:f>
        <x:v>2400</x:v>
      </x:c>
      <x:c r="AA401" s="44" t="n">
        <x:f>Z401-(R401*E401)</x:f>
        <x:v>968</x:v>
      </x:c>
      <x:c r="AB401" s="47" t="n">
        <x:f>IFERROR(AA401/Z401,0)</x:f>
        <x:v>0.4033333333333333</x:v>
      </x:c>
      <x:c r="AC401" s="32" t="str">
        <x:f>IF(S401=0,"0%",IF(S401&lt;0.5,"1-49%",IF(S401&lt;0.8,"50-79%",IF(S401&lt;1,"80-99%","100%"))))</x:f>
        <x:v>1-49%</x:v>
      </x:c>
      <x:c r="AD401" s="33" t="str">
        <x:f>IF(G401&lt;0,"Stock negativo",IF(G401&lt;=0,"Sin stock actual",IF(I401&lt;=0,"Sin ventas desde compra",IF(Q401&lt;=0,"Con stock, sin ventas 365d",IF(S401&lt;0.5,"Rotación baja",IF(S401&lt;1,"Rotación media","Compra absorbida; stock repuesto"))))))</x:f>
        <x:v>Con stock, sin ventas 365d</x:v>
      </x:c>
    </x:row>
    <x:row r="402">
      <x:c r="A402" s="31" t="str">
        <x:v>2174</x:v>
      </x:c>
      <x:c r="B402" s="53" t="str">
        <x:v>TORNILLO HEX 8 X 10  TORNIFRENOS</x:v>
      </x:c>
      <x:c r="C402" s="32" t="n">
        <x:v>1</x:v>
      </x:c>
      <x:c r="D402" s="38" t="n">
        <x:v>27</x:v>
      </x:c>
      <x:c r="E402" s="44" t="n">
        <x:v>265</x:v>
      </x:c>
      <x:c r="F402" s="44" t="n">
        <x:v>7155</x:v>
      </x:c>
      <x:c r="G402" s="41" t="n">
        <x:v>27</x:v>
      </x:c>
      <x:c r="H402" s="44" t="n">
        <x:f>MAX(G402,0)*E402</x:f>
        <x:v>7155</x:v>
      </x:c>
      <x:c r="I402" s="38" t="n">
        <x:v>1</x:v>
      </x:c>
      <x:c r="J402" s="44" t="n">
        <x:v>500</x:v>
      </x:c>
      <x:c r="K402" s="32" t="n">
        <x:v>1</x:v>
      </x:c>
      <x:c r="L402" s="50" t="n">
        <x:v>45867.97938657407</x:v>
      </x:c>
      <x:c r="M402" s="50" t="n">
        <x:v>45867.97938657407</x:v>
      </x:c>
      <x:c r="N402" s="32" t="n">
        <x:f>IF(M402="","",MAX(0,'Resumen'!$B$3-M402))</x:f>
        <x:v>399.0206134259279</x:v>
      </x:c>
      <x:c r="O402" s="38" t="n">
        <x:v>0</x:v>
      </x:c>
      <x:c r="P402" s="38" t="n">
        <x:v>0</x:v>
      </x:c>
      <x:c r="Q402" s="38" t="n">
        <x:v>0</x:v>
      </x:c>
      <x:c r="R402" s="38" t="n">
        <x:f>MIN(D402,I402)</x:f>
        <x:v>1</x:v>
      </x:c>
      <x:c r="S402" s="47" t="n">
        <x:f>IFERROR(R402/D402,0)</x:f>
        <x:v>0.037037037037037035</x:v>
      </x:c>
      <x:c r="T402" s="38" t="n">
        <x:f>MIN(MAX(G402,0),MAX(D402-I402,0))</x:f>
        <x:v>26</x:v>
      </x:c>
      <x:c r="U402" s="44" t="n">
        <x:f>T402*E402</x:f>
        <x:v>6890</x:v>
      </x:c>
      <x:c r="V402" s="38" t="n">
        <x:v>1</x:v>
      </x:c>
      <x:c r="W402" s="32" t="n">
        <x:v>1</x:v>
      </x:c>
      <x:c r="X402" s="50" t="n">
        <x:v>45866</x:v>
      </x:c>
      <x:c r="Y402" s="44" t="n">
        <x:v>500</x:v>
      </x:c>
      <x:c r="Z402" s="44" t="n">
        <x:f>IF(I402&gt;0,R402*(J402/I402),0)</x:f>
        <x:v>500</x:v>
      </x:c>
      <x:c r="AA402" s="44" t="n">
        <x:f>Z402-(R402*E402)</x:f>
        <x:v>235</x:v>
      </x:c>
      <x:c r="AB402" s="47" t="n">
        <x:f>IFERROR(AA402/Z402,0)</x:f>
        <x:v>0.47</x:v>
      </x:c>
      <x:c r="AC402" s="32" t="str">
        <x:f>IF(S402=0,"0%",IF(S402&lt;0.5,"1-49%",IF(S402&lt;0.8,"50-79%",IF(S402&lt;1,"80-99%","100%"))))</x:f>
        <x:v>1-49%</x:v>
      </x:c>
      <x:c r="AD402" s="33" t="str">
        <x:f>IF(G402&lt;0,"Stock negativo",IF(G402&lt;=0,"Sin stock actual",IF(I402&lt;=0,"Sin ventas desde compra",IF(Q402&lt;=0,"Con stock, sin ventas 365d",IF(S402&lt;0.5,"Rotación baja",IF(S402&lt;1,"Rotación media","Compra absorbida; stock repuesto"))))))</x:f>
        <x:v>Con stock, sin ventas 365d</x:v>
      </x:c>
    </x:row>
    <x:row r="403">
      <x:c r="A403" s="31" t="str">
        <x:v>203237</x:v>
      </x:c>
      <x:c r="B403" s="53" t="str">
        <x:v>GUAYA CLUCTH YAHASURA CB 110</x:v>
      </x:c>
      <x:c r="C403" s="32" t="n">
        <x:v>1</x:v>
      </x:c>
      <x:c r="D403" s="38" t="n">
        <x:v>1</x:v>
      </x:c>
      <x:c r="E403" s="44" t="n">
        <x:v>7000</x:v>
      </x:c>
      <x:c r="F403" s="44" t="n">
        <x:v>7000</x:v>
      </x:c>
      <x:c r="G403" s="41" t="n">
        <x:v>0</x:v>
      </x:c>
      <x:c r="H403" s="44" t="n">
        <x:f>MAX(G403,0)*E403</x:f>
        <x:v>0</x:v>
      </x:c>
      <x:c r="I403" s="38" t="n">
        <x:v>1</x:v>
      </x:c>
      <x:c r="J403" s="44" t="n">
        <x:v>12000</x:v>
      </x:c>
      <x:c r="K403" s="32" t="n">
        <x:v>1</x:v>
      </x:c>
      <x:c r="L403" s="50" t="n">
        <x:v>45510.65505787037</x:v>
      </x:c>
      <x:c r="M403" s="50" t="n">
        <x:v>45510.65505787037</x:v>
      </x:c>
      <x:c r="N403" s="32" t="n">
        <x:f>IF(M403="","",MAX(0,'Resumen'!$B$3-M403))</x:f>
        <x:v>756.3449421296318</x:v>
      </x:c>
      <x:c r="O403" s="38" t="n">
        <x:v>0</x:v>
      </x:c>
      <x:c r="P403" s="38" t="n">
        <x:v>0</x:v>
      </x:c>
      <x:c r="Q403" s="38" t="n">
        <x:v>0</x:v>
      </x:c>
      <x:c r="R403" s="38" t="n">
        <x:f>MIN(D403,I403)</x:f>
        <x:v>1</x:v>
      </x:c>
      <x:c r="S403" s="47" t="n">
        <x:f>IFERROR(R403/D403,0)</x:f>
        <x:v>1</x:v>
      </x:c>
      <x:c r="T403" s="38" t="n">
        <x:f>MIN(MAX(G403,0),MAX(D403-I403,0))</x:f>
        <x:v>0</x:v>
      </x:c>
      <x:c r="U403" s="44" t="n">
        <x:f>T403*E403</x:f>
        <x:v>0</x:v>
      </x:c>
      <x:c r="V403" s="38" t="n">
        <x:v>0</x:v>
      </x:c>
      <x:c r="W403" s="32" t="n">
        <x:v>0</x:v>
      </x:c>
      <x:c r="X403" s="50"/>
      <x:c r="Y403" s="44" t="n">
        <x:v>12000</x:v>
      </x:c>
      <x:c r="Z403" s="44" t="n">
        <x:f>IF(I403&gt;0,R403*(J403/I403),0)</x:f>
        <x:v>12000</x:v>
      </x:c>
      <x:c r="AA403" s="44" t="n">
        <x:f>Z403-(R403*E403)</x:f>
        <x:v>5000</x:v>
      </x:c>
      <x:c r="AB403" s="47" t="n">
        <x:f>IFERROR(AA403/Z403,0)</x:f>
        <x:v>0.4166666666666667</x:v>
      </x:c>
      <x:c r="AC403" s="32" t="str">
        <x:f>IF(S403=0,"0%",IF(S403&lt;0.5,"1-49%",IF(S403&lt;0.8,"50-79%",IF(S403&lt;1,"80-99%","100%"))))</x:f>
        <x:v>100%</x:v>
      </x:c>
      <x:c r="AD403" s="33" t="str">
        <x:f>IF(G403&lt;0,"Stock negativo",IF(G403&lt;=0,"Sin stock actual",IF(I403&lt;=0,"Sin ventas desde compra",IF(Q403&lt;=0,"Con stock, sin ventas 365d",IF(S403&lt;0.5,"Rotación baja",IF(S403&lt;1,"Rotación media","Compra absorbida; stock repuesto"))))))</x:f>
        <x:v>Sin stock actual</x:v>
      </x:c>
    </x:row>
    <x:row r="404">
      <x:c r="A404" s="31" t="str">
        <x:v>215020</x:v>
      </x:c>
      <x:c r="B404" s="53" t="str">
        <x:v>GUAYA ACELERADOR NXR BROS 125 IMBRA</x:v>
      </x:c>
      <x:c r="C404" s="32" t="n">
        <x:v>1</x:v>
      </x:c>
      <x:c r="D404" s="38" t="n">
        <x:v>1</x:v>
      </x:c>
      <x:c r="E404" s="44" t="n">
        <x:v>7000</x:v>
      </x:c>
      <x:c r="F404" s="44" t="n">
        <x:v>7000</x:v>
      </x:c>
      <x:c r="G404" s="41" t="n">
        <x:v>1</x:v>
      </x:c>
      <x:c r="H404" s="44" t="n">
        <x:f>MAX(G404,0)*E404</x:f>
        <x:v>7000</x:v>
      </x:c>
      <x:c r="I404" s="38" t="n">
        <x:v>0</x:v>
      </x:c>
      <x:c r="J404" s="44" t="n">
        <x:v>0</x:v>
      </x:c>
      <x:c r="K404" s="32" t="n">
        <x:v>0</x:v>
      </x:c>
      <x:c r="L404" s="50"/>
      <x:c r="M404" s="50"/>
      <x:c r="N404" s="32" t="str">
        <x:f>IF(M404="","",MAX(0,'Resumen'!$B$3-M404))</x:f>
      </x:c>
      <x:c r="O404" s="38" t="n">
        <x:v>0</x:v>
      </x:c>
      <x:c r="P404" s="38" t="n">
        <x:v>0</x:v>
      </x:c>
      <x:c r="Q404" s="38" t="n">
        <x:v>0</x:v>
      </x:c>
      <x:c r="R404" s="38" t="n">
        <x:f>MIN(D404,I404)</x:f>
        <x:v>0</x:v>
      </x:c>
      <x:c r="S404" s="47" t="n">
        <x:f>IFERROR(R404/D404,0)</x:f>
        <x:v>0</x:v>
      </x:c>
      <x:c r="T404" s="38" t="n">
        <x:f>MIN(MAX(G404,0),MAX(D404-I404,0))</x:f>
        <x:v>1</x:v>
      </x:c>
      <x:c r="U404" s="44" t="n">
        <x:f>T404*E404</x:f>
        <x:v>7000</x:v>
      </x:c>
      <x:c r="V404" s="38" t="n">
        <x:v>0</x:v>
      </x:c>
      <x:c r="W404" s="32" t="n">
        <x:v>0</x:v>
      </x:c>
      <x:c r="X404" s="50"/>
      <x:c r="Y404" s="44" t="n">
        <x:v>12000</x:v>
      </x:c>
      <x:c r="Z404" s="44" t="n">
        <x:f>IF(I404&gt;0,R404*(J404/I404),0)</x:f>
        <x:v>0</x:v>
      </x:c>
      <x:c r="AA404" s="44" t="n">
        <x:f>Z404-(R404*E404)</x:f>
        <x:v>0</x:v>
      </x:c>
      <x:c r="AB404" s="47" t="n">
        <x:f>IFERROR(AA404/Z404,0)</x:f>
        <x:v>0</x:v>
      </x:c>
      <x:c r="AC404" s="32" t="str">
        <x:f>IF(S404=0,"0%",IF(S404&lt;0.5,"1-49%",IF(S404&lt;0.8,"50-79%",IF(S404&lt;1,"80-99%","100%"))))</x:f>
        <x:v>0%</x:v>
      </x:c>
      <x:c r="AD404" s="33" t="str">
        <x:f>IF(G404&lt;0,"Stock negativo",IF(G404&lt;=0,"Sin stock actual",IF(I404&lt;=0,"Sin ventas desde compra",IF(Q404&lt;=0,"Con stock, sin ventas 365d",IF(S404&lt;0.5,"Rotación baja",IF(S404&lt;1,"Rotación media","Compra absorbida; stock repuesto"))))))</x:f>
        <x:v>Sin ventas desde compra</x:v>
      </x:c>
    </x:row>
    <x:row r="405">
      <x:c r="A405" s="31" t="str">
        <x:v>EMP - 05X137</x:v>
      </x:c>
      <x:c r="B405" s="53" t="str">
        <x:v>EMPAQUE TAPA VOLANTE HONDA ECO DELUXE DARROW</x:v>
      </x:c>
      <x:c r="C405" s="32" t="n">
        <x:v>1</x:v>
      </x:c>
      <x:c r="D405" s="38" t="n">
        <x:v>5</x:v>
      </x:c>
      <x:c r="E405" s="44" t="n">
        <x:v>1400</x:v>
      </x:c>
      <x:c r="F405" s="44" t="n">
        <x:v>7000</x:v>
      </x:c>
      <x:c r="G405" s="41" t="n">
        <x:v>3</x:v>
      </x:c>
      <x:c r="H405" s="44" t="n">
        <x:f>MAX(G405,0)*E405</x:f>
        <x:v>4200</x:v>
      </x:c>
      <x:c r="I405" s="38" t="n">
        <x:v>2</x:v>
      </x:c>
      <x:c r="J405" s="44" t="n">
        <x:v>7000</x:v>
      </x:c>
      <x:c r="K405" s="32" t="n">
        <x:v>2</x:v>
      </x:c>
      <x:c r="L405" s="50" t="n">
        <x:v>45525.68413194444</x:v>
      </x:c>
      <x:c r="M405" s="50" t="n">
        <x:v>46158.625497685185</x:v>
      </x:c>
      <x:c r="N405" s="32" t="n">
        <x:f>IF(M405="","",MAX(0,'Resumen'!$B$3-M405))</x:f>
        <x:v>108.37450231481489</x:v>
      </x:c>
      <x:c r="O405" s="38" t="n">
        <x:v>0</x:v>
      </x:c>
      <x:c r="P405" s="38" t="n">
        <x:v>0</x:v>
      </x:c>
      <x:c r="Q405" s="38" t="n">
        <x:v>1</x:v>
      </x:c>
      <x:c r="R405" s="38" t="n">
        <x:f>MIN(D405,I405)</x:f>
        <x:v>2</x:v>
      </x:c>
      <x:c r="S405" s="47" t="n">
        <x:f>IFERROR(R405/D405,0)</x:f>
        <x:v>0.4</x:v>
      </x:c>
      <x:c r="T405" s="38" t="n">
        <x:f>MIN(MAX(G405,0),MAX(D405-I405,0))</x:f>
        <x:v>3</x:v>
      </x:c>
      <x:c r="U405" s="44" t="n">
        <x:f>T405*E405</x:f>
        <x:v>4200</x:v>
      </x:c>
      <x:c r="V405" s="38" t="n">
        <x:v>0</x:v>
      </x:c>
      <x:c r="W405" s="32" t="n">
        <x:v>0</x:v>
      </x:c>
      <x:c r="X405" s="50"/>
      <x:c r="Y405" s="44" t="n">
        <x:v>2500</x:v>
      </x:c>
      <x:c r="Z405" s="44" t="n">
        <x:f>IF(I405&gt;0,R405*(J405/I405),0)</x:f>
        <x:v>7000</x:v>
      </x:c>
      <x:c r="AA405" s="44" t="n">
        <x:f>Z405-(R405*E405)</x:f>
        <x:v>4200</x:v>
      </x:c>
      <x:c r="AB405" s="47" t="n">
        <x:f>IFERROR(AA405/Z405,0)</x:f>
        <x:v>0.6</x:v>
      </x:c>
      <x:c r="AC405" s="32" t="str">
        <x:f>IF(S405=0,"0%",IF(S405&lt;0.5,"1-49%",IF(S405&lt;0.8,"50-79%",IF(S405&lt;1,"80-99%","100%"))))</x:f>
        <x:v>1-49%</x:v>
      </x:c>
      <x:c r="AD405" s="33" t="str">
        <x:f>IF(G405&lt;0,"Stock negativo",IF(G405&lt;=0,"Sin stock actual",IF(I405&lt;=0,"Sin ventas desde compra",IF(Q405&lt;=0,"Con stock, sin ventas 365d",IF(S405&lt;0.5,"Rotación baja",IF(S405&lt;1,"Rotación media","Compra absorbida; stock repuesto"))))))</x:f>
        <x:v>Rotación baja</x:v>
      </x:c>
    </x:row>
    <x:row r="406">
      <x:c r="A406" s="31" t="str">
        <x:v>MOTS1011</x:v>
      </x:c>
      <x:c r="B406" s="53" t="str">
        <x:v>ACEITE 2T PREMIUN PINTA CAMAR</x:v>
      </x:c>
      <x:c r="C406" s="32" t="n">
        <x:v>1</x:v>
      </x:c>
      <x:c r="D406" s="38" t="n">
        <x:v>2</x:v>
      </x:c>
      <x:c r="E406" s="44" t="n">
        <x:v>3500</x:v>
      </x:c>
      <x:c r="F406" s="44" t="n">
        <x:v>7000</x:v>
      </x:c>
      <x:c r="G406" s="41" t="n">
        <x:v>0</x:v>
      </x:c>
      <x:c r="H406" s="44" t="n">
        <x:f>MAX(G406,0)*E406</x:f>
        <x:v>0</x:v>
      </x:c>
      <x:c r="I406" s="38" t="n">
        <x:v>2</x:v>
      </x:c>
      <x:c r="J406" s="44" t="n">
        <x:v>12000</x:v>
      </x:c>
      <x:c r="K406" s="32" t="n">
        <x:v>2</x:v>
      </x:c>
      <x:c r="L406" s="50" t="n">
        <x:v>45575.58013888889</x:v>
      </x:c>
      <x:c r="M406" s="50" t="n">
        <x:v>45606.899930555555</x:v>
      </x:c>
      <x:c r="N406" s="32" t="n">
        <x:f>IF(M406="","",MAX(0,'Resumen'!$B$3-M406))</x:f>
        <x:v>660.1000694444447</x:v>
      </x:c>
      <x:c r="O406" s="38" t="n">
        <x:v>0</x:v>
      </x:c>
      <x:c r="P406" s="38" t="n">
        <x:v>0</x:v>
      </x:c>
      <x:c r="Q406" s="38" t="n">
        <x:v>0</x:v>
      </x:c>
      <x:c r="R406" s="38" t="n">
        <x:f>MIN(D406,I406)</x:f>
        <x:v>2</x:v>
      </x:c>
      <x:c r="S406" s="47" t="n">
        <x:f>IFERROR(R406/D406,0)</x:f>
        <x:v>1</x:v>
      </x:c>
      <x:c r="T406" s="38" t="n">
        <x:f>MIN(MAX(G406,0),MAX(D406-I406,0))</x:f>
        <x:v>0</x:v>
      </x:c>
      <x:c r="U406" s="44" t="n">
        <x:f>T406*E406</x:f>
        <x:v>0</x:v>
      </x:c>
      <x:c r="V406" s="38" t="n">
        <x:v>0</x:v>
      </x:c>
      <x:c r="W406" s="32" t="n">
        <x:v>0</x:v>
      </x:c>
      <x:c r="X406" s="50"/>
      <x:c r="Y406" s="44" t="n">
        <x:v>6000</x:v>
      </x:c>
      <x:c r="Z406" s="44" t="n">
        <x:f>IF(I406&gt;0,R406*(J406/I406),0)</x:f>
        <x:v>12000</x:v>
      </x:c>
      <x:c r="AA406" s="44" t="n">
        <x:f>Z406-(R406*E406)</x:f>
        <x:v>5000</x:v>
      </x:c>
      <x:c r="AB406" s="47" t="n">
        <x:f>IFERROR(AA406/Z406,0)</x:f>
        <x:v>0.4166666666666667</x:v>
      </x:c>
      <x:c r="AC406" s="32" t="str">
        <x:f>IF(S406=0,"0%",IF(S406&lt;0.5,"1-49%",IF(S406&lt;0.8,"50-79%",IF(S406&lt;1,"80-99%","100%"))))</x:f>
        <x:v>100%</x:v>
      </x:c>
      <x:c r="AD406" s="33" t="str">
        <x:f>IF(G406&lt;0,"Stock negativo",IF(G406&lt;=0,"Sin stock actual",IF(I406&lt;=0,"Sin ventas desde compra",IF(Q406&lt;=0,"Con stock, sin ventas 365d",IF(S406&lt;0.5,"Rotación baja",IF(S406&lt;1,"Rotación media","Compra absorbida; stock repuesto"))))))</x:f>
        <x:v>Sin stock actual</x:v>
      </x:c>
    </x:row>
    <x:row r="407">
      <x:c r="A407" s="31" t="str">
        <x:v>MOTS1012</x:v>
      </x:c>
      <x:c r="B407" s="53" t="str">
        <x:v>ACEITE 20W - 50 4T PINTA CAMAR</x:v>
      </x:c>
      <x:c r="C407" s="32" t="n">
        <x:v>1</x:v>
      </x:c>
      <x:c r="D407" s="38" t="n">
        <x:v>2</x:v>
      </x:c>
      <x:c r="E407" s="44" t="n">
        <x:v>3500</x:v>
      </x:c>
      <x:c r="F407" s="44" t="n">
        <x:v>7000</x:v>
      </x:c>
      <x:c r="G407" s="41" t="n">
        <x:v>1</x:v>
      </x:c>
      <x:c r="H407" s="44" t="n">
        <x:f>MAX(G407,0)*E407</x:f>
        <x:v>3500</x:v>
      </x:c>
      <x:c r="I407" s="38" t="n">
        <x:v>2</x:v>
      </x:c>
      <x:c r="J407" s="44" t="n">
        <x:v>12000</x:v>
      </x:c>
      <x:c r="K407" s="32" t="n">
        <x:v>2</x:v>
      </x:c>
      <x:c r="L407" s="50" t="n">
        <x:v>45569.85923611111</x:v>
      </x:c>
      <x:c r="M407" s="50" t="n">
        <x:v>45572.970972222225</x:v>
      </x:c>
      <x:c r="N407" s="32" t="n">
        <x:f>IF(M407="","",MAX(0,'Resumen'!$B$3-M407))</x:f>
        <x:v>694.0290277777749</x:v>
      </x:c>
      <x:c r="O407" s="38" t="n">
        <x:v>0</x:v>
      </x:c>
      <x:c r="P407" s="38" t="n">
        <x:v>0</x:v>
      </x:c>
      <x:c r="Q407" s="38" t="n">
        <x:v>0</x:v>
      </x:c>
      <x:c r="R407" s="38" t="n">
        <x:f>MIN(D407,I407)</x:f>
        <x:v>2</x:v>
      </x:c>
      <x:c r="S407" s="47" t="n">
        <x:f>IFERROR(R407/D407,0)</x:f>
        <x:v>1</x:v>
      </x:c>
      <x:c r="T407" s="38" t="n">
        <x:f>MIN(MAX(G407,0),MAX(D407-I407,0))</x:f>
        <x:v>0</x:v>
      </x:c>
      <x:c r="U407" s="44" t="n">
        <x:f>T407*E407</x:f>
        <x:v>0</x:v>
      </x:c>
      <x:c r="V407" s="38" t="n">
        <x:v>1</x:v>
      </x:c>
      <x:c r="W407" s="32" t="n">
        <x:v>1</x:v>
      </x:c>
      <x:c r="X407" s="50" t="n">
        <x:v>45925</x:v>
      </x:c>
      <x:c r="Y407" s="44" t="n">
        <x:v>6000</x:v>
      </x:c>
      <x:c r="Z407" s="44" t="n">
        <x:f>IF(I407&gt;0,R407*(J407/I407),0)</x:f>
        <x:v>12000</x:v>
      </x:c>
      <x:c r="AA407" s="44" t="n">
        <x:f>Z407-(R407*E407)</x:f>
        <x:v>5000</x:v>
      </x:c>
      <x:c r="AB407" s="47" t="n">
        <x:f>IFERROR(AA407/Z407,0)</x:f>
        <x:v>0.4166666666666667</x:v>
      </x:c>
      <x:c r="AC407" s="32" t="str">
        <x:f>IF(S407=0,"0%",IF(S407&lt;0.5,"1-49%",IF(S407&lt;0.8,"50-79%",IF(S407&lt;1,"80-99%","100%"))))</x:f>
        <x:v>100%</x:v>
      </x:c>
      <x:c r="AD407" s="33" t="str">
        <x:f>IF(G407&lt;0,"Stock negativo",IF(G407&lt;=0,"Sin stock actual",IF(I407&lt;=0,"Sin ventas desde compra",IF(Q407&lt;=0,"Con stock, sin ventas 365d",IF(S407&lt;0.5,"Rotación baja",IF(S407&lt;1,"Rotación media","Compra absorbida; stock repuesto"))))))</x:f>
        <x:v>Con stock, sin ventas 365d</x:v>
      </x:c>
    </x:row>
    <x:row r="408">
      <x:c r="A408" s="31" t="str">
        <x:v>MOTS1129</x:v>
      </x:c>
      <x:c r="B408" s="53" t="str">
        <x:v>DIRECCIONAL LED ANTI SHOK</x:v>
      </x:c>
      <x:c r="C408" s="32" t="n">
        <x:v>1</x:v>
      </x:c>
      <x:c r="D408" s="38" t="n">
        <x:v>1</x:v>
      </x:c>
      <x:c r="E408" s="44" t="n">
        <x:v>7000</x:v>
      </x:c>
      <x:c r="F408" s="44" t="n">
        <x:v>7000</x:v>
      </x:c>
      <x:c r="G408" s="41" t="n">
        <x:v>1</x:v>
      </x:c>
      <x:c r="H408" s="44" t="n">
        <x:f>MAX(G408,0)*E408</x:f>
        <x:v>7000</x:v>
      </x:c>
      <x:c r="I408" s="38" t="n">
        <x:v>0</x:v>
      </x:c>
      <x:c r="J408" s="44" t="n">
        <x:v>0</x:v>
      </x:c>
      <x:c r="K408" s="32" t="n">
        <x:v>0</x:v>
      </x:c>
      <x:c r="L408" s="50"/>
      <x:c r="M408" s="50"/>
      <x:c r="N408" s="32" t="str">
        <x:f>IF(M408="","",MAX(0,'Resumen'!$B$3-M408))</x:f>
      </x:c>
      <x:c r="O408" s="38" t="n">
        <x:v>0</x:v>
      </x:c>
      <x:c r="P408" s="38" t="n">
        <x:v>0</x:v>
      </x:c>
      <x:c r="Q408" s="38" t="n">
        <x:v>0</x:v>
      </x:c>
      <x:c r="R408" s="38" t="n">
        <x:f>MIN(D408,I408)</x:f>
        <x:v>0</x:v>
      </x:c>
      <x:c r="S408" s="47" t="n">
        <x:f>IFERROR(R408/D408,0)</x:f>
        <x:v>0</x:v>
      </x:c>
      <x:c r="T408" s="38" t="n">
        <x:f>MIN(MAX(G408,0),MAX(D408-I408,0))</x:f>
        <x:v>1</x:v>
      </x:c>
      <x:c r="U408" s="44" t="n">
        <x:f>T408*E408</x:f>
        <x:v>7000</x:v>
      </x:c>
      <x:c r="V408" s="38" t="n">
        <x:v>0</x:v>
      </x:c>
      <x:c r="W408" s="32" t="n">
        <x:v>0</x:v>
      </x:c>
      <x:c r="X408" s="50"/>
      <x:c r="Y408" s="44" t="n">
        <x:v>12000</x:v>
      </x:c>
      <x:c r="Z408" s="44" t="n">
        <x:f>IF(I408&gt;0,R408*(J408/I408),0)</x:f>
        <x:v>0</x:v>
      </x:c>
      <x:c r="AA408" s="44" t="n">
        <x:f>Z408-(R408*E408)</x:f>
        <x:v>0</x:v>
      </x:c>
      <x:c r="AB408" s="47" t="n">
        <x:f>IFERROR(AA408/Z408,0)</x:f>
        <x:v>0</x:v>
      </x:c>
      <x:c r="AC408" s="32" t="str">
        <x:f>IF(S408=0,"0%",IF(S408&lt;0.5,"1-49%",IF(S408&lt;0.8,"50-79%",IF(S408&lt;1,"80-99%","100%"))))</x:f>
        <x:v>0%</x:v>
      </x:c>
      <x:c r="AD408" s="33" t="str">
        <x:f>IF(G408&lt;0,"Stock negativo",IF(G408&lt;=0,"Sin stock actual",IF(I408&lt;=0,"Sin ventas desde compra",IF(Q408&lt;=0,"Con stock, sin ventas 365d",IF(S408&lt;0.5,"Rotación baja",IF(S408&lt;1,"Rotación media","Compra absorbida; stock repuesto"))))))</x:f>
        <x:v>Sin ventas desde compra</x:v>
      </x:c>
    </x:row>
    <x:row r="409">
      <x:c r="A409" s="31" t="str">
        <x:v>MOTS1167</x:v>
      </x:c>
      <x:c r="B409" s="53" t="str">
        <x:v>CAUCHO MANZANA YAMAHA LIBERO IMBRA</x:v>
      </x:c>
      <x:c r="C409" s="32" t="n">
        <x:v>1</x:v>
      </x:c>
      <x:c r="D409" s="38" t="n">
        <x:v>2</x:v>
      </x:c>
      <x:c r="E409" s="44" t="n">
        <x:v>3500</x:v>
      </x:c>
      <x:c r="F409" s="44" t="n">
        <x:v>7000</x:v>
      </x:c>
      <x:c r="G409" s="41" t="n">
        <x:v>1</x:v>
      </x:c>
      <x:c r="H409" s="44" t="n">
        <x:f>MAX(G409,0)*E409</x:f>
        <x:v>3500</x:v>
      </x:c>
      <x:c r="I409" s="38" t="n">
        <x:v>2</x:v>
      </x:c>
      <x:c r="J409" s="44" t="n">
        <x:v>12000</x:v>
      </x:c>
      <x:c r="K409" s="32" t="n">
        <x:v>2</x:v>
      </x:c>
      <x:c r="L409" s="50" t="n">
        <x:v>45596.75517361111</x:v>
      </x:c>
      <x:c r="M409" s="50" t="n">
        <x:v>45756.56047453704</x:v>
      </x:c>
      <x:c r="N409" s="32" t="n">
        <x:f>IF(M409="","",MAX(0,'Resumen'!$B$3-M409))</x:f>
        <x:v>510.4395254629635</x:v>
      </x:c>
      <x:c r="O409" s="38" t="n">
        <x:v>0</x:v>
      </x:c>
      <x:c r="P409" s="38" t="n">
        <x:v>0</x:v>
      </x:c>
      <x:c r="Q409" s="38" t="n">
        <x:v>0</x:v>
      </x:c>
      <x:c r="R409" s="38" t="n">
        <x:f>MIN(D409,I409)</x:f>
        <x:v>2</x:v>
      </x:c>
      <x:c r="S409" s="47" t="n">
        <x:f>IFERROR(R409/D409,0)</x:f>
        <x:v>1</x:v>
      </x:c>
      <x:c r="T409" s="38" t="n">
        <x:f>MIN(MAX(G409,0),MAX(D409-I409,0))</x:f>
        <x:v>0</x:v>
      </x:c>
      <x:c r="U409" s="44" t="n">
        <x:f>T409*E409</x:f>
        <x:v>0</x:v>
      </x:c>
      <x:c r="V409" s="38" t="n">
        <x:v>1</x:v>
      </x:c>
      <x:c r="W409" s="32" t="n">
        <x:v>1</x:v>
      </x:c>
      <x:c r="X409" s="50" t="n">
        <x:v>45767</x:v>
      </x:c>
      <x:c r="Y409" s="44" t="n">
        <x:v>6000</x:v>
      </x:c>
      <x:c r="Z409" s="44" t="n">
        <x:f>IF(I409&gt;0,R409*(J409/I409),0)</x:f>
        <x:v>12000</x:v>
      </x:c>
      <x:c r="AA409" s="44" t="n">
        <x:f>Z409-(R409*E409)</x:f>
        <x:v>5000</x:v>
      </x:c>
      <x:c r="AB409" s="47" t="n">
        <x:f>IFERROR(AA409/Z409,0)</x:f>
        <x:v>0.4166666666666667</x:v>
      </x:c>
      <x:c r="AC409" s="32" t="str">
        <x:f>IF(S409=0,"0%",IF(S409&lt;0.5,"1-49%",IF(S409&lt;0.8,"50-79%",IF(S409&lt;1,"80-99%","100%"))))</x:f>
        <x:v>100%</x:v>
      </x:c>
      <x:c r="AD409" s="33" t="str">
        <x:f>IF(G409&lt;0,"Stock negativo",IF(G409&lt;=0,"Sin stock actual",IF(I409&lt;=0,"Sin ventas desde compra",IF(Q409&lt;=0,"Con stock, sin ventas 365d",IF(S409&lt;0.5,"Rotación baja",IF(S409&lt;1,"Rotación media","Compra absorbida; stock repuesto"))))))</x:f>
        <x:v>Con stock, sin ventas 365d</x:v>
      </x:c>
    </x:row>
    <x:row r="410">
      <x:c r="A410" s="31" t="str">
        <x:v>MOTS1256</x:v>
      </x:c>
      <x:c r="B410" s="53" t="str">
        <x:v>GUAYA ACELADOR CABEZA FOSFORO SOLA</x:v>
      </x:c>
      <x:c r="C410" s="32" t="n">
        <x:v>1</x:v>
      </x:c>
      <x:c r="D410" s="38" t="n">
        <x:v>7</x:v>
      </x:c>
      <x:c r="E410" s="44" t="n">
        <x:v>1000</x:v>
      </x:c>
      <x:c r="F410" s="44" t="n">
        <x:v>7000</x:v>
      </x:c>
      <x:c r="G410" s="41" t="n">
        <x:v>5</x:v>
      </x:c>
      <x:c r="H410" s="44" t="n">
        <x:f>MAX(G410,0)*E410</x:f>
        <x:v>5000</x:v>
      </x:c>
      <x:c r="I410" s="38" t="n">
        <x:v>2</x:v>
      </x:c>
      <x:c r="J410" s="44" t="n">
        <x:v>4000</x:v>
      </x:c>
      <x:c r="K410" s="32" t="n">
        <x:v>2</x:v>
      </x:c>
      <x:c r="L410" s="50" t="n">
        <x:v>45735.59340277778</x:v>
      </x:c>
      <x:c r="M410" s="50" t="n">
        <x:v>46018.80837962963</x:v>
      </x:c>
      <x:c r="N410" s="32" t="n">
        <x:f>IF(M410="","",MAX(0,'Resumen'!$B$3-M410))</x:f>
        <x:v>248.19162037037313</x:v>
      </x:c>
      <x:c r="O410" s="38" t="n">
        <x:v>0</x:v>
      </x:c>
      <x:c r="P410" s="38" t="n">
        <x:v>0</x:v>
      </x:c>
      <x:c r="Q410" s="38" t="n">
        <x:v>1</x:v>
      </x:c>
      <x:c r="R410" s="38" t="n">
        <x:f>MIN(D410,I410)</x:f>
        <x:v>2</x:v>
      </x:c>
      <x:c r="S410" s="47" t="n">
        <x:f>IFERROR(R410/D410,0)</x:f>
        <x:v>0.2857142857142857</x:v>
      </x:c>
      <x:c r="T410" s="38" t="n">
        <x:f>MIN(MAX(G410,0),MAX(D410-I410,0))</x:f>
        <x:v>5</x:v>
      </x:c>
      <x:c r="U410" s="44" t="n">
        <x:f>T410*E410</x:f>
        <x:v>5000</x:v>
      </x:c>
      <x:c r="V410" s="38" t="n">
        <x:v>0</x:v>
      </x:c>
      <x:c r="W410" s="32" t="n">
        <x:v>0</x:v>
      </x:c>
      <x:c r="X410" s="50"/>
      <x:c r="Y410" s="44" t="n">
        <x:v>2000</x:v>
      </x:c>
      <x:c r="Z410" s="44" t="n">
        <x:f>IF(I410&gt;0,R410*(J410/I410),0)</x:f>
        <x:v>4000</x:v>
      </x:c>
      <x:c r="AA410" s="44" t="n">
        <x:f>Z410-(R410*E410)</x:f>
        <x:v>2000</x:v>
      </x:c>
      <x:c r="AB410" s="47" t="n">
        <x:f>IFERROR(AA410/Z410,0)</x:f>
        <x:v>0.5</x:v>
      </x:c>
      <x:c r="AC410" s="32" t="str">
        <x:f>IF(S410=0,"0%",IF(S410&lt;0.5,"1-49%",IF(S410&lt;0.8,"50-79%",IF(S410&lt;1,"80-99%","100%"))))</x:f>
        <x:v>1-49%</x:v>
      </x:c>
      <x:c r="AD410" s="33" t="str">
        <x:f>IF(G410&lt;0,"Stock negativo",IF(G410&lt;=0,"Sin stock actual",IF(I410&lt;=0,"Sin ventas desde compra",IF(Q410&lt;=0,"Con stock, sin ventas 365d",IF(S410&lt;0.5,"Rotación baja",IF(S410&lt;1,"Rotación media","Compra absorbida; stock repuesto"))))))</x:f>
        <x:v>Rotación baja</x:v>
      </x:c>
    </x:row>
    <x:row r="411">
      <x:c r="A411" s="31" t="str">
        <x:v>MOTS1259</x:v>
      </x:c>
      <x:c r="B411" s="53" t="str">
        <x:v>GUAYA FRENO XL 125 HONDA EVERTTI</x:v>
      </x:c>
      <x:c r="C411" s="32" t="n">
        <x:v>1</x:v>
      </x:c>
      <x:c r="D411" s="38" t="n">
        <x:v>2</x:v>
      </x:c>
      <x:c r="E411" s="44" t="n">
        <x:v>3500</x:v>
      </x:c>
      <x:c r="F411" s="44" t="n">
        <x:v>7000</x:v>
      </x:c>
      <x:c r="G411" s="41" t="n">
        <x:v>2</x:v>
      </x:c>
      <x:c r="H411" s="44" t="n">
        <x:f>MAX(G411,0)*E411</x:f>
        <x:v>7000</x:v>
      </x:c>
      <x:c r="I411" s="38" t="n">
        <x:v>0</x:v>
      </x:c>
      <x:c r="J411" s="44" t="n">
        <x:v>0</x:v>
      </x:c>
      <x:c r="K411" s="32" t="n">
        <x:v>0</x:v>
      </x:c>
      <x:c r="L411" s="50"/>
      <x:c r="M411" s="50"/>
      <x:c r="N411" s="32" t="str">
        <x:f>IF(M411="","",MAX(0,'Resumen'!$B$3-M411))</x:f>
      </x:c>
      <x:c r="O411" s="38" t="n">
        <x:v>0</x:v>
      </x:c>
      <x:c r="P411" s="38" t="n">
        <x:v>0</x:v>
      </x:c>
      <x:c r="Q411" s="38" t="n">
        <x:v>0</x:v>
      </x:c>
      <x:c r="R411" s="38" t="n">
        <x:f>MIN(D411,I411)</x:f>
        <x:v>0</x:v>
      </x:c>
      <x:c r="S411" s="47" t="n">
        <x:f>IFERROR(R411/D411,0)</x:f>
        <x:v>0</x:v>
      </x:c>
      <x:c r="T411" s="38" t="n">
        <x:f>MIN(MAX(G411,0),MAX(D411-I411,0))</x:f>
        <x:v>2</x:v>
      </x:c>
      <x:c r="U411" s="44" t="n">
        <x:f>T411*E411</x:f>
        <x:v>7000</x:v>
      </x:c>
      <x:c r="V411" s="38" t="n">
        <x:v>0</x:v>
      </x:c>
      <x:c r="W411" s="32" t="n">
        <x:v>0</x:v>
      </x:c>
      <x:c r="X411" s="50"/>
      <x:c r="Y411" s="44" t="n">
        <x:v>6000</x:v>
      </x:c>
      <x:c r="Z411" s="44" t="n">
        <x:f>IF(I411&gt;0,R411*(J411/I411),0)</x:f>
        <x:v>0</x:v>
      </x:c>
      <x:c r="AA411" s="44" t="n">
        <x:f>Z411-(R411*E411)</x:f>
        <x:v>0</x:v>
      </x:c>
      <x:c r="AB411" s="47" t="n">
        <x:f>IFERROR(AA411/Z411,0)</x:f>
        <x:v>0</x:v>
      </x:c>
      <x:c r="AC411" s="32" t="str">
        <x:f>IF(S411=0,"0%",IF(S411&lt;0.5,"1-49%",IF(S411&lt;0.8,"50-79%",IF(S411&lt;1,"80-99%","100%"))))</x:f>
        <x:v>0%</x:v>
      </x:c>
      <x:c r="AD411" s="33" t="str">
        <x:f>IF(G411&lt;0,"Stock negativo",IF(G411&lt;=0,"Sin stock actual",IF(I411&lt;=0,"Sin ventas desde compra",IF(Q411&lt;=0,"Con stock, sin ventas 365d",IF(S411&lt;0.5,"Rotación baja",IF(S411&lt;1,"Rotación media","Compra absorbida; stock repuesto"))))))</x:f>
        <x:v>Sin ventas desde compra</x:v>
      </x:c>
    </x:row>
    <x:row r="412">
      <x:c r="A412" s="31" t="str">
        <x:v>MOTS1263</x:v>
      </x:c>
      <x:c r="B412" s="53" t="str">
        <x:v>GUAYA VELOCIMETRO XTZ 125 SYK</x:v>
      </x:c>
      <x:c r="C412" s="32" t="n">
        <x:v>1</x:v>
      </x:c>
      <x:c r="D412" s="38" t="n">
        <x:v>2</x:v>
      </x:c>
      <x:c r="E412" s="44" t="n">
        <x:v>3500</x:v>
      </x:c>
      <x:c r="F412" s="44" t="n">
        <x:v>7000</x:v>
      </x:c>
      <x:c r="G412" s="41" t="n">
        <x:v>1</x:v>
      </x:c>
      <x:c r="H412" s="44" t="n">
        <x:f>MAX(G412,0)*E412</x:f>
        <x:v>3500</x:v>
      </x:c>
      <x:c r="I412" s="38" t="n">
        <x:v>1</x:v>
      </x:c>
      <x:c r="J412" s="44" t="n">
        <x:v>6000</x:v>
      </x:c>
      <x:c r="K412" s="32" t="n">
        <x:v>1</x:v>
      </x:c>
      <x:c r="L412" s="50" t="n">
        <x:v>45501.67018518518</x:v>
      </x:c>
      <x:c r="M412" s="50" t="n">
        <x:v>45501.67018518518</x:v>
      </x:c>
      <x:c r="N412" s="32" t="n">
        <x:f>IF(M412="","",MAX(0,'Resumen'!$B$3-M412))</x:f>
        <x:v>765.3298148148169</x:v>
      </x:c>
      <x:c r="O412" s="38" t="n">
        <x:v>0</x:v>
      </x:c>
      <x:c r="P412" s="38" t="n">
        <x:v>0</x:v>
      </x:c>
      <x:c r="Q412" s="38" t="n">
        <x:v>0</x:v>
      </x:c>
      <x:c r="R412" s="38" t="n">
        <x:f>MIN(D412,I412)</x:f>
        <x:v>1</x:v>
      </x:c>
      <x:c r="S412" s="47" t="n">
        <x:f>IFERROR(R412/D412,0)</x:f>
        <x:v>0.5</x:v>
      </x:c>
      <x:c r="T412" s="38" t="n">
        <x:f>MIN(MAX(G412,0),MAX(D412-I412,0))</x:f>
        <x:v>1</x:v>
      </x:c>
      <x:c r="U412" s="44" t="n">
        <x:f>T412*E412</x:f>
        <x:v>3500</x:v>
      </x:c>
      <x:c r="V412" s="38" t="n">
        <x:v>0</x:v>
      </x:c>
      <x:c r="W412" s="32" t="n">
        <x:v>0</x:v>
      </x:c>
      <x:c r="X412" s="50"/>
      <x:c r="Y412" s="44" t="n">
        <x:v>6000</x:v>
      </x:c>
      <x:c r="Z412" s="44" t="n">
        <x:f>IF(I412&gt;0,R412*(J412/I412),0)</x:f>
        <x:v>6000</x:v>
      </x:c>
      <x:c r="AA412" s="44" t="n">
        <x:f>Z412-(R412*E412)</x:f>
        <x:v>2500</x:v>
      </x:c>
      <x:c r="AB412" s="47" t="n">
        <x:f>IFERROR(AA412/Z412,0)</x:f>
        <x:v>0.4166666666666667</x:v>
      </x:c>
      <x:c r="AC412" s="32" t="str">
        <x:f>IF(S412=0,"0%",IF(S412&lt;0.5,"1-49%",IF(S412&lt;0.8,"50-79%",IF(S412&lt;1,"80-99%","100%"))))</x:f>
        <x:v>50-79%</x:v>
      </x:c>
      <x:c r="AD412" s="33" t="str">
        <x:f>IF(G412&lt;0,"Stock negativo",IF(G412&lt;=0,"Sin stock actual",IF(I412&lt;=0,"Sin ventas desde compra",IF(Q412&lt;=0,"Con stock, sin ventas 365d",IF(S412&lt;0.5,"Rotación baja",IF(S412&lt;1,"Rotación media","Compra absorbida; stock repuesto"))))))</x:f>
        <x:v>Con stock, sin ventas 365d</x:v>
      </x:c>
    </x:row>
    <x:row r="413">
      <x:c r="A413" s="31" t="str">
        <x:v>MOTS1265</x:v>
      </x:c>
      <x:c r="B413" s="53" t="str">
        <x:v>GUAYA VELOCIMETRO DT 125</x:v>
      </x:c>
      <x:c r="C413" s="32" t="n">
        <x:v>1</x:v>
      </x:c>
      <x:c r="D413" s="38" t="n">
        <x:v>1</x:v>
      </x:c>
      <x:c r="E413" s="44" t="n">
        <x:v>7000</x:v>
      </x:c>
      <x:c r="F413" s="44" t="n">
        <x:v>7000</x:v>
      </x:c>
      <x:c r="G413" s="41" t="n">
        <x:v>1</x:v>
      </x:c>
      <x:c r="H413" s="44" t="n">
        <x:f>MAX(G413,0)*E413</x:f>
        <x:v>7000</x:v>
      </x:c>
      <x:c r="I413" s="38" t="n">
        <x:v>0</x:v>
      </x:c>
      <x:c r="J413" s="44" t="n">
        <x:v>0</x:v>
      </x:c>
      <x:c r="K413" s="32" t="n">
        <x:v>0</x:v>
      </x:c>
      <x:c r="L413" s="50"/>
      <x:c r="M413" s="50"/>
      <x:c r="N413" s="32" t="str">
        <x:f>IF(M413="","",MAX(0,'Resumen'!$B$3-M413))</x:f>
      </x:c>
      <x:c r="O413" s="38" t="n">
        <x:v>0</x:v>
      </x:c>
      <x:c r="P413" s="38" t="n">
        <x:v>0</x:v>
      </x:c>
      <x:c r="Q413" s="38" t="n">
        <x:v>0</x:v>
      </x:c>
      <x:c r="R413" s="38" t="n">
        <x:f>MIN(D413,I413)</x:f>
        <x:v>0</x:v>
      </x:c>
      <x:c r="S413" s="47" t="n">
        <x:f>IFERROR(R413/D413,0)</x:f>
        <x:v>0</x:v>
      </x:c>
      <x:c r="T413" s="38" t="n">
        <x:f>MIN(MAX(G413,0),MAX(D413-I413,0))</x:f>
        <x:v>1</x:v>
      </x:c>
      <x:c r="U413" s="44" t="n">
        <x:f>T413*E413</x:f>
        <x:v>7000</x:v>
      </x:c>
      <x:c r="V413" s="38" t="n">
        <x:v>0</x:v>
      </x:c>
      <x:c r="W413" s="32" t="n">
        <x:v>0</x:v>
      </x:c>
      <x:c r="X413" s="50"/>
      <x:c r="Y413" s="44" t="n">
        <x:v>12000</x:v>
      </x:c>
      <x:c r="Z413" s="44" t="n">
        <x:f>IF(I413&gt;0,R413*(J413/I413),0)</x:f>
        <x:v>0</x:v>
      </x:c>
      <x:c r="AA413" s="44" t="n">
        <x:f>Z413-(R413*E413)</x:f>
        <x:v>0</x:v>
      </x:c>
      <x:c r="AB413" s="47" t="n">
        <x:f>IFERROR(AA413/Z413,0)</x:f>
        <x:v>0</x:v>
      </x:c>
      <x:c r="AC413" s="32" t="str">
        <x:f>IF(S413=0,"0%",IF(S413&lt;0.5,"1-49%",IF(S413&lt;0.8,"50-79%",IF(S413&lt;1,"80-99%","100%"))))</x:f>
        <x:v>0%</x:v>
      </x:c>
      <x:c r="AD413" s="33" t="str">
        <x:f>IF(G413&lt;0,"Stock negativo",IF(G413&lt;=0,"Sin stock actual",IF(I413&lt;=0,"Sin ventas desde compra",IF(Q413&lt;=0,"Con stock, sin ventas 365d",IF(S413&lt;0.5,"Rotación baja",IF(S413&lt;1,"Rotación media","Compra absorbida; stock repuesto"))))))</x:f>
        <x:v>Sin ventas desde compra</x:v>
      </x:c>
    </x:row>
    <x:row r="414">
      <x:c r="A414" s="31" t="str">
        <x:v>MOTS1274</x:v>
      </x:c>
      <x:c r="B414" s="53" t="str">
        <x:v>GUAYA ACELERADOR AKT 110 ESPECIAL</x:v>
      </x:c>
      <x:c r="C414" s="32" t="n">
        <x:v>1</x:v>
      </x:c>
      <x:c r="D414" s="38" t="n">
        <x:v>1</x:v>
      </x:c>
      <x:c r="E414" s="44" t="n">
        <x:v>7000</x:v>
      </x:c>
      <x:c r="F414" s="44" t="n">
        <x:v>7000</x:v>
      </x:c>
      <x:c r="G414" s="41" t="n">
        <x:v>1</x:v>
      </x:c>
      <x:c r="H414" s="44" t="n">
        <x:f>MAX(G414,0)*E414</x:f>
        <x:v>7000</x:v>
      </x:c>
      <x:c r="I414" s="38" t="n">
        <x:v>0</x:v>
      </x:c>
      <x:c r="J414" s="44" t="n">
        <x:v>0</x:v>
      </x:c>
      <x:c r="K414" s="32" t="n">
        <x:v>0</x:v>
      </x:c>
      <x:c r="L414" s="50"/>
      <x:c r="M414" s="50"/>
      <x:c r="N414" s="32" t="str">
        <x:f>IF(M414="","",MAX(0,'Resumen'!$B$3-M414))</x:f>
      </x:c>
      <x:c r="O414" s="38" t="n">
        <x:v>0</x:v>
      </x:c>
      <x:c r="P414" s="38" t="n">
        <x:v>0</x:v>
      </x:c>
      <x:c r="Q414" s="38" t="n">
        <x:v>0</x:v>
      </x:c>
      <x:c r="R414" s="38" t="n">
        <x:f>MIN(D414,I414)</x:f>
        <x:v>0</x:v>
      </x:c>
      <x:c r="S414" s="47" t="n">
        <x:f>IFERROR(R414/D414,0)</x:f>
        <x:v>0</x:v>
      </x:c>
      <x:c r="T414" s="38" t="n">
        <x:f>MIN(MAX(G414,0),MAX(D414-I414,0))</x:f>
        <x:v>1</x:v>
      </x:c>
      <x:c r="U414" s="44" t="n">
        <x:f>T414*E414</x:f>
        <x:v>7000</x:v>
      </x:c>
      <x:c r="V414" s="38" t="n">
        <x:v>0</x:v>
      </x:c>
      <x:c r="W414" s="32" t="n">
        <x:v>0</x:v>
      </x:c>
      <x:c r="X414" s="50"/>
      <x:c r="Y414" s="44" t="n">
        <x:v>12000</x:v>
      </x:c>
      <x:c r="Z414" s="44" t="n">
        <x:f>IF(I414&gt;0,R414*(J414/I414),0)</x:f>
        <x:v>0</x:v>
      </x:c>
      <x:c r="AA414" s="44" t="n">
        <x:f>Z414-(R414*E414)</x:f>
        <x:v>0</x:v>
      </x:c>
      <x:c r="AB414" s="47" t="n">
        <x:f>IFERROR(AA414/Z414,0)</x:f>
        <x:v>0</x:v>
      </x:c>
      <x:c r="AC414" s="32" t="str">
        <x:f>IF(S414=0,"0%",IF(S414&lt;0.5,"1-49%",IF(S414&lt;0.8,"50-79%",IF(S414&lt;1,"80-99%","100%"))))</x:f>
        <x:v>0%</x:v>
      </x:c>
      <x:c r="AD414" s="33" t="str">
        <x:f>IF(G414&lt;0,"Stock negativo",IF(G414&lt;=0,"Sin stock actual",IF(I414&lt;=0,"Sin ventas desde compra",IF(Q414&lt;=0,"Con stock, sin ventas 365d",IF(S414&lt;0.5,"Rotación baja",IF(S414&lt;1,"Rotación media","Compra absorbida; stock repuesto"))))))</x:f>
        <x:v>Sin ventas desde compra</x:v>
      </x:c>
    </x:row>
    <x:row r="415">
      <x:c r="A415" s="31" t="str">
        <x:v>PRO-085</x:v>
      </x:c>
      <x:c r="B415" s="53" t="str">
        <x:v>PROTECTOR DE CALZADO ROJO</x:v>
      </x:c>
      <x:c r="C415" s="32" t="n">
        <x:v>1</x:v>
      </x:c>
      <x:c r="D415" s="38" t="n">
        <x:v>5</x:v>
      </x:c>
      <x:c r="E415" s="44" t="n">
        <x:v>1400</x:v>
      </x:c>
      <x:c r="F415" s="44" t="n">
        <x:v>7000</x:v>
      </x:c>
      <x:c r="G415" s="41" t="n">
        <x:v>0</x:v>
      </x:c>
      <x:c r="H415" s="44" t="n">
        <x:f>MAX(G415,0)*E415</x:f>
        <x:v>0</x:v>
      </x:c>
      <x:c r="I415" s="38" t="n">
        <x:v>5</x:v>
      </x:c>
      <x:c r="J415" s="44" t="n">
        <x:v>11500</x:v>
      </x:c>
      <x:c r="K415" s="32" t="n">
        <x:v>5</x:v>
      </x:c>
      <x:c r="L415" s="50" t="n">
        <x:v>45517.78648148148</x:v>
      </x:c>
      <x:c r="M415" s="50" t="n">
        <x:v>45872.60822916667</x:v>
      </x:c>
      <x:c r="N415" s="32" t="n">
        <x:f>IF(M415="","",MAX(0,'Resumen'!$B$3-M415))</x:f>
        <x:v>394.391770833332</x:v>
      </x:c>
      <x:c r="O415" s="38" t="n">
        <x:v>0</x:v>
      </x:c>
      <x:c r="P415" s="38" t="n">
        <x:v>0</x:v>
      </x:c>
      <x:c r="Q415" s="38" t="n">
        <x:v>0</x:v>
      </x:c>
      <x:c r="R415" s="38" t="n">
        <x:f>MIN(D415,I415)</x:f>
        <x:v>5</x:v>
      </x:c>
      <x:c r="S415" s="47" t="n">
        <x:f>IFERROR(R415/D415,0)</x:f>
        <x:v>1</x:v>
      </x:c>
      <x:c r="T415" s="38" t="n">
        <x:f>MIN(MAX(G415,0),MAX(D415-I415,0))</x:f>
        <x:v>0</x:v>
      </x:c>
      <x:c r="U415" s="44" t="n">
        <x:f>T415*E415</x:f>
        <x:v>0</x:v>
      </x:c>
      <x:c r="V415" s="38" t="n">
        <x:v>0</x:v>
      </x:c>
      <x:c r="W415" s="32" t="n">
        <x:v>0</x:v>
      </x:c>
      <x:c r="X415" s="50"/>
      <x:c r="Y415" s="44" t="n">
        <x:v>2500</x:v>
      </x:c>
      <x:c r="Z415" s="44" t="n">
        <x:f>IF(I415&gt;0,R415*(J415/I415),0)</x:f>
        <x:v>11500</x:v>
      </x:c>
      <x:c r="AA415" s="44" t="n">
        <x:f>Z415-(R415*E415)</x:f>
        <x:v>4500</x:v>
      </x:c>
      <x:c r="AB415" s="47" t="n">
        <x:f>IFERROR(AA415/Z415,0)</x:f>
        <x:v>0.391304347826087</x:v>
      </x:c>
      <x:c r="AC415" s="32" t="str">
        <x:f>IF(S415=0,"0%",IF(S415&lt;0.5,"1-49%",IF(S415&lt;0.8,"50-79%",IF(S415&lt;1,"80-99%","100%"))))</x:f>
        <x:v>100%</x:v>
      </x:c>
      <x:c r="AD415" s="33" t="str">
        <x:f>IF(G415&lt;0,"Stock negativo",IF(G415&lt;=0,"Sin stock actual",IF(I415&lt;=0,"Sin ventas desde compra",IF(Q415&lt;=0,"Con stock, sin ventas 365d",IF(S415&lt;0.5,"Rotación baja",IF(S415&lt;1,"Rotación media","Compra absorbida; stock repuesto"))))))</x:f>
        <x:v>Sin stock actual</x:v>
      </x:c>
    </x:row>
    <x:row r="416">
      <x:c r="A416" s="31" t="str">
        <x:v>MOTS1017</x:v>
      </x:c>
      <x:c r="B416" s="53" t="str">
        <x:v>CARRIL ACELERADOR  ECO</x:v>
      </x:c>
      <x:c r="C416" s="32" t="n">
        <x:v>1</x:v>
      </x:c>
      <x:c r="D416" s="38" t="n">
        <x:v>4</x:v>
      </x:c>
      <x:c r="E416" s="44" t="n">
        <x:v>1700</x:v>
      </x:c>
      <x:c r="F416" s="44" t="n">
        <x:v>6800</x:v>
      </x:c>
      <x:c r="G416" s="41" t="n">
        <x:v>0</x:v>
      </x:c>
      <x:c r="H416" s="44" t="n">
        <x:f>MAX(G416,0)*E416</x:f>
        <x:v>0</x:v>
      </x:c>
      <x:c r="I416" s="38" t="n">
        <x:v>4</x:v>
      </x:c>
      <x:c r="J416" s="44" t="n">
        <x:v>12000</x:v>
      </x:c>
      <x:c r="K416" s="32" t="n">
        <x:v>4</x:v>
      </x:c>
      <x:c r="L416" s="50" t="n">
        <x:v>45572.94244212963</x:v>
      </x:c>
      <x:c r="M416" s="50" t="n">
        <x:v>45617.80826388889</x:v>
      </x:c>
      <x:c r="N416" s="32" t="n">
        <x:f>IF(M416="","",MAX(0,'Resumen'!$B$3-M416))</x:f>
        <x:v>649.1917361111118</x:v>
      </x:c>
      <x:c r="O416" s="38" t="n">
        <x:v>0</x:v>
      </x:c>
      <x:c r="P416" s="38" t="n">
        <x:v>0</x:v>
      </x:c>
      <x:c r="Q416" s="38" t="n">
        <x:v>0</x:v>
      </x:c>
      <x:c r="R416" s="38" t="n">
        <x:f>MIN(D416,I416)</x:f>
        <x:v>4</x:v>
      </x:c>
      <x:c r="S416" s="47" t="n">
        <x:f>IFERROR(R416/D416,0)</x:f>
        <x:v>1</x:v>
      </x:c>
      <x:c r="T416" s="38" t="n">
        <x:f>MIN(MAX(G416,0),MAX(D416-I416,0))</x:f>
        <x:v>0</x:v>
      </x:c>
      <x:c r="U416" s="44" t="n">
        <x:f>T416*E416</x:f>
        <x:v>0</x:v>
      </x:c>
      <x:c r="V416" s="38" t="n">
        <x:v>0</x:v>
      </x:c>
      <x:c r="W416" s="32" t="n">
        <x:v>0</x:v>
      </x:c>
      <x:c r="X416" s="50"/>
      <x:c r="Y416" s="44" t="n">
        <x:v>3000</x:v>
      </x:c>
      <x:c r="Z416" s="44" t="n">
        <x:f>IF(I416&gt;0,R416*(J416/I416),0)</x:f>
        <x:v>12000</x:v>
      </x:c>
      <x:c r="AA416" s="44" t="n">
        <x:f>Z416-(R416*E416)</x:f>
        <x:v>5200</x:v>
      </x:c>
      <x:c r="AB416" s="47" t="n">
        <x:f>IFERROR(AA416/Z416,0)</x:f>
        <x:v>0.43333333333333335</x:v>
      </x:c>
      <x:c r="AC416" s="32" t="str">
        <x:f>IF(S416=0,"0%",IF(S416&lt;0.5,"1-49%",IF(S416&lt;0.8,"50-79%",IF(S416&lt;1,"80-99%","100%"))))</x:f>
        <x:v>100%</x:v>
      </x:c>
      <x:c r="AD416" s="33" t="str">
        <x:f>IF(G416&lt;0,"Stock negativo",IF(G416&lt;=0,"Sin stock actual",IF(I416&lt;=0,"Sin ventas desde compra",IF(Q416&lt;=0,"Con stock, sin ventas 365d",IF(S416&lt;0.5,"Rotación baja",IF(S416&lt;1,"Rotación media","Compra absorbida; stock repuesto"))))))</x:f>
        <x:v>Sin stock actual</x:v>
      </x:c>
    </x:row>
    <x:row r="417">
      <x:c r="A417" s="31" t="str">
        <x:v>MOTS1120</x:v>
      </x:c>
      <x:c r="B417" s="53" t="str">
        <x:v>ARANDELA PIÑON SALIDA ECO 100 TORNFRENOS</x:v>
      </x:c>
      <x:c r="C417" s="32" t="n">
        <x:v>1</x:v>
      </x:c>
      <x:c r="D417" s="38" t="n">
        <x:v>10</x:v>
      </x:c>
      <x:c r="E417" s="44" t="n">
        <x:v>680</x:v>
      </x:c>
      <x:c r="F417" s="44" t="n">
        <x:v>6800</x:v>
      </x:c>
      <x:c r="G417" s="41" t="n">
        <x:v>4</x:v>
      </x:c>
      <x:c r="H417" s="44" t="n">
        <x:f>MAX(G417,0)*E417</x:f>
        <x:v>2720</x:v>
      </x:c>
      <x:c r="I417" s="38" t="n">
        <x:v>6</x:v>
      </x:c>
      <x:c r="J417" s="44" t="n">
        <x:v>9900</x:v>
      </x:c>
      <x:c r="K417" s="32" t="n">
        <x:v>6</x:v>
      </x:c>
      <x:c r="L417" s="50" t="n">
        <x:v>45561.612604166665</x:v>
      </x:c>
      <x:c r="M417" s="50" t="n">
        <x:v>45835.54366898148</x:v>
      </x:c>
      <x:c r="N417" s="32" t="n">
        <x:f>IF(M417="","",MAX(0,'Resumen'!$B$3-M417))</x:f>
        <x:v>431.45633101851854</x:v>
      </x:c>
      <x:c r="O417" s="38" t="n">
        <x:v>0</x:v>
      </x:c>
      <x:c r="P417" s="38" t="n">
        <x:v>0</x:v>
      </x:c>
      <x:c r="Q417" s="38" t="n">
        <x:v>0</x:v>
      </x:c>
      <x:c r="R417" s="38" t="n">
        <x:f>MIN(D417,I417)</x:f>
        <x:v>6</x:v>
      </x:c>
      <x:c r="S417" s="47" t="n">
        <x:f>IFERROR(R417/D417,0)</x:f>
        <x:v>0.6</x:v>
      </x:c>
      <x:c r="T417" s="38" t="n">
        <x:f>MIN(MAX(G417,0),MAX(D417-I417,0))</x:f>
        <x:v>4</x:v>
      </x:c>
      <x:c r="U417" s="44" t="n">
        <x:f>T417*E417</x:f>
        <x:v>2720</x:v>
      </x:c>
      <x:c r="V417" s="38" t="n">
        <x:v>0</x:v>
      </x:c>
      <x:c r="W417" s="32" t="n">
        <x:v>0</x:v>
      </x:c>
      <x:c r="X417" s="50"/>
      <x:c r="Y417" s="44" t="n">
        <x:v>1500</x:v>
      </x:c>
      <x:c r="Z417" s="44" t="n">
        <x:f>IF(I417&gt;0,R417*(J417/I417),0)</x:f>
        <x:v>9900</x:v>
      </x:c>
      <x:c r="AA417" s="44" t="n">
        <x:f>Z417-(R417*E417)</x:f>
        <x:v>5820</x:v>
      </x:c>
      <x:c r="AB417" s="47" t="n">
        <x:f>IFERROR(AA417/Z417,0)</x:f>
        <x:v>0.5878787878787879</x:v>
      </x:c>
      <x:c r="AC417" s="32" t="str">
        <x:f>IF(S417=0,"0%",IF(S417&lt;0.5,"1-49%",IF(S417&lt;0.8,"50-79%",IF(S417&lt;1,"80-99%","100%"))))</x:f>
        <x:v>50-79%</x:v>
      </x:c>
      <x:c r="AD417" s="33" t="str">
        <x:f>IF(G417&lt;0,"Stock negativo",IF(G417&lt;=0,"Sin stock actual",IF(I417&lt;=0,"Sin ventas desde compra",IF(Q417&lt;=0,"Con stock, sin ventas 365d",IF(S417&lt;0.5,"Rotación baja",IF(S417&lt;1,"Rotación media","Compra absorbida; stock repuesto"))))))</x:f>
        <x:v>Con stock, sin ventas 365d</x:v>
      </x:c>
    </x:row>
    <x:row r="418">
      <x:c r="A418" s="31" t="str">
        <x:v>EMP - 040508</x:v>
      </x:c>
      <x:c r="B418" s="53" t="str">
        <x:v>EMPAQUE TAPA CLUCTH FZ 16 SYK</x:v>
      </x:c>
      <x:c r="C418" s="32" t="n">
        <x:v>1</x:v>
      </x:c>
      <x:c r="D418" s="38" t="n">
        <x:v>3</x:v>
      </x:c>
      <x:c r="E418" s="44" t="n">
        <x:v>2251</x:v>
      </x:c>
      <x:c r="F418" s="44" t="n">
        <x:v>6753</x:v>
      </x:c>
      <x:c r="G418" s="41" t="n">
        <x:v>3</x:v>
      </x:c>
      <x:c r="H418" s="44" t="n">
        <x:f>MAX(G418,0)*E418</x:f>
        <x:v>6753</x:v>
      </x:c>
      <x:c r="I418" s="38" t="n">
        <x:v>0</x:v>
      </x:c>
      <x:c r="J418" s="44" t="n">
        <x:v>0</x:v>
      </x:c>
      <x:c r="K418" s="32" t="n">
        <x:v>0</x:v>
      </x:c>
      <x:c r="L418" s="50"/>
      <x:c r="M418" s="50"/>
      <x:c r="N418" s="32" t="str">
        <x:f>IF(M418="","",MAX(0,'Resumen'!$B$3-M418))</x:f>
      </x:c>
      <x:c r="O418" s="38" t="n">
        <x:v>0</x:v>
      </x:c>
      <x:c r="P418" s="38" t="n">
        <x:v>0</x:v>
      </x:c>
      <x:c r="Q418" s="38" t="n">
        <x:v>0</x:v>
      </x:c>
      <x:c r="R418" s="38" t="n">
        <x:f>MIN(D418,I418)</x:f>
        <x:v>0</x:v>
      </x:c>
      <x:c r="S418" s="47" t="n">
        <x:f>IFERROR(R418/D418,0)</x:f>
        <x:v>0</x:v>
      </x:c>
      <x:c r="T418" s="38" t="n">
        <x:f>MIN(MAX(G418,0),MAX(D418-I418,0))</x:f>
        <x:v>3</x:v>
      </x:c>
      <x:c r="U418" s="44" t="n">
        <x:f>T418*E418</x:f>
        <x:v>6753</x:v>
      </x:c>
      <x:c r="V418" s="38" t="n">
        <x:v>0</x:v>
      </x:c>
      <x:c r="W418" s="32" t="n">
        <x:v>0</x:v>
      </x:c>
      <x:c r="X418" s="50"/>
      <x:c r="Y418" s="44" t="n">
        <x:v>4000</x:v>
      </x:c>
      <x:c r="Z418" s="44" t="n">
        <x:f>IF(I418&gt;0,R418*(J418/I418),0)</x:f>
        <x:v>0</x:v>
      </x:c>
      <x:c r="AA418" s="44" t="n">
        <x:f>Z418-(R418*E418)</x:f>
        <x:v>0</x:v>
      </x:c>
      <x:c r="AB418" s="47" t="n">
        <x:f>IFERROR(AA418/Z418,0)</x:f>
        <x:v>0</x:v>
      </x:c>
      <x:c r="AC418" s="32" t="str">
        <x:f>IF(S418=0,"0%",IF(S418&lt;0.5,"1-49%",IF(S418&lt;0.8,"50-79%",IF(S418&lt;1,"80-99%","100%"))))</x:f>
        <x:v>0%</x:v>
      </x:c>
      <x:c r="AD418" s="33" t="str">
        <x:f>IF(G418&lt;0,"Stock negativo",IF(G418&lt;=0,"Sin stock actual",IF(I418&lt;=0,"Sin ventas desde compra",IF(Q418&lt;=0,"Con stock, sin ventas 365d",IF(S418&lt;0.5,"Rotación baja",IF(S418&lt;1,"Rotación media","Compra absorbida; stock repuesto"))))))</x:f>
        <x:v>Sin ventas desde compra</x:v>
      </x:c>
    </x:row>
    <x:row r="419">
      <x:c r="A419" s="31" t="str">
        <x:v>F2018</x:v>
      </x:c>
      <x:c r="B419" s="53" t="str">
        <x:v>EMPAQUE TAPA CLUCTH CB 110 GPP</x:v>
      </x:c>
      <x:c r="C419" s="32" t="n">
        <x:v>1</x:v>
      </x:c>
      <x:c r="D419" s="38" t="n">
        <x:v>5</x:v>
      </x:c>
      <x:c r="E419" s="44" t="n">
        <x:v>1350</x:v>
      </x:c>
      <x:c r="F419" s="44" t="n">
        <x:v>6750</x:v>
      </x:c>
      <x:c r="G419" s="41" t="n">
        <x:v>2</x:v>
      </x:c>
      <x:c r="H419" s="44" t="n">
        <x:f>MAX(G419,0)*E419</x:f>
        <x:v>2700</x:v>
      </x:c>
      <x:c r="I419" s="38" t="n">
        <x:v>4</x:v>
      </x:c>
      <x:c r="J419" s="44" t="n">
        <x:v>10000</x:v>
      </x:c>
      <x:c r="K419" s="32" t="n">
        <x:v>3</x:v>
      </x:c>
      <x:c r="L419" s="50" t="n">
        <x:v>45652.623773148145</x:v>
      </x:c>
      <x:c r="M419" s="50" t="n">
        <x:v>46237.801875</x:v>
      </x:c>
      <x:c r="N419" s="32" t="n">
        <x:f>IF(M419="","",MAX(0,'Resumen'!$B$3-M419))</x:f>
        <x:v>29.19812500000262</x:v>
      </x:c>
      <x:c r="O419" s="38" t="n">
        <x:v>0</x:v>
      </x:c>
      <x:c r="P419" s="38" t="n">
        <x:v>3</x:v>
      </x:c>
      <x:c r="Q419" s="38" t="n">
        <x:v>3</x:v>
      </x:c>
      <x:c r="R419" s="38" t="n">
        <x:f>MIN(D419,I419)</x:f>
        <x:v>4</x:v>
      </x:c>
      <x:c r="S419" s="47" t="n">
        <x:f>IFERROR(R419/D419,0)</x:f>
        <x:v>0.8</x:v>
      </x:c>
      <x:c r="T419" s="38" t="n">
        <x:f>MIN(MAX(G419,0),MAX(D419-I419,0))</x:f>
        <x:v>1</x:v>
      </x:c>
      <x:c r="U419" s="44" t="n">
        <x:f>T419*E419</x:f>
        <x:v>1350</x:v>
      </x:c>
      <x:c r="V419" s="38" t="n">
        <x:v>1</x:v>
      </x:c>
      <x:c r="W419" s="32" t="n">
        <x:v>1</x:v>
      </x:c>
      <x:c r="X419" s="50" t="n">
        <x:v>45755</x:v>
      </x:c>
      <x:c r="Y419" s="44" t="n">
        <x:v>2500</x:v>
      </x:c>
      <x:c r="Z419" s="44" t="n">
        <x:f>IF(I419&gt;0,R419*(J419/I419),0)</x:f>
        <x:v>10000</x:v>
      </x:c>
      <x:c r="AA419" s="44" t="n">
        <x:f>Z419-(R419*E419)</x:f>
        <x:v>4600</x:v>
      </x:c>
      <x:c r="AB419" s="47" t="n">
        <x:f>IFERROR(AA419/Z419,0)</x:f>
        <x:v>0.46</x:v>
      </x:c>
      <x:c r="AC419" s="32" t="str">
        <x:f>IF(S419=0,"0%",IF(S419&lt;0.5,"1-49%",IF(S419&lt;0.8,"50-79%",IF(S419&lt;1,"80-99%","100%"))))</x:f>
        <x:v>80-99%</x:v>
      </x:c>
      <x:c r="AD419" s="33" t="str">
        <x:f>IF(G419&lt;0,"Stock negativo",IF(G419&lt;=0,"Sin stock actual",IF(I419&lt;=0,"Sin ventas desde compra",IF(Q419&lt;=0,"Con stock, sin ventas 365d",IF(S419&lt;0.5,"Rotación baja",IF(S419&lt;1,"Rotación media","Compra absorbida; stock repuesto"))))))</x:f>
        <x:v>Rotación media</x:v>
      </x:c>
    </x:row>
    <x:row r="420">
      <x:c r="A420" s="31" t="str">
        <x:v>MOTS1019</x:v>
      </x:c>
      <x:c r="B420" s="53" t="str">
        <x:v>AGUJA CARBURADOR CB110</x:v>
      </x:c>
      <x:c r="C420" s="32" t="n">
        <x:v>1</x:v>
      </x:c>
      <x:c r="D420" s="38" t="n">
        <x:v>3</x:v>
      </x:c>
      <x:c r="E420" s="44" t="n">
        <x:v>2200</x:v>
      </x:c>
      <x:c r="F420" s="44" t="n">
        <x:v>6600</x:v>
      </x:c>
      <x:c r="G420" s="41" t="n">
        <x:v>0</x:v>
      </x:c>
      <x:c r="H420" s="44" t="n">
        <x:f>MAX(G420,0)*E420</x:f>
        <x:v>0</x:v>
      </x:c>
      <x:c r="I420" s="38" t="n">
        <x:v>3</x:v>
      </x:c>
      <x:c r="J420" s="44" t="n">
        <x:v>9000</x:v>
      </x:c>
      <x:c r="K420" s="32" t="n">
        <x:v>1</x:v>
      </x:c>
      <x:c r="L420" s="50" t="n">
        <x:v>45508.712222222224</x:v>
      </x:c>
      <x:c r="M420" s="50" t="n">
        <x:v>45508.712222222224</x:v>
      </x:c>
      <x:c r="N420" s="32" t="n">
        <x:f>IF(M420="","",MAX(0,'Resumen'!$B$3-M420))</x:f>
        <x:v>758.2877777777758</x:v>
      </x:c>
      <x:c r="O420" s="38" t="n">
        <x:v>0</x:v>
      </x:c>
      <x:c r="P420" s="38" t="n">
        <x:v>0</x:v>
      </x:c>
      <x:c r="Q420" s="38" t="n">
        <x:v>0</x:v>
      </x:c>
      <x:c r="R420" s="38" t="n">
        <x:f>MIN(D420,I420)</x:f>
        <x:v>3</x:v>
      </x:c>
      <x:c r="S420" s="47" t="n">
        <x:f>IFERROR(R420/D420,0)</x:f>
        <x:v>1</x:v>
      </x:c>
      <x:c r="T420" s="38" t="n">
        <x:f>MIN(MAX(G420,0),MAX(D420-I420,0))</x:f>
        <x:v>0</x:v>
      </x:c>
      <x:c r="U420" s="44" t="n">
        <x:f>T420*E420</x:f>
        <x:v>0</x:v>
      </x:c>
      <x:c r="V420" s="38" t="n">
        <x:v>0</x:v>
      </x:c>
      <x:c r="W420" s="32" t="n">
        <x:v>0</x:v>
      </x:c>
      <x:c r="X420" s="50"/>
      <x:c r="Y420" s="44" t="n">
        <x:v>4000</x:v>
      </x:c>
      <x:c r="Z420" s="44" t="n">
        <x:f>IF(I420&gt;0,R420*(J420/I420),0)</x:f>
        <x:v>9000</x:v>
      </x:c>
      <x:c r="AA420" s="44" t="n">
        <x:f>Z420-(R420*E420)</x:f>
        <x:v>2400</x:v>
      </x:c>
      <x:c r="AB420" s="47" t="n">
        <x:f>IFERROR(AA420/Z420,0)</x:f>
        <x:v>0.26666666666666666</x:v>
      </x:c>
      <x:c r="AC420" s="32" t="str">
        <x:f>IF(S420=0,"0%",IF(S420&lt;0.5,"1-49%",IF(S420&lt;0.8,"50-79%",IF(S420&lt;1,"80-99%","100%"))))</x:f>
        <x:v>100%</x:v>
      </x:c>
      <x:c r="AD420" s="33" t="str">
        <x:f>IF(G420&lt;0,"Stock negativo",IF(G420&lt;=0,"Sin stock actual",IF(I420&lt;=0,"Sin ventas desde compra",IF(Q420&lt;=0,"Con stock, sin ventas 365d",IF(S420&lt;0.5,"Rotación baja",IF(S420&lt;1,"Rotación media","Compra absorbida; stock repuesto"))))))</x:f>
        <x:v>Sin stock actual</x:v>
      </x:c>
    </x:row>
    <x:row r="421">
      <x:c r="A421" s="31" t="str">
        <x:v>4212</x:v>
      </x:c>
      <x:c r="B421" s="53" t="str">
        <x:v>TORNILLO FLANGE 6X 60 LLAVE 8 TORNIFRENOS</x:v>
      </x:c>
      <x:c r="C421" s="32" t="n">
        <x:v>1</x:v>
      </x:c>
      <x:c r="D421" s="38" t="n">
        <x:v>10</x:v>
      </x:c>
      <x:c r="E421" s="44" t="n">
        <x:v>655</x:v>
      </x:c>
      <x:c r="F421" s="44" t="n">
        <x:v>6550</x:v>
      </x:c>
      <x:c r="G421" s="41" t="n">
        <x:v>110</x:v>
      </x:c>
      <x:c r="H421" s="44" t="n">
        <x:f>MAX(G421,0)*E421</x:f>
        <x:v>72050</x:v>
      </x:c>
      <x:c r="I421" s="38" t="n">
        <x:v>0</x:v>
      </x:c>
      <x:c r="J421" s="44" t="n">
        <x:v>0</x:v>
      </x:c>
      <x:c r="K421" s="32" t="n">
        <x:v>0</x:v>
      </x:c>
      <x:c r="L421" s="50"/>
      <x:c r="M421" s="50"/>
      <x:c r="N421" s="32" t="str">
        <x:f>IF(M421="","",MAX(0,'Resumen'!$B$3-M421))</x:f>
      </x:c>
      <x:c r="O421" s="38" t="n">
        <x:v>0</x:v>
      </x:c>
      <x:c r="P421" s="38" t="n">
        <x:v>0</x:v>
      </x:c>
      <x:c r="Q421" s="38" t="n">
        <x:v>0</x:v>
      </x:c>
      <x:c r="R421" s="38" t="n">
        <x:f>MIN(D421,I421)</x:f>
        <x:v>0</x:v>
      </x:c>
      <x:c r="S421" s="47" t="n">
        <x:f>IFERROR(R421/D421,0)</x:f>
        <x:v>0</x:v>
      </x:c>
      <x:c r="T421" s="38" t="n">
        <x:f>MIN(MAX(G421,0),MAX(D421-I421,0))</x:f>
        <x:v>10</x:v>
      </x:c>
      <x:c r="U421" s="44" t="n">
        <x:f>T421*E421</x:f>
        <x:v>6550</x:v>
      </x:c>
      <x:c r="V421" s="38" t="n">
        <x:v>100</x:v>
      </x:c>
      <x:c r="W421" s="32" t="n">
        <x:v>1</x:v>
      </x:c>
      <x:c r="X421" s="50" t="n">
        <x:v>46095</x:v>
      </x:c>
      <x:c r="Y421" s="44" t="n">
        <x:v>100</x:v>
      </x:c>
      <x:c r="Z421" s="44" t="n">
        <x:f>IF(I421&gt;0,R421*(J421/I421),0)</x:f>
        <x:v>0</x:v>
      </x:c>
      <x:c r="AA421" s="44" t="n">
        <x:f>Z421-(R421*E421)</x:f>
        <x:v>0</x:v>
      </x:c>
      <x:c r="AB421" s="47" t="n">
        <x:f>IFERROR(AA421/Z421,0)</x:f>
        <x:v>0</x:v>
      </x:c>
      <x:c r="AC421" s="32" t="str">
        <x:f>IF(S421=0,"0%",IF(S421&lt;0.5,"1-49%",IF(S421&lt;0.8,"50-79%",IF(S421&lt;1,"80-99%","100%"))))</x:f>
        <x:v>0%</x:v>
      </x:c>
      <x:c r="AD421" s="33" t="str">
        <x:f>IF(G421&lt;0,"Stock negativo",IF(G421&lt;=0,"Sin stock actual",IF(I421&lt;=0,"Sin ventas desde compra",IF(Q421&lt;=0,"Con stock, sin ventas 365d",IF(S421&lt;0.5,"Rotación baja",IF(S421&lt;1,"Rotación media","Compra absorbida; stock repuesto"))))))</x:f>
        <x:v>Sin ventas desde compra</x:v>
      </x:c>
    </x:row>
    <x:row r="422">
      <x:c r="A422" s="31" t="str">
        <x:v>215091</x:v>
      </x:c>
      <x:c r="B422" s="53" t="str">
        <x:v>GUAYA ACELERADOR DR 200 IMBRA</x:v>
      </x:c>
      <x:c r="C422" s="32" t="n">
        <x:v>1</x:v>
      </x:c>
      <x:c r="D422" s="38" t="n">
        <x:v>1</x:v>
      </x:c>
      <x:c r="E422" s="44" t="n">
        <x:v>6500</x:v>
      </x:c>
      <x:c r="F422" s="44" t="n">
        <x:v>6500</x:v>
      </x:c>
      <x:c r="G422" s="41" t="n">
        <x:v>1</x:v>
      </x:c>
      <x:c r="H422" s="44" t="n">
        <x:f>MAX(G422,0)*E422</x:f>
        <x:v>6500</x:v>
      </x:c>
      <x:c r="I422" s="38" t="n">
        <x:v>0</x:v>
      </x:c>
      <x:c r="J422" s="44" t="n">
        <x:v>0</x:v>
      </x:c>
      <x:c r="K422" s="32" t="n">
        <x:v>0</x:v>
      </x:c>
      <x:c r="L422" s="50"/>
      <x:c r="M422" s="50"/>
      <x:c r="N422" s="32" t="str">
        <x:f>IF(M422="","",MAX(0,'Resumen'!$B$3-M422))</x:f>
      </x:c>
      <x:c r="O422" s="38" t="n">
        <x:v>0</x:v>
      </x:c>
      <x:c r="P422" s="38" t="n">
        <x:v>0</x:v>
      </x:c>
      <x:c r="Q422" s="38" t="n">
        <x:v>0</x:v>
      </x:c>
      <x:c r="R422" s="38" t="n">
        <x:f>MIN(D422,I422)</x:f>
        <x:v>0</x:v>
      </x:c>
      <x:c r="S422" s="47" t="n">
        <x:f>IFERROR(R422/D422,0)</x:f>
        <x:v>0</x:v>
      </x:c>
      <x:c r="T422" s="38" t="n">
        <x:f>MIN(MAX(G422,0),MAX(D422-I422,0))</x:f>
        <x:v>1</x:v>
      </x:c>
      <x:c r="U422" s="44" t="n">
        <x:f>T422*E422</x:f>
        <x:v>6500</x:v>
      </x:c>
      <x:c r="V422" s="38" t="n">
        <x:v>0</x:v>
      </x:c>
      <x:c r="W422" s="32" t="n">
        <x:v>0</x:v>
      </x:c>
      <x:c r="X422" s="50"/>
      <x:c r="Y422" s="44" t="n">
        <x:v>11000</x:v>
      </x:c>
      <x:c r="Z422" s="44" t="n">
        <x:f>IF(I422&gt;0,R422*(J422/I422),0)</x:f>
        <x:v>0</x:v>
      </x:c>
      <x:c r="AA422" s="44" t="n">
        <x:f>Z422-(R422*E422)</x:f>
        <x:v>0</x:v>
      </x:c>
      <x:c r="AB422" s="47" t="n">
        <x:f>IFERROR(AA422/Z422,0)</x:f>
        <x:v>0</x:v>
      </x:c>
      <x:c r="AC422" s="32" t="str">
        <x:f>IF(S422=0,"0%",IF(S422&lt;0.5,"1-49%",IF(S422&lt;0.8,"50-79%",IF(S422&lt;1,"80-99%","100%"))))</x:f>
        <x:v>0%</x:v>
      </x:c>
      <x:c r="AD422" s="33" t="str">
        <x:f>IF(G422&lt;0,"Stock negativo",IF(G422&lt;=0,"Sin stock actual",IF(I422&lt;=0,"Sin ventas desde compra",IF(Q422&lt;=0,"Con stock, sin ventas 365d",IF(S422&lt;0.5,"Rotación baja",IF(S422&lt;1,"Rotación media","Compra absorbida; stock repuesto"))))))</x:f>
        <x:v>Sin ventas desde compra</x:v>
      </x:c>
    </x:row>
    <x:row r="423">
      <x:c r="A423" s="31" t="str">
        <x:v>MOTS1172</x:v>
      </x:c>
      <x:c r="B423" s="53" t="str">
        <x:v>CAUCHO MANZANA ECO / DELUXE / C90 / C70</x:v>
      </x:c>
      <x:c r="C423" s="32" t="n">
        <x:v>1</x:v>
      </x:c>
      <x:c r="D423" s="38" t="n">
        <x:v>1</x:v>
      </x:c>
      <x:c r="E423" s="44" t="n">
        <x:v>6500</x:v>
      </x:c>
      <x:c r="F423" s="44" t="n">
        <x:v>6500</x:v>
      </x:c>
      <x:c r="G423" s="41" t="n">
        <x:v>0</x:v>
      </x:c>
      <x:c r="H423" s="44" t="n">
        <x:f>MAX(G423,0)*E423</x:f>
        <x:v>0</x:v>
      </x:c>
      <x:c r="I423" s="38" t="n">
        <x:v>1</x:v>
      </x:c>
      <x:c r="J423" s="44" t="n">
        <x:v>9000</x:v>
      </x:c>
      <x:c r="K423" s="32" t="n">
        <x:v>1</x:v>
      </x:c>
      <x:c r="L423" s="50" t="n">
        <x:v>45602.57146990741</x:v>
      </x:c>
      <x:c r="M423" s="50" t="n">
        <x:v>45602.57146990741</x:v>
      </x:c>
      <x:c r="N423" s="32" t="n">
        <x:f>IF(M423="","",MAX(0,'Resumen'!$B$3-M423))</x:f>
        <x:v>664.4285300925912</x:v>
      </x:c>
      <x:c r="O423" s="38" t="n">
        <x:v>0</x:v>
      </x:c>
      <x:c r="P423" s="38" t="n">
        <x:v>0</x:v>
      </x:c>
      <x:c r="Q423" s="38" t="n">
        <x:v>0</x:v>
      </x:c>
      <x:c r="R423" s="38" t="n">
        <x:f>MIN(D423,I423)</x:f>
        <x:v>1</x:v>
      </x:c>
      <x:c r="S423" s="47" t="n">
        <x:f>IFERROR(R423/D423,0)</x:f>
        <x:v>1</x:v>
      </x:c>
      <x:c r="T423" s="38" t="n">
        <x:f>MIN(MAX(G423,0),MAX(D423-I423,0))</x:f>
        <x:v>0</x:v>
      </x:c>
      <x:c r="U423" s="44" t="n">
        <x:f>T423*E423</x:f>
        <x:v>0</x:v>
      </x:c>
      <x:c r="V423" s="38" t="n">
        <x:v>0</x:v>
      </x:c>
      <x:c r="W423" s="32" t="n">
        <x:v>0</x:v>
      </x:c>
      <x:c r="X423" s="50"/>
      <x:c r="Y423" s="44" t="n">
        <x:v>11000</x:v>
      </x:c>
      <x:c r="Z423" s="44" t="n">
        <x:f>IF(I423&gt;0,R423*(J423/I423),0)</x:f>
        <x:v>9000</x:v>
      </x:c>
      <x:c r="AA423" s="44" t="n">
        <x:f>Z423-(R423*E423)</x:f>
        <x:v>2500</x:v>
      </x:c>
      <x:c r="AB423" s="47" t="n">
        <x:f>IFERROR(AA423/Z423,0)</x:f>
        <x:v>0.2777777777777778</x:v>
      </x:c>
      <x:c r="AC423" s="32" t="str">
        <x:f>IF(S423=0,"0%",IF(S423&lt;0.5,"1-49%",IF(S423&lt;0.8,"50-79%",IF(S423&lt;1,"80-99%","100%"))))</x:f>
        <x:v>100%</x:v>
      </x:c>
      <x:c r="AD423" s="33" t="str">
        <x:f>IF(G423&lt;0,"Stock negativo",IF(G423&lt;=0,"Sin stock actual",IF(I423&lt;=0,"Sin ventas desde compra",IF(Q423&lt;=0,"Con stock, sin ventas 365d",IF(S423&lt;0.5,"Rotación baja",IF(S423&lt;1,"Rotación media","Compra absorbida; stock repuesto"))))))</x:f>
        <x:v>Sin stock actual</x:v>
      </x:c>
    </x:row>
    <x:row r="424">
      <x:c r="A424" s="31" t="str">
        <x:v>MOTS1260</x:v>
      </x:c>
      <x:c r="B424" s="53" t="str">
        <x:v>GUAYA FRENO NXR 125 BROS SYR</x:v>
      </x:c>
      <x:c r="C424" s="32" t="n">
        <x:v>1</x:v>
      </x:c>
      <x:c r="D424" s="38" t="n">
        <x:v>1</x:v>
      </x:c>
      <x:c r="E424" s="44" t="n">
        <x:v>6500</x:v>
      </x:c>
      <x:c r="F424" s="44" t="n">
        <x:v>6500</x:v>
      </x:c>
      <x:c r="G424" s="41" t="n">
        <x:v>1</x:v>
      </x:c>
      <x:c r="H424" s="44" t="n">
        <x:f>MAX(G424,0)*E424</x:f>
        <x:v>6500</x:v>
      </x:c>
      <x:c r="I424" s="38" t="n">
        <x:v>0</x:v>
      </x:c>
      <x:c r="J424" s="44" t="n">
        <x:v>0</x:v>
      </x:c>
      <x:c r="K424" s="32" t="n">
        <x:v>0</x:v>
      </x:c>
      <x:c r="L424" s="50"/>
      <x:c r="M424" s="50"/>
      <x:c r="N424" s="32" t="str">
        <x:f>IF(M424="","",MAX(0,'Resumen'!$B$3-M424))</x:f>
      </x:c>
      <x:c r="O424" s="38" t="n">
        <x:v>0</x:v>
      </x:c>
      <x:c r="P424" s="38" t="n">
        <x:v>0</x:v>
      </x:c>
      <x:c r="Q424" s="38" t="n">
        <x:v>0</x:v>
      </x:c>
      <x:c r="R424" s="38" t="n">
        <x:f>MIN(D424,I424)</x:f>
        <x:v>0</x:v>
      </x:c>
      <x:c r="S424" s="47" t="n">
        <x:f>IFERROR(R424/D424,0)</x:f>
        <x:v>0</x:v>
      </x:c>
      <x:c r="T424" s="38" t="n">
        <x:f>MIN(MAX(G424,0),MAX(D424-I424,0))</x:f>
        <x:v>1</x:v>
      </x:c>
      <x:c r="U424" s="44" t="n">
        <x:f>T424*E424</x:f>
        <x:v>6500</x:v>
      </x:c>
      <x:c r="V424" s="38" t="n">
        <x:v>0</x:v>
      </x:c>
      <x:c r="W424" s="32" t="n">
        <x:v>0</x:v>
      </x:c>
      <x:c r="X424" s="50"/>
      <x:c r="Y424" s="44" t="n">
        <x:v>11000</x:v>
      </x:c>
      <x:c r="Z424" s="44" t="n">
        <x:f>IF(I424&gt;0,R424*(J424/I424),0)</x:f>
        <x:v>0</x:v>
      </x:c>
      <x:c r="AA424" s="44" t="n">
        <x:f>Z424-(R424*E424)</x:f>
        <x:v>0</x:v>
      </x:c>
      <x:c r="AB424" s="47" t="n">
        <x:f>IFERROR(AA424/Z424,0)</x:f>
        <x:v>0</x:v>
      </x:c>
      <x:c r="AC424" s="32" t="str">
        <x:f>IF(S424=0,"0%",IF(S424&lt;0.5,"1-49%",IF(S424&lt;0.8,"50-79%",IF(S424&lt;1,"80-99%","100%"))))</x:f>
        <x:v>0%</x:v>
      </x:c>
      <x:c r="AD424" s="33" t="str">
        <x:f>IF(G424&lt;0,"Stock negativo",IF(G424&lt;=0,"Sin stock actual",IF(I424&lt;=0,"Sin ventas desde compra",IF(Q424&lt;=0,"Con stock, sin ventas 365d",IF(S424&lt;0.5,"Rotación baja",IF(S424&lt;1,"Rotación media","Compra absorbida; stock repuesto"))))))</x:f>
        <x:v>Sin ventas desde compra</x:v>
      </x:c>
    </x:row>
    <x:row r="425">
      <x:c r="A425" s="31" t="str">
        <x:v>OR-008</x:v>
      </x:c>
      <x:c r="B425" s="53" t="str">
        <x:v>ORING 3/16</x:v>
      </x:c>
      <x:c r="C425" s="32" t="n">
        <x:v>1</x:v>
      </x:c>
      <x:c r="D425" s="38" t="n">
        <x:v>19</x:v>
      </x:c>
      <x:c r="E425" s="44" t="n">
        <x:v>335</x:v>
      </x:c>
      <x:c r="F425" s="44" t="n">
        <x:v>6365</x:v>
      </x:c>
      <x:c r="G425" s="41" t="n">
        <x:v>13</x:v>
      </x:c>
      <x:c r="H425" s="44" t="n">
        <x:f>MAX(G425,0)*E425</x:f>
        <x:v>4355</x:v>
      </x:c>
      <x:c r="I425" s="38" t="n">
        <x:v>6</x:v>
      </x:c>
      <x:c r="J425" s="44" t="n">
        <x:v>3600</x:v>
      </x:c>
      <x:c r="K425" s="32" t="n">
        <x:v>1</x:v>
      </x:c>
      <x:c r="L425" s="50" t="n">
        <x:v>45743.8878587963</x:v>
      </x:c>
      <x:c r="M425" s="50" t="n">
        <x:v>45743.8878587963</x:v>
      </x:c>
      <x:c r="N425" s="32" t="n">
        <x:f>IF(M425="","",MAX(0,'Resumen'!$B$3-M425))</x:f>
        <x:v>523.1121412037028</x:v>
      </x:c>
      <x:c r="O425" s="38" t="n">
        <x:v>0</x:v>
      </x:c>
      <x:c r="P425" s="38" t="n">
        <x:v>0</x:v>
      </x:c>
      <x:c r="Q425" s="38" t="n">
        <x:v>0</x:v>
      </x:c>
      <x:c r="R425" s="38" t="n">
        <x:f>MIN(D425,I425)</x:f>
        <x:v>6</x:v>
      </x:c>
      <x:c r="S425" s="47" t="n">
        <x:f>IFERROR(R425/D425,0)</x:f>
        <x:v>0.3157894736842105</x:v>
      </x:c>
      <x:c r="T425" s="38" t="n">
        <x:f>MIN(MAX(G425,0),MAX(D425-I425,0))</x:f>
        <x:v>13</x:v>
      </x:c>
      <x:c r="U425" s="44" t="n">
        <x:f>T425*E425</x:f>
        <x:v>4355</x:v>
      </x:c>
      <x:c r="V425" s="38" t="n">
        <x:v>0</x:v>
      </x:c>
      <x:c r="W425" s="32" t="n">
        <x:v>0</x:v>
      </x:c>
      <x:c r="X425" s="50"/>
      <x:c r="Y425" s="44" t="n">
        <x:v>600</x:v>
      </x:c>
      <x:c r="Z425" s="44" t="n">
        <x:f>IF(I425&gt;0,R425*(J425/I425),0)</x:f>
        <x:v>3600</x:v>
      </x:c>
      <x:c r="AA425" s="44" t="n">
        <x:f>Z425-(R425*E425)</x:f>
        <x:v>1590</x:v>
      </x:c>
      <x:c r="AB425" s="47" t="n">
        <x:f>IFERROR(AA425/Z425,0)</x:f>
        <x:v>0.44166666666666665</x:v>
      </x:c>
      <x:c r="AC425" s="32" t="str">
        <x:f>IF(S425=0,"0%",IF(S425&lt;0.5,"1-49%",IF(S425&lt;0.8,"50-79%",IF(S425&lt;1,"80-99%","100%"))))</x:f>
        <x:v>1-49%</x:v>
      </x:c>
      <x:c r="AD425" s="33" t="str">
        <x:f>IF(G425&lt;0,"Stock negativo",IF(G425&lt;=0,"Sin stock actual",IF(I425&lt;=0,"Sin ventas desde compra",IF(Q425&lt;=0,"Con stock, sin ventas 365d",IF(S425&lt;0.5,"Rotación baja",IF(S425&lt;1,"Rotación media","Compra absorbida; stock repuesto"))))))</x:f>
        <x:v>Con stock, sin ventas 365d</x:v>
      </x:c>
    </x:row>
    <x:row r="426">
      <x:c r="A426" s="31" t="str">
        <x:v>GUA - 015</x:v>
      </x:c>
      <x:c r="B426" s="53" t="str">
        <x:v>GUAYA CLUCTH ECO DELUXE X MOTOS</x:v>
      </x:c>
      <x:c r="C426" s="32" t="n">
        <x:v>1</x:v>
      </x:c>
      <x:c r="D426" s="38" t="n">
        <x:v>1</x:v>
      </x:c>
      <x:c r="E426" s="44" t="n">
        <x:v>6300</x:v>
      </x:c>
      <x:c r="F426" s="44" t="n">
        <x:v>6300</x:v>
      </x:c>
      <x:c r="G426" s="41" t="n">
        <x:v>0</x:v>
      </x:c>
      <x:c r="H426" s="44" t="n">
        <x:f>MAX(G426,0)*E426</x:f>
        <x:v>0</x:v>
      </x:c>
      <x:c r="I426" s="38" t="n">
        <x:v>1</x:v>
      </x:c>
      <x:c r="J426" s="44" t="n">
        <x:v>10000</x:v>
      </x:c>
      <x:c r="K426" s="32" t="n">
        <x:v>1</x:v>
      </x:c>
      <x:c r="L426" s="50" t="n">
        <x:v>45598.55165509259</x:v>
      </x:c>
      <x:c r="M426" s="50" t="n">
        <x:v>45598.55165509259</x:v>
      </x:c>
      <x:c r="N426" s="32" t="n">
        <x:f>IF(M426="","",MAX(0,'Resumen'!$B$3-M426))</x:f>
        <x:v>668.4483449074105</x:v>
      </x:c>
      <x:c r="O426" s="38" t="n">
        <x:v>0</x:v>
      </x:c>
      <x:c r="P426" s="38" t="n">
        <x:v>0</x:v>
      </x:c>
      <x:c r="Q426" s="38" t="n">
        <x:v>0</x:v>
      </x:c>
      <x:c r="R426" s="38" t="n">
        <x:f>MIN(D426,I426)</x:f>
        <x:v>1</x:v>
      </x:c>
      <x:c r="S426" s="47" t="n">
        <x:f>IFERROR(R426/D426,0)</x:f>
        <x:v>1</x:v>
      </x:c>
      <x:c r="T426" s="38" t="n">
        <x:f>MIN(MAX(G426,0),MAX(D426-I426,0))</x:f>
        <x:v>0</x:v>
      </x:c>
      <x:c r="U426" s="44" t="n">
        <x:f>T426*E426</x:f>
        <x:v>0</x:v>
      </x:c>
      <x:c r="V426" s="38" t="n">
        <x:v>0</x:v>
      </x:c>
      <x:c r="W426" s="32" t="n">
        <x:v>0</x:v>
      </x:c>
      <x:c r="X426" s="50"/>
      <x:c r="Y426" s="44" t="n">
        <x:v>10500</x:v>
      </x:c>
      <x:c r="Z426" s="44" t="n">
        <x:f>IF(I426&gt;0,R426*(J426/I426),0)</x:f>
        <x:v>10000</x:v>
      </x:c>
      <x:c r="AA426" s="44" t="n">
        <x:f>Z426-(R426*E426)</x:f>
        <x:v>3700</x:v>
      </x:c>
      <x:c r="AB426" s="47" t="n">
        <x:f>IFERROR(AA426/Z426,0)</x:f>
        <x:v>0.37</x:v>
      </x:c>
      <x:c r="AC426" s="32" t="str">
        <x:f>IF(S426=0,"0%",IF(S426&lt;0.5,"1-49%",IF(S426&lt;0.8,"50-79%",IF(S426&lt;1,"80-99%","100%"))))</x:f>
        <x:v>100%</x:v>
      </x:c>
      <x:c r="AD426" s="33" t="str">
        <x:f>IF(G426&lt;0,"Stock negativo",IF(G426&lt;=0,"Sin stock actual",IF(I426&lt;=0,"Sin ventas desde compra",IF(Q426&lt;=0,"Con stock, sin ventas 365d",IF(S426&lt;0.5,"Rotación baja",IF(S426&lt;1,"Rotación media","Compra absorbida; stock repuesto"))))))</x:f>
        <x:v>Sin stock actual</x:v>
      </x:c>
    </x:row>
    <x:row r="427">
      <x:c r="A427" s="31" t="str">
        <x:v>MOTS1305</x:v>
      </x:c>
      <x:c r="B427" s="53" t="str">
        <x:v>MANGUERA ACEITE METRO</x:v>
      </x:c>
      <x:c r="C427" s="32" t="n">
        <x:v>1</x:v>
      </x:c>
      <x:c r="D427" s="38" t="n">
        <x:v>10</x:v>
      </x:c>
      <x:c r="E427" s="44" t="n">
        <x:v>625</x:v>
      </x:c>
      <x:c r="F427" s="44" t="n">
        <x:v>6250</x:v>
      </x:c>
      <x:c r="G427" s="41" t="n">
        <x:v>5</x:v>
      </x:c>
      <x:c r="H427" s="44" t="n">
        <x:f>MAX(G427,0)*E427</x:f>
        <x:v>3125</x:v>
      </x:c>
      <x:c r="I427" s="38" t="n">
        <x:v>5</x:v>
      </x:c>
      <x:c r="J427" s="44" t="n">
        <x:v>15500</x:v>
      </x:c>
      <x:c r="K427" s="32" t="n">
        <x:v>5</x:v>
      </x:c>
      <x:c r="L427" s="50" t="n">
        <x:v>45525.8812962963</x:v>
      </x:c>
      <x:c r="M427" s="50" t="n">
        <x:v>45726.66054398148</x:v>
      </x:c>
      <x:c r="N427" s="32" t="n">
        <x:f>IF(M427="","",MAX(0,'Resumen'!$B$3-M427))</x:f>
        <x:v>540.3394560185188</x:v>
      </x:c>
      <x:c r="O427" s="38" t="n">
        <x:v>0</x:v>
      </x:c>
      <x:c r="P427" s="38" t="n">
        <x:v>0</x:v>
      </x:c>
      <x:c r="Q427" s="38" t="n">
        <x:v>0</x:v>
      </x:c>
      <x:c r="R427" s="38" t="n">
        <x:f>MIN(D427,I427)</x:f>
        <x:v>5</x:v>
      </x:c>
      <x:c r="S427" s="47" t="n">
        <x:f>IFERROR(R427/D427,0)</x:f>
        <x:v>0.5</x:v>
      </x:c>
      <x:c r="T427" s="38" t="n">
        <x:f>MIN(MAX(G427,0),MAX(D427-I427,0))</x:f>
        <x:v>5</x:v>
      </x:c>
      <x:c r="U427" s="44" t="n">
        <x:f>T427*E427</x:f>
        <x:v>3125</x:v>
      </x:c>
      <x:c r="V427" s="38" t="n">
        <x:v>0</x:v>
      </x:c>
      <x:c r="W427" s="32" t="n">
        <x:v>0</x:v>
      </x:c>
      <x:c r="X427" s="50"/>
      <x:c r="Y427" s="44" t="n">
        <x:v>3500</x:v>
      </x:c>
      <x:c r="Z427" s="44" t="n">
        <x:f>IF(I427&gt;0,R427*(J427/I427),0)</x:f>
        <x:v>15500</x:v>
      </x:c>
      <x:c r="AA427" s="44" t="n">
        <x:f>Z427-(R427*E427)</x:f>
        <x:v>12375</x:v>
      </x:c>
      <x:c r="AB427" s="47" t="n">
        <x:f>IFERROR(AA427/Z427,0)</x:f>
        <x:v>0.7983870967741935</x:v>
      </x:c>
      <x:c r="AC427" s="32" t="str">
        <x:f>IF(S427=0,"0%",IF(S427&lt;0.5,"1-49%",IF(S427&lt;0.8,"50-79%",IF(S427&lt;1,"80-99%","100%"))))</x:f>
        <x:v>50-79%</x:v>
      </x:c>
      <x:c r="AD427" s="33" t="str">
        <x:f>IF(G427&lt;0,"Stock negativo",IF(G427&lt;=0,"Sin stock actual",IF(I427&lt;=0,"Sin ventas desde compra",IF(Q427&lt;=0,"Con stock, sin ventas 365d",IF(S427&lt;0.5,"Rotación baja",IF(S427&lt;1,"Rotación media","Compra absorbida; stock repuesto"))))))</x:f>
        <x:v>Con stock, sin ventas 365d</x:v>
      </x:c>
    </x:row>
    <x:row r="428">
      <x:c r="A428" s="31" t="str">
        <x:v>4174</x:v>
      </x:c>
      <x:c r="B428" s="53" t="str">
        <x:v>TERMINAL ELECTRICA 3/16 (CUERPO PÑO=</x:v>
      </x:c>
      <x:c r="C428" s="32" t="n">
        <x:v>1</x:v>
      </x:c>
      <x:c r="D428" s="38" t="n">
        <x:v>35</x:v>
      </x:c>
      <x:c r="E428" s="44" t="n">
        <x:v>175</x:v>
      </x:c>
      <x:c r="F428" s="44" t="n">
        <x:v>6125</x:v>
      </x:c>
      <x:c r="G428" s="41" t="n">
        <x:v>8</x:v>
      </x:c>
      <x:c r="H428" s="44" t="n">
        <x:f>MAX(G428,0)*E428</x:f>
        <x:v>1400</x:v>
      </x:c>
      <x:c r="I428" s="38" t="n">
        <x:v>28</x:v>
      </x:c>
      <x:c r="J428" s="44" t="n">
        <x:v>8400</x:v>
      </x:c>
      <x:c r="K428" s="32" t="n">
        <x:v>18</x:v>
      </x:c>
      <x:c r="L428" s="50" t="n">
        <x:v>45506.60787037037</x:v>
      </x:c>
      <x:c r="M428" s="50" t="n">
        <x:v>45994.688125</x:v>
      </x:c>
      <x:c r="N428" s="32" t="n">
        <x:f>IF(M428="","",MAX(0,'Resumen'!$B$3-M428))</x:f>
        <x:v>272.3118749999994</x:v>
      </x:c>
      <x:c r="O428" s="38" t="n">
        <x:v>0</x:v>
      </x:c>
      <x:c r="P428" s="38" t="n">
        <x:v>0</x:v>
      </x:c>
      <x:c r="Q428" s="38" t="n">
        <x:v>5</x:v>
      </x:c>
      <x:c r="R428" s="38" t="n">
        <x:f>MIN(D428,I428)</x:f>
        <x:v>28</x:v>
      </x:c>
      <x:c r="S428" s="47" t="n">
        <x:f>IFERROR(R428/D428,0)</x:f>
        <x:v>0.8</x:v>
      </x:c>
      <x:c r="T428" s="38" t="n">
        <x:f>MIN(MAX(G428,0),MAX(D428-I428,0))</x:f>
        <x:v>7</x:v>
      </x:c>
      <x:c r="U428" s="44" t="n">
        <x:f>T428*E428</x:f>
        <x:v>1225</x:v>
      </x:c>
      <x:c r="V428" s="38" t="n">
        <x:v>1</x:v>
      </x:c>
      <x:c r="W428" s="32" t="n">
        <x:v>1</x:v>
      </x:c>
      <x:c r="X428" s="50" t="n">
        <x:v>45897</x:v>
      </x:c>
      <x:c r="Y428" s="44" t="n">
        <x:v>300</x:v>
      </x:c>
      <x:c r="Z428" s="44" t="n">
        <x:f>IF(I428&gt;0,R428*(J428/I428),0)</x:f>
        <x:v>8400</x:v>
      </x:c>
      <x:c r="AA428" s="44" t="n">
        <x:f>Z428-(R428*E428)</x:f>
        <x:v>3500</x:v>
      </x:c>
      <x:c r="AB428" s="47" t="n">
        <x:f>IFERROR(AA428/Z428,0)</x:f>
        <x:v>0.4166666666666667</x:v>
      </x:c>
      <x:c r="AC428" s="32" t="str">
        <x:f>IF(S428=0,"0%",IF(S428&lt;0.5,"1-49%",IF(S428&lt;0.8,"50-79%",IF(S428&lt;1,"80-99%","100%"))))</x:f>
        <x:v>80-99%</x:v>
      </x:c>
      <x:c r="AD428" s="33" t="str">
        <x:f>IF(G428&lt;0,"Stock negativo",IF(G428&lt;=0,"Sin stock actual",IF(I428&lt;=0,"Sin ventas desde compra",IF(Q428&lt;=0,"Con stock, sin ventas 365d",IF(S428&lt;0.5,"Rotación baja",IF(S428&lt;1,"Rotación media","Compra absorbida; stock repuesto"))))))</x:f>
        <x:v>Rotación media</x:v>
      </x:c>
    </x:row>
    <x:row r="429">
      <x:c r="A429" s="31" t="str">
        <x:v>17479</x:v>
      </x:c>
      <x:c r="B429" s="53" t="str">
        <x:v>MANIGUETA IZQ BWS 2Q BWS UT MOTO TEC</x:v>
      </x:c>
      <x:c r="C429" s="32" t="n">
        <x:v>1</x:v>
      </x:c>
      <x:c r="D429" s="38" t="n">
        <x:v>1</x:v>
      </x:c>
      <x:c r="E429" s="44" t="n">
        <x:v>6000</x:v>
      </x:c>
      <x:c r="F429" s="44" t="n">
        <x:v>6000</x:v>
      </x:c>
      <x:c r="G429" s="41" t="n">
        <x:v>0</x:v>
      </x:c>
      <x:c r="H429" s="44" t="n">
        <x:f>MAX(G429,0)*E429</x:f>
        <x:v>0</x:v>
      </x:c>
      <x:c r="I429" s="38" t="n">
        <x:v>1</x:v>
      </x:c>
      <x:c r="J429" s="44" t="n">
        <x:v>10000</x:v>
      </x:c>
      <x:c r="K429" s="32" t="n">
        <x:v>1</x:v>
      </x:c>
      <x:c r="L429" s="50" t="n">
        <x:v>45915.712905092594</x:v>
      </x:c>
      <x:c r="M429" s="50" t="n">
        <x:v>45915.712905092594</x:v>
      </x:c>
      <x:c r="N429" s="32" t="n">
        <x:f>IF(M429="","",MAX(0,'Resumen'!$B$3-M429))</x:f>
        <x:v>351.28709490740584</x:v>
      </x:c>
      <x:c r="O429" s="38" t="n">
        <x:v>0</x:v>
      </x:c>
      <x:c r="P429" s="38" t="n">
        <x:v>0</x:v>
      </x:c>
      <x:c r="Q429" s="38" t="n">
        <x:v>1</x:v>
      </x:c>
      <x:c r="R429" s="38" t="n">
        <x:f>MIN(D429,I429)</x:f>
        <x:v>1</x:v>
      </x:c>
      <x:c r="S429" s="47" t="n">
        <x:f>IFERROR(R429/D429,0)</x:f>
        <x:v>1</x:v>
      </x:c>
      <x:c r="T429" s="38" t="n">
        <x:f>MIN(MAX(G429,0),MAX(D429-I429,0))</x:f>
        <x:v>0</x:v>
      </x:c>
      <x:c r="U429" s="44" t="n">
        <x:f>T429*E429</x:f>
        <x:v>0</x:v>
      </x:c>
      <x:c r="V429" s="38" t="n">
        <x:v>0</x:v>
      </x:c>
      <x:c r="W429" s="32" t="n">
        <x:v>0</x:v>
      </x:c>
      <x:c r="X429" s="50"/>
      <x:c r="Y429" s="44" t="n">
        <x:v>10000</x:v>
      </x:c>
      <x:c r="Z429" s="44" t="n">
        <x:f>IF(I429&gt;0,R429*(J429/I429),0)</x:f>
        <x:v>10000</x:v>
      </x:c>
      <x:c r="AA429" s="44" t="n">
        <x:f>Z429-(R429*E429)</x:f>
        <x:v>4000</x:v>
      </x:c>
      <x:c r="AB429" s="47" t="n">
        <x:f>IFERROR(AA429/Z429,0)</x:f>
        <x:v>0.4</x:v>
      </x:c>
      <x:c r="AC429" s="32" t="str">
        <x:f>IF(S429=0,"0%",IF(S429&lt;0.5,"1-49%",IF(S429&lt;0.8,"50-79%",IF(S429&lt;1,"80-99%","100%"))))</x:f>
        <x:v>100%</x:v>
      </x:c>
      <x:c r="AD429" s="33" t="str">
        <x:f>IF(G429&lt;0,"Stock negativo",IF(G429&lt;=0,"Sin stock actual",IF(I429&lt;=0,"Sin ventas desde compra",IF(Q429&lt;=0,"Con stock, sin ventas 365d",IF(S429&lt;0.5,"Rotación baja",IF(S429&lt;1,"Rotación media","Compra absorbida; stock repuesto"))))))</x:f>
        <x:v>Sin stock actual</x:v>
      </x:c>
    </x:row>
    <x:row r="430">
      <x:c r="A430" s="31" t="str">
        <x:v>19788</x:v>
      </x:c>
      <x:c r="B430" s="53" t="str">
        <x:v>LEVA FRENO TRA - RX 115 / DR 125 / CRYTON MOTOTEL</x:v>
      </x:c>
      <x:c r="C430" s="32" t="n">
        <x:v>1</x:v>
      </x:c>
      <x:c r="D430" s="38" t="n">
        <x:v>2</x:v>
      </x:c>
      <x:c r="E430" s="44" t="n">
        <x:v>3000</x:v>
      </x:c>
      <x:c r="F430" s="44" t="n">
        <x:v>6000</x:v>
      </x:c>
      <x:c r="G430" s="41" t="n">
        <x:v>0</x:v>
      </x:c>
      <x:c r="H430" s="44" t="n">
        <x:f>MAX(G430,0)*E430</x:f>
        <x:v>0</x:v>
      </x:c>
      <x:c r="I430" s="38" t="n">
        <x:v>2</x:v>
      </x:c>
      <x:c r="J430" s="44" t="n">
        <x:v>10000</x:v>
      </x:c>
      <x:c r="K430" s="32" t="n">
        <x:v>2</x:v>
      </x:c>
      <x:c r="L430" s="50" t="n">
        <x:v>45679.64356481482</x:v>
      </x:c>
      <x:c r="M430" s="50" t="n">
        <x:v>45680.58950231481</x:v>
      </x:c>
      <x:c r="N430" s="32" t="n">
        <x:f>IF(M430="","",MAX(0,'Resumen'!$B$3-M430))</x:f>
        <x:v>586.4104976851886</x:v>
      </x:c>
      <x:c r="O430" s="38" t="n">
        <x:v>0</x:v>
      </x:c>
      <x:c r="P430" s="38" t="n">
        <x:v>0</x:v>
      </x:c>
      <x:c r="Q430" s="38" t="n">
        <x:v>0</x:v>
      </x:c>
      <x:c r="R430" s="38" t="n">
        <x:f>MIN(D430,I430)</x:f>
        <x:v>2</x:v>
      </x:c>
      <x:c r="S430" s="47" t="n">
        <x:f>IFERROR(R430/D430,0)</x:f>
        <x:v>1</x:v>
      </x:c>
      <x:c r="T430" s="38" t="n">
        <x:f>MIN(MAX(G430,0),MAX(D430-I430,0))</x:f>
        <x:v>0</x:v>
      </x:c>
      <x:c r="U430" s="44" t="n">
        <x:f>T430*E430</x:f>
        <x:v>0</x:v>
      </x:c>
      <x:c r="V430" s="38" t="n">
        <x:v>0</x:v>
      </x:c>
      <x:c r="W430" s="32" t="n">
        <x:v>0</x:v>
      </x:c>
      <x:c r="X430" s="50"/>
      <x:c r="Y430" s="44" t="n">
        <x:v>5000</x:v>
      </x:c>
      <x:c r="Z430" s="44" t="n">
        <x:f>IF(I430&gt;0,R430*(J430/I430),0)</x:f>
        <x:v>10000</x:v>
      </x:c>
      <x:c r="AA430" s="44" t="n">
        <x:f>Z430-(R430*E430)</x:f>
        <x:v>4000</x:v>
      </x:c>
      <x:c r="AB430" s="47" t="n">
        <x:f>IFERROR(AA430/Z430,0)</x:f>
        <x:v>0.4</x:v>
      </x:c>
      <x:c r="AC430" s="32" t="str">
        <x:f>IF(S430=0,"0%",IF(S430&lt;0.5,"1-49%",IF(S430&lt;0.8,"50-79%",IF(S430&lt;1,"80-99%","100%"))))</x:f>
        <x:v>100%</x:v>
      </x:c>
      <x:c r="AD430" s="33" t="str">
        <x:f>IF(G430&lt;0,"Stock negativo",IF(G430&lt;=0,"Sin stock actual",IF(I430&lt;=0,"Sin ventas desde compra",IF(Q430&lt;=0,"Con stock, sin ventas 365d",IF(S430&lt;0.5,"Rotación baja",IF(S430&lt;1,"Rotación media","Compra absorbida; stock repuesto"))))))</x:f>
        <x:v>Sin stock actual</x:v>
      </x:c>
    </x:row>
    <x:row r="431">
      <x:c r="A431" s="31" t="str">
        <x:v>MOTS1025</x:v>
      </x:c>
      <x:c r="B431" s="53" t="str">
        <x:v>FILTRO ACEITE HONDA TORNADO 250 FACTORY</x:v>
      </x:c>
      <x:c r="C431" s="32" t="n">
        <x:v>1</x:v>
      </x:c>
      <x:c r="D431" s="38" t="n">
        <x:v>1</x:v>
      </x:c>
      <x:c r="E431" s="44" t="n">
        <x:v>6000</x:v>
      </x:c>
      <x:c r="F431" s="44" t="n">
        <x:v>6000</x:v>
      </x:c>
      <x:c r="G431" s="41" t="n">
        <x:v>1</x:v>
      </x:c>
      <x:c r="H431" s="44" t="n">
        <x:f>MAX(G431,0)*E431</x:f>
        <x:v>6000</x:v>
      </x:c>
      <x:c r="I431" s="38" t="n">
        <x:v>0</x:v>
      </x:c>
      <x:c r="J431" s="44" t="n">
        <x:v>0</x:v>
      </x:c>
      <x:c r="K431" s="32" t="n">
        <x:v>0</x:v>
      </x:c>
      <x:c r="L431" s="50"/>
      <x:c r="M431" s="50"/>
      <x:c r="N431" s="32" t="str">
        <x:f>IF(M431="","",MAX(0,'Resumen'!$B$3-M431))</x:f>
      </x:c>
      <x:c r="O431" s="38" t="n">
        <x:v>0</x:v>
      </x:c>
      <x:c r="P431" s="38" t="n">
        <x:v>0</x:v>
      </x:c>
      <x:c r="Q431" s="38" t="n">
        <x:v>0</x:v>
      </x:c>
      <x:c r="R431" s="38" t="n">
        <x:f>MIN(D431,I431)</x:f>
        <x:v>0</x:v>
      </x:c>
      <x:c r="S431" s="47" t="n">
        <x:f>IFERROR(R431/D431,0)</x:f>
        <x:v>0</x:v>
      </x:c>
      <x:c r="T431" s="38" t="n">
        <x:f>MIN(MAX(G431,0),MAX(D431-I431,0))</x:f>
        <x:v>1</x:v>
      </x:c>
      <x:c r="U431" s="44" t="n">
        <x:f>T431*E431</x:f>
        <x:v>6000</x:v>
      </x:c>
      <x:c r="V431" s="38" t="n">
        <x:v>0</x:v>
      </x:c>
      <x:c r="W431" s="32" t="n">
        <x:v>0</x:v>
      </x:c>
      <x:c r="X431" s="50"/>
      <x:c r="Y431" s="44" t="n">
        <x:v>10000</x:v>
      </x:c>
      <x:c r="Z431" s="44" t="n">
        <x:f>IF(I431&gt;0,R431*(J431/I431),0)</x:f>
        <x:v>0</x:v>
      </x:c>
      <x:c r="AA431" s="44" t="n">
        <x:f>Z431-(R431*E431)</x:f>
        <x:v>0</x:v>
      </x:c>
      <x:c r="AB431" s="47" t="n">
        <x:f>IFERROR(AA431/Z431,0)</x:f>
        <x:v>0</x:v>
      </x:c>
      <x:c r="AC431" s="32" t="str">
        <x:f>IF(S431=0,"0%",IF(S431&lt;0.5,"1-49%",IF(S431&lt;0.8,"50-79%",IF(S431&lt;1,"80-99%","100%"))))</x:f>
        <x:v>0%</x:v>
      </x:c>
      <x:c r="AD431" s="33" t="str">
        <x:f>IF(G431&lt;0,"Stock negativo",IF(G431&lt;=0,"Sin stock actual",IF(I431&lt;=0,"Sin ventas desde compra",IF(Q431&lt;=0,"Con stock, sin ventas 365d",IF(S431&lt;0.5,"Rotación baja",IF(S431&lt;1,"Rotación media","Compra absorbida; stock repuesto"))))))</x:f>
        <x:v>Sin ventas desde compra</x:v>
      </x:c>
    </x:row>
    <x:row r="432">
      <x:c r="A432" s="31" t="str">
        <x:v>MOTS1026</x:v>
      </x:c>
      <x:c r="B432" s="53" t="str">
        <x:v>CAUCHO AMORTIGUADOR SOLO</x:v>
      </x:c>
      <x:c r="C432" s="32" t="n">
        <x:v>1</x:v>
      </x:c>
      <x:c r="D432" s="38" t="n">
        <x:v>10</x:v>
      </x:c>
      <x:c r="E432" s="44" t="n">
        <x:v>600</x:v>
      </x:c>
      <x:c r="F432" s="44" t="n">
        <x:v>6000</x:v>
      </x:c>
      <x:c r="G432" s="41" t="n">
        <x:v>0</x:v>
      </x:c>
      <x:c r="H432" s="44" t="n">
        <x:f>MAX(G432,0)*E432</x:f>
        <x:v>0</x:v>
      </x:c>
      <x:c r="I432" s="38" t="n">
        <x:v>10</x:v>
      </x:c>
      <x:c r="J432" s="44" t="n">
        <x:v>15000</x:v>
      </x:c>
      <x:c r="K432" s="32" t="n">
        <x:v>5</x:v>
      </x:c>
      <x:c r="L432" s="50" t="n">
        <x:v>45512.70043981481</x:v>
      </x:c>
      <x:c r="M432" s="50" t="n">
        <x:v>45535.6690625</x:v>
      </x:c>
      <x:c r="N432" s="32" t="n">
        <x:f>IF(M432="","",MAX(0,'Resumen'!$B$3-M432))</x:f>
        <x:v>731.3309375000026</x:v>
      </x:c>
      <x:c r="O432" s="38" t="n">
        <x:v>0</x:v>
      </x:c>
      <x:c r="P432" s="38" t="n">
        <x:v>0</x:v>
      </x:c>
      <x:c r="Q432" s="38" t="n">
        <x:v>0</x:v>
      </x:c>
      <x:c r="R432" s="38" t="n">
        <x:f>MIN(D432,I432)</x:f>
        <x:v>10</x:v>
      </x:c>
      <x:c r="S432" s="47" t="n">
        <x:f>IFERROR(R432/D432,0)</x:f>
        <x:v>1</x:v>
      </x:c>
      <x:c r="T432" s="38" t="n">
        <x:f>MIN(MAX(G432,0),MAX(D432-I432,0))</x:f>
        <x:v>0</x:v>
      </x:c>
      <x:c r="U432" s="44" t="n">
        <x:f>T432*E432</x:f>
        <x:v>0</x:v>
      </x:c>
      <x:c r="V432" s="38" t="n">
        <x:v>0</x:v>
      </x:c>
      <x:c r="W432" s="32" t="n">
        <x:v>0</x:v>
      </x:c>
      <x:c r="X432" s="50"/>
      <x:c r="Y432" s="44" t="n">
        <x:v>1500</x:v>
      </x:c>
      <x:c r="Z432" s="44" t="n">
        <x:f>IF(I432&gt;0,R432*(J432/I432),0)</x:f>
        <x:v>15000</x:v>
      </x:c>
      <x:c r="AA432" s="44" t="n">
        <x:f>Z432-(R432*E432)</x:f>
        <x:v>9000</x:v>
      </x:c>
      <x:c r="AB432" s="47" t="n">
        <x:f>IFERROR(AA432/Z432,0)</x:f>
        <x:v>0.6</x:v>
      </x:c>
      <x:c r="AC432" s="32" t="str">
        <x:f>IF(S432=0,"0%",IF(S432&lt;0.5,"1-49%",IF(S432&lt;0.8,"50-79%",IF(S432&lt;1,"80-99%","100%"))))</x:f>
        <x:v>100%</x:v>
      </x:c>
      <x:c r="AD432" s="33" t="str">
        <x:f>IF(G432&lt;0,"Stock negativo",IF(G432&lt;=0,"Sin stock actual",IF(I432&lt;=0,"Sin ventas desde compra",IF(Q432&lt;=0,"Con stock, sin ventas 365d",IF(S432&lt;0.5,"Rotación baja",IF(S432&lt;1,"Rotación media","Compra absorbida; stock repuesto"))))))</x:f>
        <x:v>Sin stock actual</x:v>
      </x:c>
    </x:row>
    <x:row r="433">
      <x:c r="A433" s="31" t="str">
        <x:v>MOTS1052</x:v>
      </x:c>
      <x:c r="B433" s="53" t="str">
        <x:v>RETEN 22-38-6</x:v>
      </x:c>
      <x:c r="C433" s="32" t="n">
        <x:v>1</x:v>
      </x:c>
      <x:c r="D433" s="38" t="n">
        <x:v>2</x:v>
      </x:c>
      <x:c r="E433" s="44" t="n">
        <x:v>3000</x:v>
      </x:c>
      <x:c r="F433" s="44" t="n">
        <x:v>6000</x:v>
      </x:c>
      <x:c r="G433" s="41" t="n">
        <x:v>0</x:v>
      </x:c>
      <x:c r="H433" s="44" t="n">
        <x:f>MAX(G433,0)*E433</x:f>
        <x:v>0</x:v>
      </x:c>
      <x:c r="I433" s="38" t="n">
        <x:v>2</x:v>
      </x:c>
      <x:c r="J433" s="44" t="n">
        <x:v>10000</x:v>
      </x:c>
      <x:c r="K433" s="32" t="n">
        <x:v>2</x:v>
      </x:c>
      <x:c r="L433" s="50" t="n">
        <x:v>45678.6459375</x:v>
      </x:c>
      <x:c r="M433" s="50" t="n">
        <x:v>45813.6815162037</x:v>
      </x:c>
      <x:c r="N433" s="32" t="n">
        <x:f>IF(M433="","",MAX(0,'Resumen'!$B$3-M433))</x:f>
        <x:v>453.3184837962981</x:v>
      </x:c>
      <x:c r="O433" s="38" t="n">
        <x:v>0</x:v>
      </x:c>
      <x:c r="P433" s="38" t="n">
        <x:v>0</x:v>
      </x:c>
      <x:c r="Q433" s="38" t="n">
        <x:v>0</x:v>
      </x:c>
      <x:c r="R433" s="38" t="n">
        <x:f>MIN(D433,I433)</x:f>
        <x:v>2</x:v>
      </x:c>
      <x:c r="S433" s="47" t="n">
        <x:f>IFERROR(R433/D433,0)</x:f>
        <x:v>1</x:v>
      </x:c>
      <x:c r="T433" s="38" t="n">
        <x:f>MIN(MAX(G433,0),MAX(D433-I433,0))</x:f>
        <x:v>0</x:v>
      </x:c>
      <x:c r="U433" s="44" t="n">
        <x:f>T433*E433</x:f>
        <x:v>0</x:v>
      </x:c>
      <x:c r="V433" s="38" t="n">
        <x:v>0</x:v>
      </x:c>
      <x:c r="W433" s="32" t="n">
        <x:v>0</x:v>
      </x:c>
      <x:c r="X433" s="50"/>
      <x:c r="Y433" s="44" t="n">
        <x:v>5000</x:v>
      </x:c>
      <x:c r="Z433" s="44" t="n">
        <x:f>IF(I433&gt;0,R433*(J433/I433),0)</x:f>
        <x:v>10000</x:v>
      </x:c>
      <x:c r="AA433" s="44" t="n">
        <x:f>Z433-(R433*E433)</x:f>
        <x:v>4000</x:v>
      </x:c>
      <x:c r="AB433" s="47" t="n">
        <x:f>IFERROR(AA433/Z433,0)</x:f>
        <x:v>0.4</x:v>
      </x:c>
      <x:c r="AC433" s="32" t="str">
        <x:f>IF(S433=0,"0%",IF(S433&lt;0.5,"1-49%",IF(S433&lt;0.8,"50-79%",IF(S433&lt;1,"80-99%","100%"))))</x:f>
        <x:v>100%</x:v>
      </x:c>
      <x:c r="AD433" s="33" t="str">
        <x:f>IF(G433&lt;0,"Stock negativo",IF(G433&lt;=0,"Sin stock actual",IF(I433&lt;=0,"Sin ventas desde compra",IF(Q433&lt;=0,"Con stock, sin ventas 365d",IF(S433&lt;0.5,"Rotación baja",IF(S433&lt;1,"Rotación media","Compra absorbida; stock repuesto"))))))</x:f>
        <x:v>Sin stock actual</x:v>
      </x:c>
    </x:row>
    <x:row r="434">
      <x:c r="A434" s="31" t="str">
        <x:v>MOTS1102</x:v>
      </x:c>
      <x:c r="B434" s="53" t="str">
        <x:v>RETEN 12-18-5</x:v>
      </x:c>
      <x:c r="C434" s="32" t="n">
        <x:v>1</x:v>
      </x:c>
      <x:c r="D434" s="38" t="n">
        <x:v>3</x:v>
      </x:c>
      <x:c r="E434" s="44" t="n">
        <x:v>2000</x:v>
      </x:c>
      <x:c r="F434" s="44" t="n">
        <x:v>6000</x:v>
      </x:c>
      <x:c r="G434" s="41" t="n">
        <x:v>3</x:v>
      </x:c>
      <x:c r="H434" s="44" t="n">
        <x:f>MAX(G434,0)*E434</x:f>
        <x:v>6000</x:v>
      </x:c>
      <x:c r="I434" s="38" t="n">
        <x:v>0</x:v>
      </x:c>
      <x:c r="J434" s="44" t="n">
        <x:v>0</x:v>
      </x:c>
      <x:c r="K434" s="32" t="n">
        <x:v>0</x:v>
      </x:c>
      <x:c r="L434" s="50"/>
      <x:c r="M434" s="50"/>
      <x:c r="N434" s="32" t="str">
        <x:f>IF(M434="","",MAX(0,'Resumen'!$B$3-M434))</x:f>
      </x:c>
      <x:c r="O434" s="38" t="n">
        <x:v>0</x:v>
      </x:c>
      <x:c r="P434" s="38" t="n">
        <x:v>0</x:v>
      </x:c>
      <x:c r="Q434" s="38" t="n">
        <x:v>0</x:v>
      </x:c>
      <x:c r="R434" s="38" t="n">
        <x:f>MIN(D434,I434)</x:f>
        <x:v>0</x:v>
      </x:c>
      <x:c r="S434" s="47" t="n">
        <x:f>IFERROR(R434/D434,0)</x:f>
        <x:v>0</x:v>
      </x:c>
      <x:c r="T434" s="38" t="n">
        <x:f>MIN(MAX(G434,0),MAX(D434-I434,0))</x:f>
        <x:v>3</x:v>
      </x:c>
      <x:c r="U434" s="44" t="n">
        <x:f>T434*E434</x:f>
        <x:v>6000</x:v>
      </x:c>
      <x:c r="V434" s="38" t="n">
        <x:v>0</x:v>
      </x:c>
      <x:c r="W434" s="32" t="n">
        <x:v>0</x:v>
      </x:c>
      <x:c r="X434" s="50"/>
      <x:c r="Y434" s="44" t="n">
        <x:v>3500</x:v>
      </x:c>
      <x:c r="Z434" s="44" t="n">
        <x:f>IF(I434&gt;0,R434*(J434/I434),0)</x:f>
        <x:v>0</x:v>
      </x:c>
      <x:c r="AA434" s="44" t="n">
        <x:f>Z434-(R434*E434)</x:f>
        <x:v>0</x:v>
      </x:c>
      <x:c r="AB434" s="47" t="n">
        <x:f>IFERROR(AA434/Z434,0)</x:f>
        <x:v>0</x:v>
      </x:c>
      <x:c r="AC434" s="32" t="str">
        <x:f>IF(S434=0,"0%",IF(S434&lt;0.5,"1-49%",IF(S434&lt;0.8,"50-79%",IF(S434&lt;1,"80-99%","100%"))))</x:f>
        <x:v>0%</x:v>
      </x:c>
      <x:c r="AD434" s="33" t="str">
        <x:f>IF(G434&lt;0,"Stock negativo",IF(G434&lt;=0,"Sin stock actual",IF(I434&lt;=0,"Sin ventas desde compra",IF(Q434&lt;=0,"Con stock, sin ventas 365d",IF(S434&lt;0.5,"Rotación baja",IF(S434&lt;1,"Rotación media","Compra absorbida; stock repuesto"))))))</x:f>
        <x:v>Sin ventas desde compra</x:v>
      </x:c>
    </x:row>
    <x:row r="435">
      <x:c r="A435" s="31" t="str">
        <x:v>MOTS1104</x:v>
      </x:c>
      <x:c r="B435" s="53" t="str">
        <x:v>SWICHE CUADRADO BIMBY</x:v>
      </x:c>
      <x:c r="C435" s="32" t="n">
        <x:v>1</x:v>
      </x:c>
      <x:c r="D435" s="38" t="n">
        <x:v>4</x:v>
      </x:c>
      <x:c r="E435" s="44" t="n">
        <x:v>1500</x:v>
      </x:c>
      <x:c r="F435" s="44" t="n">
        <x:v>6000</x:v>
      </x:c>
      <x:c r="G435" s="41" t="n">
        <x:v>4</x:v>
      </x:c>
      <x:c r="H435" s="44" t="n">
        <x:f>MAX(G435,0)*E435</x:f>
        <x:v>6000</x:v>
      </x:c>
      <x:c r="I435" s="38" t="n">
        <x:v>0</x:v>
      </x:c>
      <x:c r="J435" s="44" t="n">
        <x:v>0</x:v>
      </x:c>
      <x:c r="K435" s="32" t="n">
        <x:v>0</x:v>
      </x:c>
      <x:c r="L435" s="50"/>
      <x:c r="M435" s="50"/>
      <x:c r="N435" s="32" t="str">
        <x:f>IF(M435="","",MAX(0,'Resumen'!$B$3-M435))</x:f>
      </x:c>
      <x:c r="O435" s="38" t="n">
        <x:v>0</x:v>
      </x:c>
      <x:c r="P435" s="38" t="n">
        <x:v>0</x:v>
      </x:c>
      <x:c r="Q435" s="38" t="n">
        <x:v>0</x:v>
      </x:c>
      <x:c r="R435" s="38" t="n">
        <x:f>MIN(D435,I435)</x:f>
        <x:v>0</x:v>
      </x:c>
      <x:c r="S435" s="47" t="n">
        <x:f>IFERROR(R435/D435,0)</x:f>
        <x:v>0</x:v>
      </x:c>
      <x:c r="T435" s="38" t="n">
        <x:f>MIN(MAX(G435,0),MAX(D435-I435,0))</x:f>
        <x:v>4</x:v>
      </x:c>
      <x:c r="U435" s="44" t="n">
        <x:f>T435*E435</x:f>
        <x:v>6000</x:v>
      </x:c>
      <x:c r="V435" s="38" t="n">
        <x:v>0</x:v>
      </x:c>
      <x:c r="W435" s="32" t="n">
        <x:v>0</x:v>
      </x:c>
      <x:c r="X435" s="50"/>
      <x:c r="Y435" s="44" t="n">
        <x:v>2500</x:v>
      </x:c>
      <x:c r="Z435" s="44" t="n">
        <x:f>IF(I435&gt;0,R435*(J435/I435),0)</x:f>
        <x:v>0</x:v>
      </x:c>
      <x:c r="AA435" s="44" t="n">
        <x:f>Z435-(R435*E435)</x:f>
        <x:v>0</x:v>
      </x:c>
      <x:c r="AB435" s="47" t="n">
        <x:f>IFERROR(AA435/Z435,0)</x:f>
        <x:v>0</x:v>
      </x:c>
      <x:c r="AC435" s="32" t="str">
        <x:f>IF(S435=0,"0%",IF(S435&lt;0.5,"1-49%",IF(S435&lt;0.8,"50-79%",IF(S435&lt;1,"80-99%","100%"))))</x:f>
        <x:v>0%</x:v>
      </x:c>
      <x:c r="AD435" s="33" t="str">
        <x:f>IF(G435&lt;0,"Stock negativo",IF(G435&lt;=0,"Sin stock actual",IF(I435&lt;=0,"Sin ventas desde compra",IF(Q435&lt;=0,"Con stock, sin ventas 365d",IF(S435&lt;0.5,"Rotación baja",IF(S435&lt;1,"Rotación media","Compra absorbida; stock repuesto"))))))</x:f>
        <x:v>Sin ventas desde compra</x:v>
      </x:c>
    </x:row>
    <x:row r="436">
      <x:c r="A436" s="31" t="str">
        <x:v>MOTS1134</x:v>
      </x:c>
      <x:c r="B436" s="53" t="str">
        <x:v>FUSIBLE MUELA PÑA 20 AM</x:v>
      </x:c>
      <x:c r="C436" s="32" t="n">
        <x:v>1</x:v>
      </x:c>
      <x:c r="D436" s="38" t="n">
        <x:v>15</x:v>
      </x:c>
      <x:c r="E436" s="44" t="n">
        <x:v>400</x:v>
      </x:c>
      <x:c r="F436" s="44" t="n">
        <x:v>6000</x:v>
      </x:c>
      <x:c r="G436" s="41" t="n">
        <x:v>12</x:v>
      </x:c>
      <x:c r="H436" s="44" t="n">
        <x:f>MAX(G436,0)*E436</x:f>
        <x:v>4800</x:v>
      </x:c>
      <x:c r="I436" s="38" t="n">
        <x:v>3</x:v>
      </x:c>
      <x:c r="J436" s="44" t="n">
        <x:v>1900</x:v>
      </x:c>
      <x:c r="K436" s="32" t="n">
        <x:v>2</x:v>
      </x:c>
      <x:c r="L436" s="50" t="n">
        <x:v>45839.762337962966</x:v>
      </x:c>
      <x:c r="M436" s="50" t="n">
        <x:v>46116.61337962963</x:v>
      </x:c>
      <x:c r="N436" s="32" t="n">
        <x:f>IF(M436="","",MAX(0,'Resumen'!$B$3-M436))</x:f>
        <x:v>150.38662037037284</x:v>
      </x:c>
      <x:c r="O436" s="38" t="n">
        <x:v>0</x:v>
      </x:c>
      <x:c r="P436" s="38" t="n">
        <x:v>0</x:v>
      </x:c>
      <x:c r="Q436" s="38" t="n">
        <x:v>2</x:v>
      </x:c>
      <x:c r="R436" s="38" t="n">
        <x:f>MIN(D436,I436)</x:f>
        <x:v>3</x:v>
      </x:c>
      <x:c r="S436" s="47" t="n">
        <x:f>IFERROR(R436/D436,0)</x:f>
        <x:v>0.2</x:v>
      </x:c>
      <x:c r="T436" s="38" t="n">
        <x:f>MIN(MAX(G436,0),MAX(D436-I436,0))</x:f>
        <x:v>12</x:v>
      </x:c>
      <x:c r="U436" s="44" t="n">
        <x:f>T436*E436</x:f>
        <x:v>4800</x:v>
      </x:c>
      <x:c r="V436" s="38" t="n">
        <x:v>0</x:v>
      </x:c>
      <x:c r="W436" s="32" t="n">
        <x:v>0</x:v>
      </x:c>
      <x:c r="X436" s="50"/>
      <x:c r="Y436" s="44" t="n">
        <x:v>700</x:v>
      </x:c>
      <x:c r="Z436" s="44" t="n">
        <x:f>IF(I436&gt;0,R436*(J436/I436),0)</x:f>
        <x:v>1900</x:v>
      </x:c>
      <x:c r="AA436" s="44" t="n">
        <x:f>Z436-(R436*E436)</x:f>
        <x:v>700</x:v>
      </x:c>
      <x:c r="AB436" s="47" t="n">
        <x:f>IFERROR(AA436/Z436,0)</x:f>
        <x:v>0.3684210526315789</x:v>
      </x:c>
      <x:c r="AC436" s="32" t="str">
        <x:f>IF(S436=0,"0%",IF(S436&lt;0.5,"1-49%",IF(S436&lt;0.8,"50-79%",IF(S436&lt;1,"80-99%","100%"))))</x:f>
        <x:v>1-49%</x:v>
      </x:c>
      <x:c r="AD436" s="33" t="str">
        <x:f>IF(G436&lt;0,"Stock negativo",IF(G436&lt;=0,"Sin stock actual",IF(I436&lt;=0,"Sin ventas desde compra",IF(Q436&lt;=0,"Con stock, sin ventas 365d",IF(S436&lt;0.5,"Rotación baja",IF(S436&lt;1,"Rotación media","Compra absorbida; stock repuesto"))))))</x:f>
        <x:v>Rotación baja</x:v>
      </x:c>
    </x:row>
    <x:row r="437">
      <x:c r="A437" s="31" t="str">
        <x:v>MOTS1139</x:v>
      </x:c>
      <x:c r="B437" s="53" t="str">
        <x:v>PROTETOR BOMBA FRENO XT2</x:v>
      </x:c>
      <x:c r="C437" s="32" t="n">
        <x:v>1</x:v>
      </x:c>
      <x:c r="D437" s="38" t="n">
        <x:v>1</x:v>
      </x:c>
      <x:c r="E437" s="44" t="n">
        <x:v>6000</x:v>
      </x:c>
      <x:c r="F437" s="44" t="n">
        <x:v>6000</x:v>
      </x:c>
      <x:c r="G437" s="41" t="n">
        <x:v>0</x:v>
      </x:c>
      <x:c r="H437" s="44" t="n">
        <x:f>MAX(G437,0)*E437</x:f>
        <x:v>0</x:v>
      </x:c>
      <x:c r="I437" s="38" t="n">
        <x:v>1</x:v>
      </x:c>
      <x:c r="J437" s="44" t="n">
        <x:v>7000</x:v>
      </x:c>
      <x:c r="K437" s="32" t="n">
        <x:v>1</x:v>
      </x:c>
      <x:c r="L437" s="50" t="n">
        <x:v>45696.59103009259</x:v>
      </x:c>
      <x:c r="M437" s="50" t="n">
        <x:v>45696.59103009259</x:v>
      </x:c>
      <x:c r="N437" s="32" t="n">
        <x:f>IF(M437="","",MAX(0,'Resumen'!$B$3-M437))</x:f>
        <x:v>570.4089699074102</x:v>
      </x:c>
      <x:c r="O437" s="38" t="n">
        <x:v>0</x:v>
      </x:c>
      <x:c r="P437" s="38" t="n">
        <x:v>0</x:v>
      </x:c>
      <x:c r="Q437" s="38" t="n">
        <x:v>0</x:v>
      </x:c>
      <x:c r="R437" s="38" t="n">
        <x:f>MIN(D437,I437)</x:f>
        <x:v>1</x:v>
      </x:c>
      <x:c r="S437" s="47" t="n">
        <x:f>IFERROR(R437/D437,0)</x:f>
        <x:v>1</x:v>
      </x:c>
      <x:c r="T437" s="38" t="n">
        <x:f>MIN(MAX(G437,0),MAX(D437-I437,0))</x:f>
        <x:v>0</x:v>
      </x:c>
      <x:c r="U437" s="44" t="n">
        <x:f>T437*E437</x:f>
        <x:v>0</x:v>
      </x:c>
      <x:c r="V437" s="38" t="n">
        <x:v>0</x:v>
      </x:c>
      <x:c r="W437" s="32" t="n">
        <x:v>0</x:v>
      </x:c>
      <x:c r="X437" s="50"/>
      <x:c r="Y437" s="44" t="n">
        <x:v>10000</x:v>
      </x:c>
      <x:c r="Z437" s="44" t="n">
        <x:f>IF(I437&gt;0,R437*(J437/I437),0)</x:f>
        <x:v>7000</x:v>
      </x:c>
      <x:c r="AA437" s="44" t="n">
        <x:f>Z437-(R437*E437)</x:f>
        <x:v>1000</x:v>
      </x:c>
      <x:c r="AB437" s="47" t="n">
        <x:f>IFERROR(AA437/Z437,0)</x:f>
        <x:v>0.14285714285714285</x:v>
      </x:c>
      <x:c r="AC437" s="32" t="str">
        <x:f>IF(S437=0,"0%",IF(S437&lt;0.5,"1-49%",IF(S437&lt;0.8,"50-79%",IF(S437&lt;1,"80-99%","100%"))))</x:f>
        <x:v>100%</x:v>
      </x:c>
      <x:c r="AD437" s="33" t="str">
        <x:f>IF(G437&lt;0,"Stock negativo",IF(G437&lt;=0,"Sin stock actual",IF(I437&lt;=0,"Sin ventas desde compra",IF(Q437&lt;=0,"Con stock, sin ventas 365d",IF(S437&lt;0.5,"Rotación baja",IF(S437&lt;1,"Rotación media","Compra absorbida; stock repuesto"))))))</x:f>
        <x:v>Sin stock actual</x:v>
      </x:c>
    </x:row>
    <x:row r="438">
      <x:c r="A438" s="31" t="str">
        <x:v>MOTS1151</x:v>
      </x:c>
      <x:c r="B438" s="53" t="str">
        <x:v>DIRECCIONAL ECO HERO HONDA UND</x:v>
      </x:c>
      <x:c r="C438" s="32" t="n">
        <x:v>1</x:v>
      </x:c>
      <x:c r="D438" s="38" t="n">
        <x:v>1</x:v>
      </x:c>
      <x:c r="E438" s="44" t="n">
        <x:v>6000</x:v>
      </x:c>
      <x:c r="F438" s="44" t="n">
        <x:v>6000</x:v>
      </x:c>
      <x:c r="G438" s="41" t="n">
        <x:v>1</x:v>
      </x:c>
      <x:c r="H438" s="44" t="n">
        <x:f>MAX(G438,0)*E438</x:f>
        <x:v>6000</x:v>
      </x:c>
      <x:c r="I438" s="38" t="n">
        <x:v>0</x:v>
      </x:c>
      <x:c r="J438" s="44" t="n">
        <x:v>0</x:v>
      </x:c>
      <x:c r="K438" s="32" t="n">
        <x:v>0</x:v>
      </x:c>
      <x:c r="L438" s="50"/>
      <x:c r="M438" s="50"/>
      <x:c r="N438" s="32" t="str">
        <x:f>IF(M438="","",MAX(0,'Resumen'!$B$3-M438))</x:f>
      </x:c>
      <x:c r="O438" s="38" t="n">
        <x:v>0</x:v>
      </x:c>
      <x:c r="P438" s="38" t="n">
        <x:v>0</x:v>
      </x:c>
      <x:c r="Q438" s="38" t="n">
        <x:v>0</x:v>
      </x:c>
      <x:c r="R438" s="38" t="n">
        <x:f>MIN(D438,I438)</x:f>
        <x:v>0</x:v>
      </x:c>
      <x:c r="S438" s="47" t="n">
        <x:f>IFERROR(R438/D438,0)</x:f>
        <x:v>0</x:v>
      </x:c>
      <x:c r="T438" s="38" t="n">
        <x:f>MIN(MAX(G438,0),MAX(D438-I438,0))</x:f>
        <x:v>1</x:v>
      </x:c>
      <x:c r="U438" s="44" t="n">
        <x:f>T438*E438</x:f>
        <x:v>6000</x:v>
      </x:c>
      <x:c r="V438" s="38" t="n">
        <x:v>0</x:v>
      </x:c>
      <x:c r="W438" s="32" t="n">
        <x:v>0</x:v>
      </x:c>
      <x:c r="X438" s="50"/>
      <x:c r="Y438" s="44" t="n">
        <x:v>10000</x:v>
      </x:c>
      <x:c r="Z438" s="44" t="n">
        <x:f>IF(I438&gt;0,R438*(J438/I438),0)</x:f>
        <x:v>0</x:v>
      </x:c>
      <x:c r="AA438" s="44" t="n">
        <x:f>Z438-(R438*E438)</x:f>
        <x:v>0</x:v>
      </x:c>
      <x:c r="AB438" s="47" t="n">
        <x:f>IFERROR(AA438/Z438,0)</x:f>
        <x:v>0</x:v>
      </x:c>
      <x:c r="AC438" s="32" t="str">
        <x:f>IF(S438=0,"0%",IF(S438&lt;0.5,"1-49%",IF(S438&lt;0.8,"50-79%",IF(S438&lt;1,"80-99%","100%"))))</x:f>
        <x:v>0%</x:v>
      </x:c>
      <x:c r="AD438" s="33" t="str">
        <x:f>IF(G438&lt;0,"Stock negativo",IF(G438&lt;=0,"Sin stock actual",IF(I438&lt;=0,"Sin ventas desde compra",IF(Q438&lt;=0,"Con stock, sin ventas 365d",IF(S438&lt;0.5,"Rotación baja",IF(S438&lt;1,"Rotación media","Compra absorbida; stock repuesto"))))))</x:f>
        <x:v>Sin ventas desde compra</x:v>
      </x:c>
    </x:row>
    <x:row r="439">
      <x:c r="A439" s="31" t="str">
        <x:v>MOTS1153</x:v>
      </x:c>
      <x:c r="B439" s="53" t="str">
        <x:v>DIRECCIONAL AX 2T TRANSPARENTE</x:v>
      </x:c>
      <x:c r="C439" s="32" t="n">
        <x:v>1</x:v>
      </x:c>
      <x:c r="D439" s="38" t="n">
        <x:v>1</x:v>
      </x:c>
      <x:c r="E439" s="44" t="n">
        <x:v>6000</x:v>
      </x:c>
      <x:c r="F439" s="44" t="n">
        <x:v>6000</x:v>
      </x:c>
      <x:c r="G439" s="41" t="n">
        <x:v>0</x:v>
      </x:c>
      <x:c r="H439" s="44" t="n">
        <x:f>MAX(G439,0)*E439</x:f>
        <x:v>0</x:v>
      </x:c>
      <x:c r="I439" s="38" t="n">
        <x:v>1</x:v>
      </x:c>
      <x:c r="J439" s="44" t="n">
        <x:v>10000</x:v>
      </x:c>
      <x:c r="K439" s="32" t="n">
        <x:v>1</x:v>
      </x:c>
      <x:c r="L439" s="50" t="n">
        <x:v>45535.957974537036</x:v>
      </x:c>
      <x:c r="M439" s="50" t="n">
        <x:v>45535.957974537036</x:v>
      </x:c>
      <x:c r="N439" s="32" t="n">
        <x:f>IF(M439="","",MAX(0,'Resumen'!$B$3-M439))</x:f>
        <x:v>731.0420254629644</x:v>
      </x:c>
      <x:c r="O439" s="38" t="n">
        <x:v>0</x:v>
      </x:c>
      <x:c r="P439" s="38" t="n">
        <x:v>0</x:v>
      </x:c>
      <x:c r="Q439" s="38" t="n">
        <x:v>0</x:v>
      </x:c>
      <x:c r="R439" s="38" t="n">
        <x:f>MIN(D439,I439)</x:f>
        <x:v>1</x:v>
      </x:c>
      <x:c r="S439" s="47" t="n">
        <x:f>IFERROR(R439/D439,0)</x:f>
        <x:v>1</x:v>
      </x:c>
      <x:c r="T439" s="38" t="n">
        <x:f>MIN(MAX(G439,0),MAX(D439-I439,0))</x:f>
        <x:v>0</x:v>
      </x:c>
      <x:c r="U439" s="44" t="n">
        <x:f>T439*E439</x:f>
        <x:v>0</x:v>
      </x:c>
      <x:c r="V439" s="38" t="n">
        <x:v>0</x:v>
      </x:c>
      <x:c r="W439" s="32" t="n">
        <x:v>0</x:v>
      </x:c>
      <x:c r="X439" s="50"/>
      <x:c r="Y439" s="44" t="n">
        <x:v>10000</x:v>
      </x:c>
      <x:c r="Z439" s="44" t="n">
        <x:f>IF(I439&gt;0,R439*(J439/I439),0)</x:f>
        <x:v>10000</x:v>
      </x:c>
      <x:c r="AA439" s="44" t="n">
        <x:f>Z439-(R439*E439)</x:f>
        <x:v>4000</x:v>
      </x:c>
      <x:c r="AB439" s="47" t="n">
        <x:f>IFERROR(AA439/Z439,0)</x:f>
        <x:v>0.4</x:v>
      </x:c>
      <x:c r="AC439" s="32" t="str">
        <x:f>IF(S439=0,"0%",IF(S439&lt;0.5,"1-49%",IF(S439&lt;0.8,"50-79%",IF(S439&lt;1,"80-99%","100%"))))</x:f>
        <x:v>100%</x:v>
      </x:c>
      <x:c r="AD439" s="33" t="str">
        <x:f>IF(G439&lt;0,"Stock negativo",IF(G439&lt;=0,"Sin stock actual",IF(I439&lt;=0,"Sin ventas desde compra",IF(Q439&lt;=0,"Con stock, sin ventas 365d",IF(S439&lt;0.5,"Rotación baja",IF(S439&lt;1,"Rotación media","Compra absorbida; stock repuesto"))))))</x:f>
        <x:v>Sin stock actual</x:v>
      </x:c>
    </x:row>
    <x:row r="440">
      <x:c r="A440" s="31" t="str">
        <x:v>MOTS1186</x:v>
      </x:c>
      <x:c r="B440" s="53" t="str">
        <x:v>SACA BIKES VARIOS</x:v>
      </x:c>
      <x:c r="C440" s="32" t="n">
        <x:v>1</x:v>
      </x:c>
      <x:c r="D440" s="38" t="n">
        <x:v>4</x:v>
      </x:c>
      <x:c r="E440" s="44" t="n">
        <x:v>1500</x:v>
      </x:c>
      <x:c r="F440" s="44" t="n">
        <x:v>6000</x:v>
      </x:c>
      <x:c r="G440" s="41" t="n">
        <x:v>4</x:v>
      </x:c>
      <x:c r="H440" s="44" t="n">
        <x:f>MAX(G440,0)*E440</x:f>
        <x:v>6000</x:v>
      </x:c>
      <x:c r="I440" s="38" t="n">
        <x:v>0</x:v>
      </x:c>
      <x:c r="J440" s="44" t="n">
        <x:v>0</x:v>
      </x:c>
      <x:c r="K440" s="32" t="n">
        <x:v>0</x:v>
      </x:c>
      <x:c r="L440" s="50"/>
      <x:c r="M440" s="50"/>
      <x:c r="N440" s="32" t="str">
        <x:f>IF(M440="","",MAX(0,'Resumen'!$B$3-M440))</x:f>
      </x:c>
      <x:c r="O440" s="38" t="n">
        <x:v>0</x:v>
      </x:c>
      <x:c r="P440" s="38" t="n">
        <x:v>0</x:v>
      </x:c>
      <x:c r="Q440" s="38" t="n">
        <x:v>0</x:v>
      </x:c>
      <x:c r="R440" s="38" t="n">
        <x:f>MIN(D440,I440)</x:f>
        <x:v>0</x:v>
      </x:c>
      <x:c r="S440" s="47" t="n">
        <x:f>IFERROR(R440/D440,0)</x:f>
        <x:v>0</x:v>
      </x:c>
      <x:c r="T440" s="38" t="n">
        <x:f>MIN(MAX(G440,0),MAX(D440-I440,0))</x:f>
        <x:v>4</x:v>
      </x:c>
      <x:c r="U440" s="44" t="n">
        <x:f>T440*E440</x:f>
        <x:v>6000</x:v>
      </x:c>
      <x:c r="V440" s="38" t="n">
        <x:v>0</x:v>
      </x:c>
      <x:c r="W440" s="32" t="n">
        <x:v>0</x:v>
      </x:c>
      <x:c r="X440" s="50"/>
      <x:c r="Y440" s="44" t="n">
        <x:v>2500</x:v>
      </x:c>
      <x:c r="Z440" s="44" t="n">
        <x:f>IF(I440&gt;0,R440*(J440/I440),0)</x:f>
        <x:v>0</x:v>
      </x:c>
      <x:c r="AA440" s="44" t="n">
        <x:f>Z440-(R440*E440)</x:f>
        <x:v>0</x:v>
      </x:c>
      <x:c r="AB440" s="47" t="n">
        <x:f>IFERROR(AA440/Z440,0)</x:f>
        <x:v>0</x:v>
      </x:c>
      <x:c r="AC440" s="32" t="str">
        <x:f>IF(S440=0,"0%",IF(S440&lt;0.5,"1-49%",IF(S440&lt;0.8,"50-79%",IF(S440&lt;1,"80-99%","100%"))))</x:f>
        <x:v>0%</x:v>
      </x:c>
      <x:c r="AD440" s="33" t="str">
        <x:f>IF(G440&lt;0,"Stock negativo",IF(G440&lt;=0,"Sin stock actual",IF(I440&lt;=0,"Sin ventas desde compra",IF(Q440&lt;=0,"Con stock, sin ventas 365d",IF(S440&lt;0.5,"Rotación baja",IF(S440&lt;1,"Rotación media","Compra absorbida; stock repuesto"))))))</x:f>
        <x:v>Sin ventas desde compra</x:v>
      </x:c>
    </x:row>
    <x:row r="441">
      <x:c r="A441" s="31" t="str">
        <x:v>MOTS1193</x:v>
      </x:c>
      <x:c r="B441" s="53" t="str">
        <x:v>SOKE MUELA RUA</x:v>
      </x:c>
      <x:c r="C441" s="32" t="n">
        <x:v>1</x:v>
      </x:c>
      <x:c r="D441" s="38" t="n">
        <x:v>3</x:v>
      </x:c>
      <x:c r="E441" s="44" t="n">
        <x:v>2000</x:v>
      </x:c>
      <x:c r="F441" s="44" t="n">
        <x:v>6000</x:v>
      </x:c>
      <x:c r="G441" s="41" t="n">
        <x:v>0</x:v>
      </x:c>
      <x:c r="H441" s="44" t="n">
        <x:f>MAX(G441,0)*E441</x:f>
        <x:v>0</x:v>
      </x:c>
      <x:c r="I441" s="38" t="n">
        <x:v>3</x:v>
      </x:c>
      <x:c r="J441" s="44" t="n">
        <x:v>10500</x:v>
      </x:c>
      <x:c r="K441" s="32" t="n">
        <x:v>3</x:v>
      </x:c>
      <x:c r="L441" s="50" t="n">
        <x:v>45511.67832175926</x:v>
      </x:c>
      <x:c r="M441" s="50" t="n">
        <x:v>45527.71708333334</x:v>
      </x:c>
      <x:c r="N441" s="32" t="n">
        <x:f>IF(M441="","",MAX(0,'Resumen'!$B$3-M441))</x:f>
        <x:v>739.2829166666634</x:v>
      </x:c>
      <x:c r="O441" s="38" t="n">
        <x:v>0</x:v>
      </x:c>
      <x:c r="P441" s="38" t="n">
        <x:v>0</x:v>
      </x:c>
      <x:c r="Q441" s="38" t="n">
        <x:v>0</x:v>
      </x:c>
      <x:c r="R441" s="38" t="n">
        <x:f>MIN(D441,I441)</x:f>
        <x:v>3</x:v>
      </x:c>
      <x:c r="S441" s="47" t="n">
        <x:f>IFERROR(R441/D441,0)</x:f>
        <x:v>1</x:v>
      </x:c>
      <x:c r="T441" s="38" t="n">
        <x:f>MIN(MAX(G441,0),MAX(D441-I441,0))</x:f>
        <x:v>0</x:v>
      </x:c>
      <x:c r="U441" s="44" t="n">
        <x:f>T441*E441</x:f>
        <x:v>0</x:v>
      </x:c>
      <x:c r="V441" s="38" t="n">
        <x:v>0</x:v>
      </x:c>
      <x:c r="W441" s="32" t="n">
        <x:v>0</x:v>
      </x:c>
      <x:c r="X441" s="50"/>
      <x:c r="Y441" s="44" t="n">
        <x:v>3500</x:v>
      </x:c>
      <x:c r="Z441" s="44" t="n">
        <x:f>IF(I441&gt;0,R441*(J441/I441),0)</x:f>
        <x:v>10500</x:v>
      </x:c>
      <x:c r="AA441" s="44" t="n">
        <x:f>Z441-(R441*E441)</x:f>
        <x:v>4500</x:v>
      </x:c>
      <x:c r="AB441" s="47" t="n">
        <x:f>IFERROR(AA441/Z441,0)</x:f>
        <x:v>0.42857142857142855</x:v>
      </x:c>
      <x:c r="AC441" s="32" t="str">
        <x:f>IF(S441=0,"0%",IF(S441&lt;0.5,"1-49%",IF(S441&lt;0.8,"50-79%",IF(S441&lt;1,"80-99%","100%"))))</x:f>
        <x:v>100%</x:v>
      </x:c>
      <x:c r="AD441" s="33" t="str">
        <x:f>IF(G441&lt;0,"Stock negativo",IF(G441&lt;=0,"Sin stock actual",IF(I441&lt;=0,"Sin ventas desde compra",IF(Q441&lt;=0,"Con stock, sin ventas 365d",IF(S441&lt;0.5,"Rotación baja",IF(S441&lt;1,"Rotación media","Compra absorbida; stock repuesto"))))))</x:f>
        <x:v>Sin stock actual</x:v>
      </x:c>
    </x:row>
    <x:row r="442">
      <x:c r="A442" s="31" t="str">
        <x:v>MOTS1196</x:v>
      </x:c>
      <x:c r="B442" s="53" t="str">
        <x:v>SOKE FAROLA</x:v>
      </x:c>
      <x:c r="C442" s="32" t="n">
        <x:v>1</x:v>
      </x:c>
      <x:c r="D442" s="38" t="n">
        <x:v>2</x:v>
      </x:c>
      <x:c r="E442" s="44" t="n">
        <x:v>3000</x:v>
      </x:c>
      <x:c r="F442" s="44" t="n">
        <x:v>6000</x:v>
      </x:c>
      <x:c r="G442" s="41" t="n">
        <x:v>0</x:v>
      </x:c>
      <x:c r="H442" s="44" t="n">
        <x:f>MAX(G442,0)*E442</x:f>
        <x:v>0</x:v>
      </x:c>
      <x:c r="I442" s="38" t="n">
        <x:v>2</x:v>
      </x:c>
      <x:c r="J442" s="44" t="n">
        <x:v>10000</x:v>
      </x:c>
      <x:c r="K442" s="32" t="n">
        <x:v>2</x:v>
      </x:c>
      <x:c r="L442" s="50" t="n">
        <x:v>45632.96109953704</x:v>
      </x:c>
      <x:c r="M442" s="50" t="n">
        <x:v>45729.828877314816</x:v>
      </x:c>
      <x:c r="N442" s="32" t="n">
        <x:f>IF(M442="","",MAX(0,'Resumen'!$B$3-M442))</x:f>
        <x:v>537.171122685184</x:v>
      </x:c>
      <x:c r="O442" s="38" t="n">
        <x:v>0</x:v>
      </x:c>
      <x:c r="P442" s="38" t="n">
        <x:v>0</x:v>
      </x:c>
      <x:c r="Q442" s="38" t="n">
        <x:v>0</x:v>
      </x:c>
      <x:c r="R442" s="38" t="n">
        <x:f>MIN(D442,I442)</x:f>
        <x:v>2</x:v>
      </x:c>
      <x:c r="S442" s="47" t="n">
        <x:f>IFERROR(R442/D442,0)</x:f>
        <x:v>1</x:v>
      </x:c>
      <x:c r="T442" s="38" t="n">
        <x:f>MIN(MAX(G442,0),MAX(D442-I442,0))</x:f>
        <x:v>0</x:v>
      </x:c>
      <x:c r="U442" s="44" t="n">
        <x:f>T442*E442</x:f>
        <x:v>0</x:v>
      </x:c>
      <x:c r="V442" s="38" t="n">
        <x:v>0</x:v>
      </x:c>
      <x:c r="W442" s="32" t="n">
        <x:v>0</x:v>
      </x:c>
      <x:c r="X442" s="50"/>
      <x:c r="Y442" s="44" t="n">
        <x:v>5000</x:v>
      </x:c>
      <x:c r="Z442" s="44" t="n">
        <x:f>IF(I442&gt;0,R442*(J442/I442),0)</x:f>
        <x:v>10000</x:v>
      </x:c>
      <x:c r="AA442" s="44" t="n">
        <x:f>Z442-(R442*E442)</x:f>
        <x:v>4000</x:v>
      </x:c>
      <x:c r="AB442" s="47" t="n">
        <x:f>IFERROR(AA442/Z442,0)</x:f>
        <x:v>0.4</x:v>
      </x:c>
      <x:c r="AC442" s="32" t="str">
        <x:f>IF(S442=0,"0%",IF(S442&lt;0.5,"1-49%",IF(S442&lt;0.8,"50-79%",IF(S442&lt;1,"80-99%","100%"))))</x:f>
        <x:v>100%</x:v>
      </x:c>
      <x:c r="AD442" s="33" t="str">
        <x:f>IF(G442&lt;0,"Stock negativo",IF(G442&lt;=0,"Sin stock actual",IF(I442&lt;=0,"Sin ventas desde compra",IF(Q442&lt;=0,"Con stock, sin ventas 365d",IF(S442&lt;0.5,"Rotación baja",IF(S442&lt;1,"Rotación media","Compra absorbida; stock repuesto"))))))</x:f>
        <x:v>Sin stock actual</x:v>
      </x:c>
    </x:row>
    <x:row r="443">
      <x:c r="A443" s="31" t="str">
        <x:v>MOTS1267</x:v>
      </x:c>
      <x:c r="B443" s="53" t="str">
        <x:v>GUAYA ACELERADOR CBF 125 GUALITY</x:v>
      </x:c>
      <x:c r="C443" s="32" t="n">
        <x:v>1</x:v>
      </x:c>
      <x:c r="D443" s="38" t="n">
        <x:v>1</x:v>
      </x:c>
      <x:c r="E443" s="44" t="n">
        <x:v>6000</x:v>
      </x:c>
      <x:c r="F443" s="44" t="n">
        <x:v>6000</x:v>
      </x:c>
      <x:c r="G443" s="41" t="n">
        <x:v>1</x:v>
      </x:c>
      <x:c r="H443" s="44" t="n">
        <x:f>MAX(G443,0)*E443</x:f>
        <x:v>6000</x:v>
      </x:c>
      <x:c r="I443" s="38" t="n">
        <x:v>0</x:v>
      </x:c>
      <x:c r="J443" s="44" t="n">
        <x:v>0</x:v>
      </x:c>
      <x:c r="K443" s="32" t="n">
        <x:v>0</x:v>
      </x:c>
      <x:c r="L443" s="50"/>
      <x:c r="M443" s="50"/>
      <x:c r="N443" s="32" t="str">
        <x:f>IF(M443="","",MAX(0,'Resumen'!$B$3-M443))</x:f>
      </x:c>
      <x:c r="O443" s="38" t="n">
        <x:v>0</x:v>
      </x:c>
      <x:c r="P443" s="38" t="n">
        <x:v>0</x:v>
      </x:c>
      <x:c r="Q443" s="38" t="n">
        <x:v>0</x:v>
      </x:c>
      <x:c r="R443" s="38" t="n">
        <x:f>MIN(D443,I443)</x:f>
        <x:v>0</x:v>
      </x:c>
      <x:c r="S443" s="47" t="n">
        <x:f>IFERROR(R443/D443,0)</x:f>
        <x:v>0</x:v>
      </x:c>
      <x:c r="T443" s="38" t="n">
        <x:f>MIN(MAX(G443,0),MAX(D443-I443,0))</x:f>
        <x:v>1</x:v>
      </x:c>
      <x:c r="U443" s="44" t="n">
        <x:f>T443*E443</x:f>
        <x:v>6000</x:v>
      </x:c>
      <x:c r="V443" s="38" t="n">
        <x:v>0</x:v>
      </x:c>
      <x:c r="W443" s="32" t="n">
        <x:v>0</x:v>
      </x:c>
      <x:c r="X443" s="50"/>
      <x:c r="Y443" s="44" t="n">
        <x:v>10000</x:v>
      </x:c>
      <x:c r="Z443" s="44" t="n">
        <x:f>IF(I443&gt;0,R443*(J443/I443),0)</x:f>
        <x:v>0</x:v>
      </x:c>
      <x:c r="AA443" s="44" t="n">
        <x:f>Z443-(R443*E443)</x:f>
        <x:v>0</x:v>
      </x:c>
      <x:c r="AB443" s="47" t="n">
        <x:f>IFERROR(AA443/Z443,0)</x:f>
        <x:v>0</x:v>
      </x:c>
      <x:c r="AC443" s="32" t="str">
        <x:f>IF(S443=0,"0%",IF(S443&lt;0.5,"1-49%",IF(S443&lt;0.8,"50-79%",IF(S443&lt;1,"80-99%","100%"))))</x:f>
        <x:v>0%</x:v>
      </x:c>
      <x:c r="AD443" s="33" t="str">
        <x:f>IF(G443&lt;0,"Stock negativo",IF(G443&lt;=0,"Sin stock actual",IF(I443&lt;=0,"Sin ventas desde compra",IF(Q443&lt;=0,"Con stock, sin ventas 365d",IF(S443&lt;0.5,"Rotación baja",IF(S443&lt;1,"Rotación media","Compra absorbida; stock repuesto"))))))</x:f>
        <x:v>Sin ventas desde compra</x:v>
      </x:c>
    </x:row>
    <x:row r="444">
      <x:c r="A444" s="31" t="str">
        <x:v>MOTS1277</x:v>
      </x:c>
      <x:c r="B444" s="53" t="str">
        <x:v>GUAYA CLUCTH CB 110 SYK</x:v>
      </x:c>
      <x:c r="C444" s="32" t="n">
        <x:v>1</x:v>
      </x:c>
      <x:c r="D444" s="38" t="n">
        <x:v>2</x:v>
      </x:c>
      <x:c r="E444" s="44" t="n">
        <x:v>3000</x:v>
      </x:c>
      <x:c r="F444" s="44" t="n">
        <x:v>6000</x:v>
      </x:c>
      <x:c r="G444" s="41" t="n">
        <x:v>2</x:v>
      </x:c>
      <x:c r="H444" s="44" t="n">
        <x:f>MAX(G444,0)*E444</x:f>
        <x:v>6000</x:v>
      </x:c>
      <x:c r="I444" s="38" t="n">
        <x:v>0</x:v>
      </x:c>
      <x:c r="J444" s="44" t="n">
        <x:v>0</x:v>
      </x:c>
      <x:c r="K444" s="32" t="n">
        <x:v>0</x:v>
      </x:c>
      <x:c r="L444" s="50"/>
      <x:c r="M444" s="50"/>
      <x:c r="N444" s="32" t="str">
        <x:f>IF(M444="","",MAX(0,'Resumen'!$B$3-M444))</x:f>
      </x:c>
      <x:c r="O444" s="38" t="n">
        <x:v>0</x:v>
      </x:c>
      <x:c r="P444" s="38" t="n">
        <x:v>0</x:v>
      </x:c>
      <x:c r="Q444" s="38" t="n">
        <x:v>0</x:v>
      </x:c>
      <x:c r="R444" s="38" t="n">
        <x:f>MIN(D444,I444)</x:f>
        <x:v>0</x:v>
      </x:c>
      <x:c r="S444" s="47" t="n">
        <x:f>IFERROR(R444/D444,0)</x:f>
        <x:v>0</x:v>
      </x:c>
      <x:c r="T444" s="38" t="n">
        <x:f>MIN(MAX(G444,0),MAX(D444-I444,0))</x:f>
        <x:v>2</x:v>
      </x:c>
      <x:c r="U444" s="44" t="n">
        <x:f>T444*E444</x:f>
        <x:v>6000</x:v>
      </x:c>
      <x:c r="V444" s="38" t="n">
        <x:v>0</x:v>
      </x:c>
      <x:c r="W444" s="32" t="n">
        <x:v>0</x:v>
      </x:c>
      <x:c r="X444" s="50"/>
      <x:c r="Y444" s="44" t="n">
        <x:v>9500</x:v>
      </x:c>
      <x:c r="Z444" s="44" t="n">
        <x:f>IF(I444&gt;0,R444*(J444/I444),0)</x:f>
        <x:v>0</x:v>
      </x:c>
      <x:c r="AA444" s="44" t="n">
        <x:f>Z444-(R444*E444)</x:f>
        <x:v>0</x:v>
      </x:c>
      <x:c r="AB444" s="47" t="n">
        <x:f>IFERROR(AA444/Z444,0)</x:f>
        <x:v>0</x:v>
      </x:c>
      <x:c r="AC444" s="32" t="str">
        <x:f>IF(S444=0,"0%",IF(S444&lt;0.5,"1-49%",IF(S444&lt;0.8,"50-79%",IF(S444&lt;1,"80-99%","100%"))))</x:f>
        <x:v>0%</x:v>
      </x:c>
      <x:c r="AD444" s="33" t="str">
        <x:f>IF(G444&lt;0,"Stock negativo",IF(G444&lt;=0,"Sin stock actual",IF(I444&lt;=0,"Sin ventas desde compra",IF(Q444&lt;=0,"Con stock, sin ventas 365d",IF(S444&lt;0.5,"Rotación baja",IF(S444&lt;1,"Rotación media","Compra absorbida; stock repuesto"))))))</x:f>
        <x:v>Sin ventas desde compra</x:v>
      </x:c>
    </x:row>
    <x:row r="445">
      <x:c r="A445" s="31" t="str">
        <x:v>MOTS1317</x:v>
      </x:c>
      <x:c r="B445" s="53" t="str">
        <x:v>BOMBILLO TABLERO 12V DUNA</x:v>
      </x:c>
      <x:c r="C445" s="32" t="n">
        <x:v>1</x:v>
      </x:c>
      <x:c r="D445" s="38" t="n">
        <x:v>20</x:v>
      </x:c>
      <x:c r="E445" s="44" t="n">
        <x:v>300</x:v>
      </x:c>
      <x:c r="F445" s="44" t="n">
        <x:v>6000</x:v>
      </x:c>
      <x:c r="G445" s="41" t="n">
        <x:v>3</x:v>
      </x:c>
      <x:c r="H445" s="44" t="n">
        <x:f>MAX(G445,0)*E445</x:f>
        <x:v>900</x:v>
      </x:c>
      <x:c r="I445" s="38" t="n">
        <x:v>17</x:v>
      </x:c>
      <x:c r="J445" s="44" t="n">
        <x:v>9000</x:v>
      </x:c>
      <x:c r="K445" s="32" t="n">
        <x:v>6</x:v>
      </x:c>
      <x:c r="L445" s="50" t="n">
        <x:v>45511.67832175926</x:v>
      </x:c>
      <x:c r="M445" s="50" t="n">
        <x:v>45598.55165509259</x:v>
      </x:c>
      <x:c r="N445" s="32" t="n">
        <x:f>IF(M445="","",MAX(0,'Resumen'!$B$3-M445))</x:f>
        <x:v>668.4483449074105</x:v>
      </x:c>
      <x:c r="O445" s="38" t="n">
        <x:v>0</x:v>
      </x:c>
      <x:c r="P445" s="38" t="n">
        <x:v>0</x:v>
      </x:c>
      <x:c r="Q445" s="38" t="n">
        <x:v>0</x:v>
      </x:c>
      <x:c r="R445" s="38" t="n">
        <x:f>MIN(D445,I445)</x:f>
        <x:v>17</x:v>
      </x:c>
      <x:c r="S445" s="47" t="n">
        <x:f>IFERROR(R445/D445,0)</x:f>
        <x:v>0.85</x:v>
      </x:c>
      <x:c r="T445" s="38" t="n">
        <x:f>MIN(MAX(G445,0),MAX(D445-I445,0))</x:f>
        <x:v>3</x:v>
      </x:c>
      <x:c r="U445" s="44" t="n">
        <x:f>T445*E445</x:f>
        <x:v>900</x:v>
      </x:c>
      <x:c r="V445" s="38" t="n">
        <x:v>0</x:v>
      </x:c>
      <x:c r="W445" s="32" t="n">
        <x:v>0</x:v>
      </x:c>
      <x:c r="X445" s="50"/>
      <x:c r="Y445" s="44" t="n">
        <x:v>500</x:v>
      </x:c>
      <x:c r="Z445" s="44" t="n">
        <x:f>IF(I445&gt;0,R445*(J445/I445),0)</x:f>
        <x:v>9000</x:v>
      </x:c>
      <x:c r="AA445" s="44" t="n">
        <x:f>Z445-(R445*E445)</x:f>
        <x:v>3900</x:v>
      </x:c>
      <x:c r="AB445" s="47" t="n">
        <x:f>IFERROR(AA445/Z445,0)</x:f>
        <x:v>0.43333333333333335</x:v>
      </x:c>
      <x:c r="AC445" s="32" t="str">
        <x:f>IF(S445=0,"0%",IF(S445&lt;0.5,"1-49%",IF(S445&lt;0.8,"50-79%",IF(S445&lt;1,"80-99%","100%"))))</x:f>
        <x:v>80-99%</x:v>
      </x:c>
      <x:c r="AD445" s="33" t="str">
        <x:f>IF(G445&lt;0,"Stock negativo",IF(G445&lt;=0,"Sin stock actual",IF(I445&lt;=0,"Sin ventas desde compra",IF(Q445&lt;=0,"Con stock, sin ventas 365d",IF(S445&lt;0.5,"Rotación baja",IF(S445&lt;1,"Rotación media","Compra absorbida; stock repuesto"))))))</x:f>
        <x:v>Con stock, sin ventas 365d</x:v>
      </x:c>
    </x:row>
    <x:row r="446">
      <x:c r="A446" s="31" t="str">
        <x:v>REP - 091529</x:v>
      </x:c>
      <x:c r="B446" s="53" t="str">
        <x:v>REPOSA PIE TRA CUADRADO CON DEFENSA PAR SYK</x:v>
      </x:c>
      <x:c r="C446" s="32" t="n">
        <x:v>1</x:v>
      </x:c>
      <x:c r="D446" s="38" t="n">
        <x:v>1</x:v>
      </x:c>
      <x:c r="E446" s="44" t="n">
        <x:v>6000</x:v>
      </x:c>
      <x:c r="F446" s="44" t="n">
        <x:v>6000</x:v>
      </x:c>
      <x:c r="G446" s="41" t="n">
        <x:v>0</x:v>
      </x:c>
      <x:c r="H446" s="44" t="n">
        <x:f>MAX(G446,0)*E446</x:f>
        <x:v>0</x:v>
      </x:c>
      <x:c r="I446" s="38" t="n">
        <x:v>1</x:v>
      </x:c>
      <x:c r="J446" s="44" t="n">
        <x:v>10000</x:v>
      </x:c>
      <x:c r="K446" s="32" t="n">
        <x:v>1</x:v>
      </x:c>
      <x:c r="L446" s="50" t="n">
        <x:v>45682.82418981481</x:v>
      </x:c>
      <x:c r="M446" s="50" t="n">
        <x:v>45682.82418981481</x:v>
      </x:c>
      <x:c r="N446" s="32" t="n">
        <x:f>IF(M446="","",MAX(0,'Resumen'!$B$3-M446))</x:f>
        <x:v>584.1758101851883</x:v>
      </x:c>
      <x:c r="O446" s="38" t="n">
        <x:v>0</x:v>
      </x:c>
      <x:c r="P446" s="38" t="n">
        <x:v>0</x:v>
      </x:c>
      <x:c r="Q446" s="38" t="n">
        <x:v>0</x:v>
      </x:c>
      <x:c r="R446" s="38" t="n">
        <x:f>MIN(D446,I446)</x:f>
        <x:v>1</x:v>
      </x:c>
      <x:c r="S446" s="47" t="n">
        <x:f>IFERROR(R446/D446,0)</x:f>
        <x:v>1</x:v>
      </x:c>
      <x:c r="T446" s="38" t="n">
        <x:f>MIN(MAX(G446,0),MAX(D446-I446,0))</x:f>
        <x:v>0</x:v>
      </x:c>
      <x:c r="U446" s="44" t="n">
        <x:f>T446*E446</x:f>
        <x:v>0</x:v>
      </x:c>
      <x:c r="V446" s="38" t="n">
        <x:v>0</x:v>
      </x:c>
      <x:c r="W446" s="32" t="n">
        <x:v>0</x:v>
      </x:c>
      <x:c r="X446" s="50"/>
      <x:c r="Y446" s="44" t="n">
        <x:v>10000</x:v>
      </x:c>
      <x:c r="Z446" s="44" t="n">
        <x:f>IF(I446&gt;0,R446*(J446/I446),0)</x:f>
        <x:v>10000</x:v>
      </x:c>
      <x:c r="AA446" s="44" t="n">
        <x:f>Z446-(R446*E446)</x:f>
        <x:v>4000</x:v>
      </x:c>
      <x:c r="AB446" s="47" t="n">
        <x:f>IFERROR(AA446/Z446,0)</x:f>
        <x:v>0.4</x:v>
      </x:c>
      <x:c r="AC446" s="32" t="str">
        <x:f>IF(S446=0,"0%",IF(S446&lt;0.5,"1-49%",IF(S446&lt;0.8,"50-79%",IF(S446&lt;1,"80-99%","100%"))))</x:f>
        <x:v>100%</x:v>
      </x:c>
      <x:c r="AD446" s="33" t="str">
        <x:f>IF(G446&lt;0,"Stock negativo",IF(G446&lt;=0,"Sin stock actual",IF(I446&lt;=0,"Sin ventas desde compra",IF(Q446&lt;=0,"Con stock, sin ventas 365d",IF(S446&lt;0.5,"Rotación baja",IF(S446&lt;1,"Rotación media","Compra absorbida; stock repuesto"))))))</x:f>
        <x:v>Sin stock actual</x:v>
      </x:c>
    </x:row>
    <x:row r="447">
      <x:c r="A447" s="31" t="str">
        <x:v>TOR - 0971</x:v>
      </x:c>
      <x:c r="B447" s="53" t="str">
        <x:v>TORNILLO BRISTOL 8 X55 TORNIFRENOS</x:v>
      </x:c>
      <x:c r="C447" s="32" t="n">
        <x:v>1</x:v>
      </x:c>
      <x:c r="D447" s="38" t="n">
        <x:v>12</x:v>
      </x:c>
      <x:c r="E447" s="44" t="n">
        <x:v>490</x:v>
      </x:c>
      <x:c r="F447" s="44" t="n">
        <x:v>5880</x:v>
      </x:c>
      <x:c r="G447" s="41" t="n">
        <x:v>7</x:v>
      </x:c>
      <x:c r="H447" s="44" t="n">
        <x:f>MAX(G447,0)*E447</x:f>
        <x:v>3430</x:v>
      </x:c>
      <x:c r="I447" s="38" t="n">
        <x:v>5</x:v>
      </x:c>
      <x:c r="J447" s="44" t="n">
        <x:v>4500</x:v>
      </x:c>
      <x:c r="K447" s="32" t="n">
        <x:v>2</x:v>
      </x:c>
      <x:c r="L447" s="50" t="n">
        <x:v>45572.810648148145</x:v>
      </x:c>
      <x:c r="M447" s="50" t="n">
        <x:v>45815.92949074074</x:v>
      </x:c>
      <x:c r="N447" s="32" t="n">
        <x:f>IF(M447="","",MAX(0,'Resumen'!$B$3-M447))</x:f>
        <x:v>451.0705092592616</x:v>
      </x:c>
      <x:c r="O447" s="38" t="n">
        <x:v>0</x:v>
      </x:c>
      <x:c r="P447" s="38" t="n">
        <x:v>0</x:v>
      </x:c>
      <x:c r="Q447" s="38" t="n">
        <x:v>0</x:v>
      </x:c>
      <x:c r="R447" s="38" t="n">
        <x:f>MIN(D447,I447)</x:f>
        <x:v>5</x:v>
      </x:c>
      <x:c r="S447" s="47" t="n">
        <x:f>IFERROR(R447/D447,0)</x:f>
        <x:v>0.4166666666666667</x:v>
      </x:c>
      <x:c r="T447" s="38" t="n">
        <x:f>MIN(MAX(G447,0),MAX(D447-I447,0))</x:f>
        <x:v>7</x:v>
      </x:c>
      <x:c r="U447" s="44" t="n">
        <x:f>T447*E447</x:f>
        <x:v>3430</x:v>
      </x:c>
      <x:c r="V447" s="38" t="n">
        <x:v>0</x:v>
      </x:c>
      <x:c r="W447" s="32" t="n">
        <x:v>0</x:v>
      </x:c>
      <x:c r="X447" s="50"/>
      <x:c r="Y447" s="44" t="n">
        <x:v>900</x:v>
      </x:c>
      <x:c r="Z447" s="44" t="n">
        <x:f>IF(I447&gt;0,R447*(J447/I447),0)</x:f>
        <x:v>4500</x:v>
      </x:c>
      <x:c r="AA447" s="44" t="n">
        <x:f>Z447-(R447*E447)</x:f>
        <x:v>2050</x:v>
      </x:c>
      <x:c r="AB447" s="47" t="n">
        <x:f>IFERROR(AA447/Z447,0)</x:f>
        <x:v>0.45555555555555555</x:v>
      </x:c>
      <x:c r="AC447" s="32" t="str">
        <x:f>IF(S447=0,"0%",IF(S447&lt;0.5,"1-49%",IF(S447&lt;0.8,"50-79%",IF(S447&lt;1,"80-99%","100%"))))</x:f>
        <x:v>1-49%</x:v>
      </x:c>
      <x:c r="AD447" s="33" t="str">
        <x:f>IF(G447&lt;0,"Stock negativo",IF(G447&lt;=0,"Sin stock actual",IF(I447&lt;=0,"Sin ventas desde compra",IF(Q447&lt;=0,"Con stock, sin ventas 365d",IF(S447&lt;0.5,"Rotación baja",IF(S447&lt;1,"Rotación media","Compra absorbida; stock repuesto"))))))</x:f>
        <x:v>Con stock, sin ventas 365d</x:v>
      </x:c>
    </x:row>
    <x:row r="448">
      <x:c r="A448" s="31" t="str">
        <x:v>2412</x:v>
      </x:c>
      <x:c r="B448" s="53" t="str">
        <x:v>BUJIA BP7ES NGK</x:v>
      </x:c>
      <x:c r="C448" s="32" t="n">
        <x:v>1</x:v>
      </x:c>
      <x:c r="D448" s="38" t="n">
        <x:v>1</x:v>
      </x:c>
      <x:c r="E448" s="44" t="n">
        <x:v>5800</x:v>
      </x:c>
      <x:c r="F448" s="44" t="n">
        <x:v>5800</x:v>
      </x:c>
      <x:c r="G448" s="41" t="n">
        <x:v>0</x:v>
      </x:c>
      <x:c r="H448" s="44" t="n">
        <x:f>MAX(G448,0)*E448</x:f>
        <x:v>0</x:v>
      </x:c>
      <x:c r="I448" s="38" t="n">
        <x:v>1</x:v>
      </x:c>
      <x:c r="J448" s="44" t="n">
        <x:v>10000</x:v>
      </x:c>
      <x:c r="K448" s="32" t="n">
        <x:v>1</x:v>
      </x:c>
      <x:c r="L448" s="50" t="n">
        <x:v>45543.61313657407</x:v>
      </x:c>
      <x:c r="M448" s="50" t="n">
        <x:v>45543.61313657407</x:v>
      </x:c>
      <x:c r="N448" s="32" t="n">
        <x:f>IF(M448="","",MAX(0,'Resumen'!$B$3-M448))</x:f>
        <x:v>723.386863425927</x:v>
      </x:c>
      <x:c r="O448" s="38" t="n">
        <x:v>0</x:v>
      </x:c>
      <x:c r="P448" s="38" t="n">
        <x:v>0</x:v>
      </x:c>
      <x:c r="Q448" s="38" t="n">
        <x:v>0</x:v>
      </x:c>
      <x:c r="R448" s="38" t="n">
        <x:f>MIN(D448,I448)</x:f>
        <x:v>1</x:v>
      </x:c>
      <x:c r="S448" s="47" t="n">
        <x:f>IFERROR(R448/D448,0)</x:f>
        <x:v>1</x:v>
      </x:c>
      <x:c r="T448" s="38" t="n">
        <x:f>MIN(MAX(G448,0),MAX(D448-I448,0))</x:f>
        <x:v>0</x:v>
      </x:c>
      <x:c r="U448" s="44" t="n">
        <x:f>T448*E448</x:f>
        <x:v>0</x:v>
      </x:c>
      <x:c r="V448" s="38" t="n">
        <x:v>0</x:v>
      </x:c>
      <x:c r="W448" s="32" t="n">
        <x:v>0</x:v>
      </x:c>
      <x:c r="X448" s="50"/>
      <x:c r="Y448" s="44" t="n">
        <x:v>10000</x:v>
      </x:c>
      <x:c r="Z448" s="44" t="n">
        <x:f>IF(I448&gt;0,R448*(J448/I448),0)</x:f>
        <x:v>10000</x:v>
      </x:c>
      <x:c r="AA448" s="44" t="n">
        <x:f>Z448-(R448*E448)</x:f>
        <x:v>4200</x:v>
      </x:c>
      <x:c r="AB448" s="47" t="n">
        <x:f>IFERROR(AA448/Z448,0)</x:f>
        <x:v>0.42</x:v>
      </x:c>
      <x:c r="AC448" s="32" t="str">
        <x:f>IF(S448=0,"0%",IF(S448&lt;0.5,"1-49%",IF(S448&lt;0.8,"50-79%",IF(S448&lt;1,"80-99%","100%"))))</x:f>
        <x:v>100%</x:v>
      </x:c>
      <x:c r="AD448" s="33" t="str">
        <x:f>IF(G448&lt;0,"Stock negativo",IF(G448&lt;=0,"Sin stock actual",IF(I448&lt;=0,"Sin ventas desde compra",IF(Q448&lt;=0,"Con stock, sin ventas 365d",IF(S448&lt;0.5,"Rotación baja",IF(S448&lt;1,"Rotación media","Compra absorbida; stock repuesto"))))))</x:f>
        <x:v>Sin stock actual</x:v>
      </x:c>
    </x:row>
    <x:row r="449">
      <x:c r="A449" s="31" t="str">
        <x:v>OR-007</x:v>
      </x:c>
      <x:c r="B449" s="53" t="str">
        <x:v>ORING 5/32</x:v>
      </x:c>
      <x:c r="C449" s="32" t="n">
        <x:v>1</x:v>
      </x:c>
      <x:c r="D449" s="38" t="n">
        <x:v>17</x:v>
      </x:c>
      <x:c r="E449" s="44" t="n">
        <x:v>335</x:v>
      </x:c>
      <x:c r="F449" s="44" t="n">
        <x:v>5695</x:v>
      </x:c>
      <x:c r="G449" s="41" t="n">
        <x:v>16</x:v>
      </x:c>
      <x:c r="H449" s="44" t="n">
        <x:f>MAX(G449,0)*E449</x:f>
        <x:v>5360</x:v>
      </x:c>
      <x:c r="I449" s="38" t="n">
        <x:v>1</x:v>
      </x:c>
      <x:c r="J449" s="44" t="n">
        <x:v>600</x:v>
      </x:c>
      <x:c r="K449" s="32" t="n">
        <x:v>1</x:v>
      </x:c>
      <x:c r="L449" s="50" t="n">
        <x:v>45656.834502314814</x:v>
      </x:c>
      <x:c r="M449" s="50" t="n">
        <x:v>45656.834502314814</x:v>
      </x:c>
      <x:c r="N449" s="32" t="n">
        <x:f>IF(M449="","",MAX(0,'Resumen'!$B$3-M449))</x:f>
        <x:v>610.165497685186</x:v>
      </x:c>
      <x:c r="O449" s="38" t="n">
        <x:v>0</x:v>
      </x:c>
      <x:c r="P449" s="38" t="n">
        <x:v>0</x:v>
      </x:c>
      <x:c r="Q449" s="38" t="n">
        <x:v>0</x:v>
      </x:c>
      <x:c r="R449" s="38" t="n">
        <x:f>MIN(D449,I449)</x:f>
        <x:v>1</x:v>
      </x:c>
      <x:c r="S449" s="47" t="n">
        <x:f>IFERROR(R449/D449,0)</x:f>
        <x:v>0.058823529411764705</x:v>
      </x:c>
      <x:c r="T449" s="38" t="n">
        <x:f>MIN(MAX(G449,0),MAX(D449-I449,0))</x:f>
        <x:v>16</x:v>
      </x:c>
      <x:c r="U449" s="44" t="n">
        <x:f>T449*E449</x:f>
        <x:v>5360</x:v>
      </x:c>
      <x:c r="V449" s="38" t="n">
        <x:v>0</x:v>
      </x:c>
      <x:c r="W449" s="32" t="n">
        <x:v>0</x:v>
      </x:c>
      <x:c r="X449" s="50"/>
      <x:c r="Y449" s="44" t="n">
        <x:v>600</x:v>
      </x:c>
      <x:c r="Z449" s="44" t="n">
        <x:f>IF(I449&gt;0,R449*(J449/I449),0)</x:f>
        <x:v>600</x:v>
      </x:c>
      <x:c r="AA449" s="44" t="n">
        <x:f>Z449-(R449*E449)</x:f>
        <x:v>265</x:v>
      </x:c>
      <x:c r="AB449" s="47" t="n">
        <x:f>IFERROR(AA449/Z449,0)</x:f>
        <x:v>0.44166666666666665</x:v>
      </x:c>
      <x:c r="AC449" s="32" t="str">
        <x:f>IF(S449=0,"0%",IF(S449&lt;0.5,"1-49%",IF(S449&lt;0.8,"50-79%",IF(S449&lt;1,"80-99%","100%"))))</x:f>
        <x:v>1-49%</x:v>
      </x:c>
      <x:c r="AD449" s="33" t="str">
        <x:f>IF(G449&lt;0,"Stock negativo",IF(G449&lt;=0,"Sin stock actual",IF(I449&lt;=0,"Sin ventas desde compra",IF(Q449&lt;=0,"Con stock, sin ventas 365d",IF(S449&lt;0.5,"Rotación baja",IF(S449&lt;1,"Rotación media","Compra absorbida; stock repuesto"))))))</x:f>
        <x:v>Con stock, sin ventas 365d</x:v>
      </x:c>
    </x:row>
    <x:row r="450">
      <x:c r="A450" s="31" t="str">
        <x:v>GUA - 006</x:v>
      </x:c>
      <x:c r="B450" s="53" t="str">
        <x:v>CABLE GUAYA TRENZADO ACELERADOR</x:v>
      </x:c>
      <x:c r="C450" s="32" t="n">
        <x:v>1</x:v>
      </x:c>
      <x:c r="D450" s="38" t="n">
        <x:v>8</x:v>
      </x:c>
      <x:c r="E450" s="44" t="n">
        <x:v>700</x:v>
      </x:c>
      <x:c r="F450" s="44" t="n">
        <x:v>5600</x:v>
      </x:c>
      <x:c r="G450" s="41" t="n">
        <x:v>1</x:v>
      </x:c>
      <x:c r="H450" s="44" t="n">
        <x:f>MAX(G450,0)*E450</x:f>
        <x:v>700</x:v>
      </x:c>
      <x:c r="I450" s="38" t="n">
        <x:v>7</x:v>
      </x:c>
      <x:c r="J450" s="44" t="n">
        <x:v>10500</x:v>
      </x:c>
      <x:c r="K450" s="32" t="n">
        <x:v>7</x:v>
      </x:c>
      <x:c r="L450" s="50" t="n">
        <x:v>45518.81033564815</x:v>
      </x:c>
      <x:c r="M450" s="50" t="n">
        <x:v>45646.82246527778</x:v>
      </x:c>
      <x:c r="N450" s="32" t="n">
        <x:f>IF(M450="","",MAX(0,'Resumen'!$B$3-M450))</x:f>
        <x:v>620.177534722221</x:v>
      </x:c>
      <x:c r="O450" s="38" t="n">
        <x:v>0</x:v>
      </x:c>
      <x:c r="P450" s="38" t="n">
        <x:v>0</x:v>
      </x:c>
      <x:c r="Q450" s="38" t="n">
        <x:v>0</x:v>
      </x:c>
      <x:c r="R450" s="38" t="n">
        <x:f>MIN(D450,I450)</x:f>
        <x:v>7</x:v>
      </x:c>
      <x:c r="S450" s="47" t="n">
        <x:f>IFERROR(R450/D450,0)</x:f>
        <x:v>0.875</x:v>
      </x:c>
      <x:c r="T450" s="38" t="n">
        <x:f>MIN(MAX(G450,0),MAX(D450-I450,0))</x:f>
        <x:v>1</x:v>
      </x:c>
      <x:c r="U450" s="44" t="n">
        <x:f>T450*E450</x:f>
        <x:v>700</x:v>
      </x:c>
      <x:c r="V450" s="38" t="n">
        <x:v>0</x:v>
      </x:c>
      <x:c r="W450" s="32" t="n">
        <x:v>0</x:v>
      </x:c>
      <x:c r="X450" s="50"/>
      <x:c r="Y450" s="44" t="n">
        <x:v>1500</x:v>
      </x:c>
      <x:c r="Z450" s="44" t="n">
        <x:f>IF(I450&gt;0,R450*(J450/I450),0)</x:f>
        <x:v>10500</x:v>
      </x:c>
      <x:c r="AA450" s="44" t="n">
        <x:f>Z450-(R450*E450)</x:f>
        <x:v>5600</x:v>
      </x:c>
      <x:c r="AB450" s="47" t="n">
        <x:f>IFERROR(AA450/Z450,0)</x:f>
        <x:v>0.5333333333333333</x:v>
      </x:c>
      <x:c r="AC450" s="32" t="str">
        <x:f>IF(S450=0,"0%",IF(S450&lt;0.5,"1-49%",IF(S450&lt;0.8,"50-79%",IF(S450&lt;1,"80-99%","100%"))))</x:f>
        <x:v>80-99%</x:v>
      </x:c>
      <x:c r="AD450" s="33" t="str">
        <x:f>IF(G450&lt;0,"Stock negativo",IF(G450&lt;=0,"Sin stock actual",IF(I450&lt;=0,"Sin ventas desde compra",IF(Q450&lt;=0,"Con stock, sin ventas 365d",IF(S450&lt;0.5,"Rotación baja",IF(S450&lt;1,"Rotación media","Compra absorbida; stock repuesto"))))))</x:f>
        <x:v>Con stock, sin ventas 365d</x:v>
      </x:c>
    </x:row>
    <x:row r="451">
      <x:c r="A451" s="31" t="str">
        <x:v>PRO-087</x:v>
      </x:c>
      <x:c r="B451" s="53" t="str">
        <x:v>PROTECTOR DE CALZADO AZUL</x:v>
      </x:c>
      <x:c r="C451" s="32" t="n">
        <x:v>1</x:v>
      </x:c>
      <x:c r="D451" s="38" t="n">
        <x:v>4</x:v>
      </x:c>
      <x:c r="E451" s="44" t="n">
        <x:v>1400</x:v>
      </x:c>
      <x:c r="F451" s="44" t="n">
        <x:v>5600</x:v>
      </x:c>
      <x:c r="G451" s="41" t="n">
        <x:v>1</x:v>
      </x:c>
      <x:c r="H451" s="44" t="n">
        <x:f>MAX(G451,0)*E451</x:f>
        <x:v>1400</x:v>
      </x:c>
      <x:c r="I451" s="38" t="n">
        <x:v>3</x:v>
      </x:c>
      <x:c r="J451" s="44" t="n">
        <x:v>7000</x:v>
      </x:c>
      <x:c r="K451" s="32" t="n">
        <x:v>3</x:v>
      </x:c>
      <x:c r="L451" s="50" t="n">
        <x:v>45500.90010416666</x:v>
      </x:c>
      <x:c r="M451" s="50" t="n">
        <x:v>46083.72491898148</x:v>
      </x:c>
      <x:c r="N451" s="32" t="n">
        <x:f>IF(M451="","",MAX(0,'Resumen'!$B$3-M451))</x:f>
        <x:v>183.27508101851708</x:v>
      </x:c>
      <x:c r="O451" s="38" t="n">
        <x:v>0</x:v>
      </x:c>
      <x:c r="P451" s="38" t="n">
        <x:v>0</x:v>
      </x:c>
      <x:c r="Q451" s="38" t="n">
        <x:v>1</x:v>
      </x:c>
      <x:c r="R451" s="38" t="n">
        <x:f>MIN(D451,I451)</x:f>
        <x:v>3</x:v>
      </x:c>
      <x:c r="S451" s="47" t="n">
        <x:f>IFERROR(R451/D451,0)</x:f>
        <x:v>0.75</x:v>
      </x:c>
      <x:c r="T451" s="38" t="n">
        <x:f>MIN(MAX(G451,0),MAX(D451-I451,0))</x:f>
        <x:v>1</x:v>
      </x:c>
      <x:c r="U451" s="44" t="n">
        <x:f>T451*E451</x:f>
        <x:v>1400</x:v>
      </x:c>
      <x:c r="V451" s="38" t="n">
        <x:v>0</x:v>
      </x:c>
      <x:c r="W451" s="32" t="n">
        <x:v>0</x:v>
      </x:c>
      <x:c r="X451" s="50"/>
      <x:c r="Y451" s="44" t="n">
        <x:v>2500</x:v>
      </x:c>
      <x:c r="Z451" s="44" t="n">
        <x:f>IF(I451&gt;0,R451*(J451/I451),0)</x:f>
        <x:v>7000</x:v>
      </x:c>
      <x:c r="AA451" s="44" t="n">
        <x:f>Z451-(R451*E451)</x:f>
        <x:v>2800</x:v>
      </x:c>
      <x:c r="AB451" s="47" t="n">
        <x:f>IFERROR(AA451/Z451,0)</x:f>
        <x:v>0.4</x:v>
      </x:c>
      <x:c r="AC451" s="32" t="str">
        <x:f>IF(S451=0,"0%",IF(S451&lt;0.5,"1-49%",IF(S451&lt;0.8,"50-79%",IF(S451&lt;1,"80-99%","100%"))))</x:f>
        <x:v>50-79%</x:v>
      </x:c>
      <x:c r="AD451" s="33" t="str">
        <x:f>IF(G451&lt;0,"Stock negativo",IF(G451&lt;=0,"Sin stock actual",IF(I451&lt;=0,"Sin ventas desde compra",IF(Q451&lt;=0,"Con stock, sin ventas 365d",IF(S451&lt;0.5,"Rotación baja",IF(S451&lt;1,"Rotación media","Compra absorbida; stock repuesto"))))))</x:f>
        <x:v>Rotación media</x:v>
      </x:c>
    </x:row>
    <x:row r="452">
      <x:c r="A452" s="31" t="str">
        <x:v>CHA - 067</x:v>
      </x:c>
      <x:c r="B452" s="53" t="str">
        <x:v>CHAVETA COLOGA</x:v>
      </x:c>
      <x:c r="C452" s="32" t="n">
        <x:v>1</x:v>
      </x:c>
      <x:c r="D452" s="38" t="n">
        <x:v>11</x:v>
      </x:c>
      <x:c r="E452" s="44" t="n">
        <x:v>500</x:v>
      </x:c>
      <x:c r="F452" s="44" t="n">
        <x:v>5500</x:v>
      </x:c>
      <x:c r="G452" s="41" t="n">
        <x:v>-2</x:v>
      </x:c>
      <x:c r="H452" s="44" t="n">
        <x:f>MAX(G452,0)*E452</x:f>
        <x:v>0</x:v>
      </x:c>
      <x:c r="I452" s="38" t="n">
        <x:v>11</x:v>
      </x:c>
      <x:c r="J452" s="44" t="n">
        <x:v>9900</x:v>
      </x:c>
      <x:c r="K452" s="32" t="n">
        <x:v>6</x:v>
      </x:c>
      <x:c r="L452" s="50" t="n">
        <x:v>45513.67387731482</x:v>
      </x:c>
      <x:c r="M452" s="50" t="n">
        <x:v>45560.54701388889</x:v>
      </x:c>
      <x:c r="N452" s="32" t="n">
        <x:f>IF(M452="","",MAX(0,'Resumen'!$B$3-M452))</x:f>
        <x:v>706.4529861111077</x:v>
      </x:c>
      <x:c r="O452" s="38" t="n">
        <x:v>0</x:v>
      </x:c>
      <x:c r="P452" s="38" t="n">
        <x:v>0</x:v>
      </x:c>
      <x:c r="Q452" s="38" t="n">
        <x:v>0</x:v>
      </x:c>
      <x:c r="R452" s="38" t="n">
        <x:f>MIN(D452,I452)</x:f>
        <x:v>11</x:v>
      </x:c>
      <x:c r="S452" s="47" t="n">
        <x:f>IFERROR(R452/D452,0)</x:f>
        <x:v>1</x:v>
      </x:c>
      <x:c r="T452" s="38" t="n">
        <x:f>MIN(MAX(G452,0),MAX(D452-I452,0))</x:f>
        <x:v>0</x:v>
      </x:c>
      <x:c r="U452" s="44" t="n">
        <x:f>T452*E452</x:f>
        <x:v>0</x:v>
      </x:c>
      <x:c r="V452" s="38" t="n">
        <x:v>0</x:v>
      </x:c>
      <x:c r="W452" s="32" t="n">
        <x:v>0</x:v>
      </x:c>
      <x:c r="X452" s="50"/>
      <x:c r="Y452" s="44" t="n">
        <x:v>900</x:v>
      </x:c>
      <x:c r="Z452" s="44" t="n">
        <x:f>IF(I452&gt;0,R452*(J452/I452),0)</x:f>
        <x:v>9900</x:v>
      </x:c>
      <x:c r="AA452" s="44" t="n">
        <x:f>Z452-(R452*E452)</x:f>
        <x:v>4400</x:v>
      </x:c>
      <x:c r="AB452" s="47" t="n">
        <x:f>IFERROR(AA452/Z452,0)</x:f>
        <x:v>0.4444444444444444</x:v>
      </x:c>
      <x:c r="AC452" s="32" t="str">
        <x:f>IF(S452=0,"0%",IF(S452&lt;0.5,"1-49%",IF(S452&lt;0.8,"50-79%",IF(S452&lt;1,"80-99%","100%"))))</x:f>
        <x:v>100%</x:v>
      </x:c>
      <x:c r="AD452" s="33" t="str">
        <x:f>IF(G452&lt;0,"Stock negativo",IF(G452&lt;=0,"Sin stock actual",IF(I452&lt;=0,"Sin ventas desde compra",IF(Q452&lt;=0,"Con stock, sin ventas 365d",IF(S452&lt;0.5,"Rotación baja",IF(S452&lt;1,"Rotación media","Compra absorbida; stock repuesto"))))))</x:f>
        <x:v>Stock negativo</x:v>
      </x:c>
    </x:row>
    <x:row r="453">
      <x:c r="A453" s="31" t="str">
        <x:v>FIL - 001036</x:v>
      </x:c>
      <x:c r="B453" s="53" t="str">
        <x:v>FILTRO AIRE ECO XTZ 125 GRAYONES FILTROS</x:v>
      </x:c>
      <x:c r="C453" s="32" t="n">
        <x:v>1</x:v>
      </x:c>
      <x:c r="D453" s="38" t="n">
        <x:v>1</x:v>
      </x:c>
      <x:c r="E453" s="44" t="n">
        <x:v>5500</x:v>
      </x:c>
      <x:c r="F453" s="44" t="n">
        <x:v>5500</x:v>
      </x:c>
      <x:c r="G453" s="41" t="n">
        <x:v>0</x:v>
      </x:c>
      <x:c r="H453" s="44" t="n">
        <x:f>MAX(G453,0)*E453</x:f>
        <x:v>0</x:v>
      </x:c>
      <x:c r="I453" s="38" t="n">
        <x:v>1</x:v>
      </x:c>
      <x:c r="J453" s="44" t="n">
        <x:v>9500</x:v>
      </x:c>
      <x:c r="K453" s="32" t="n">
        <x:v>1</x:v>
      </x:c>
      <x:c r="L453" s="50" t="n">
        <x:v>45820.61817129629</x:v>
      </x:c>
      <x:c r="M453" s="50" t="n">
        <x:v>45820.61817129629</x:v>
      </x:c>
      <x:c r="N453" s="32" t="n">
        <x:f>IF(M453="","",MAX(0,'Resumen'!$B$3-M453))</x:f>
        <x:v>446.38182870370656</x:v>
      </x:c>
      <x:c r="O453" s="38" t="n">
        <x:v>0</x:v>
      </x:c>
      <x:c r="P453" s="38" t="n">
        <x:v>0</x:v>
      </x:c>
      <x:c r="Q453" s="38" t="n">
        <x:v>0</x:v>
      </x:c>
      <x:c r="R453" s="38" t="n">
        <x:f>MIN(D453,I453)</x:f>
        <x:v>1</x:v>
      </x:c>
      <x:c r="S453" s="47" t="n">
        <x:f>IFERROR(R453/D453,0)</x:f>
        <x:v>1</x:v>
      </x:c>
      <x:c r="T453" s="38" t="n">
        <x:f>MIN(MAX(G453,0),MAX(D453-I453,0))</x:f>
        <x:v>0</x:v>
      </x:c>
      <x:c r="U453" s="44" t="n">
        <x:f>T453*E453</x:f>
        <x:v>0</x:v>
      </x:c>
      <x:c r="V453" s="38" t="n">
        <x:v>0</x:v>
      </x:c>
      <x:c r="W453" s="32" t="n">
        <x:v>0</x:v>
      </x:c>
      <x:c r="X453" s="50"/>
      <x:c r="Y453" s="44" t="n">
        <x:v>9500</x:v>
      </x:c>
      <x:c r="Z453" s="44" t="n">
        <x:f>IF(I453&gt;0,R453*(J453/I453),0)</x:f>
        <x:v>9500</x:v>
      </x:c>
      <x:c r="AA453" s="44" t="n">
        <x:f>Z453-(R453*E453)</x:f>
        <x:v>4000</x:v>
      </x:c>
      <x:c r="AB453" s="47" t="n">
        <x:f>IFERROR(AA453/Z453,0)</x:f>
        <x:v>0.42105263157894735</x:v>
      </x:c>
      <x:c r="AC453" s="32" t="str">
        <x:f>IF(S453=0,"0%",IF(S453&lt;0.5,"1-49%",IF(S453&lt;0.8,"50-79%",IF(S453&lt;1,"80-99%","100%"))))</x:f>
        <x:v>100%</x:v>
      </x:c>
      <x:c r="AD453" s="33" t="str">
        <x:f>IF(G453&lt;0,"Stock negativo",IF(G453&lt;=0,"Sin stock actual",IF(I453&lt;=0,"Sin ventas desde compra",IF(Q453&lt;=0,"Con stock, sin ventas 365d",IF(S453&lt;0.5,"Rotación baja",IF(S453&lt;1,"Rotación media","Compra absorbida; stock repuesto"))))))</x:f>
        <x:v>Sin stock actual</x:v>
      </x:c>
    </x:row>
    <x:row r="454">
      <x:c r="A454" s="31" t="str">
        <x:v>MOTS1143</x:v>
      </x:c>
      <x:c r="B454" s="53" t="str">
        <x:v>ESPUMA DEFENSA UNIA</x:v>
      </x:c>
      <x:c r="C454" s="32" t="n">
        <x:v>1</x:v>
      </x:c>
      <x:c r="D454" s="38" t="n">
        <x:v>1</x:v>
      </x:c>
      <x:c r="E454" s="44" t="n">
        <x:v>5500</x:v>
      </x:c>
      <x:c r="F454" s="44" t="n">
        <x:v>5500</x:v>
      </x:c>
      <x:c r="G454" s="41" t="n">
        <x:v>0</x:v>
      </x:c>
      <x:c r="H454" s="44" t="n">
        <x:f>MAX(G454,0)*E454</x:f>
        <x:v>0</x:v>
      </x:c>
      <x:c r="I454" s="38" t="n">
        <x:v>1</x:v>
      </x:c>
      <x:c r="J454" s="44" t="n">
        <x:v>9500</x:v>
      </x:c>
      <x:c r="K454" s="32" t="n">
        <x:v>1</x:v>
      </x:c>
      <x:c r="L454" s="50" t="n">
        <x:v>45554.7775</x:v>
      </x:c>
      <x:c r="M454" s="50" t="n">
        <x:v>45554.7775</x:v>
      </x:c>
      <x:c r="N454" s="32" t="n">
        <x:f>IF(M454="","",MAX(0,'Resumen'!$B$3-M454))</x:f>
        <x:v>712.2225000000035</x:v>
      </x:c>
      <x:c r="O454" s="38" t="n">
        <x:v>0</x:v>
      </x:c>
      <x:c r="P454" s="38" t="n">
        <x:v>0</x:v>
      </x:c>
      <x:c r="Q454" s="38" t="n">
        <x:v>0</x:v>
      </x:c>
      <x:c r="R454" s="38" t="n">
        <x:f>MIN(D454,I454)</x:f>
        <x:v>1</x:v>
      </x:c>
      <x:c r="S454" s="47" t="n">
        <x:f>IFERROR(R454/D454,0)</x:f>
        <x:v>1</x:v>
      </x:c>
      <x:c r="T454" s="38" t="n">
        <x:f>MIN(MAX(G454,0),MAX(D454-I454,0))</x:f>
        <x:v>0</x:v>
      </x:c>
      <x:c r="U454" s="44" t="n">
        <x:f>T454*E454</x:f>
        <x:v>0</x:v>
      </x:c>
      <x:c r="V454" s="38" t="n">
        <x:v>0</x:v>
      </x:c>
      <x:c r="W454" s="32" t="n">
        <x:v>0</x:v>
      </x:c>
      <x:c r="X454" s="50"/>
      <x:c r="Y454" s="44" t="n">
        <x:v>9500</x:v>
      </x:c>
      <x:c r="Z454" s="44" t="n">
        <x:f>IF(I454&gt;0,R454*(J454/I454),0)</x:f>
        <x:v>9500</x:v>
      </x:c>
      <x:c r="AA454" s="44" t="n">
        <x:f>Z454-(R454*E454)</x:f>
        <x:v>4000</x:v>
      </x:c>
      <x:c r="AB454" s="47" t="n">
        <x:f>IFERROR(AA454/Z454,0)</x:f>
        <x:v>0.42105263157894735</x:v>
      </x:c>
      <x:c r="AC454" s="32" t="str">
        <x:f>IF(S454=0,"0%",IF(S454&lt;0.5,"1-49%",IF(S454&lt;0.8,"50-79%",IF(S454&lt;1,"80-99%","100%"))))</x:f>
        <x:v>100%</x:v>
      </x:c>
      <x:c r="AD454" s="33" t="str">
        <x:f>IF(G454&lt;0,"Stock negativo",IF(G454&lt;=0,"Sin stock actual",IF(I454&lt;=0,"Sin ventas desde compra",IF(Q454&lt;=0,"Con stock, sin ventas 365d",IF(S454&lt;0.5,"Rotación baja",IF(S454&lt;1,"Rotación media","Compra absorbida; stock repuesto"))))))</x:f>
        <x:v>Sin stock actual</x:v>
      </x:c>
    </x:row>
    <x:row r="455">
      <x:c r="A455" s="31" t="str">
        <x:v>MOTS1149</x:v>
      </x:c>
      <x:c r="B455" s="53" t="str">
        <x:v>DIRECCIONAL XT2 250 TRANSP UNI</x:v>
      </x:c>
      <x:c r="C455" s="32" t="n">
        <x:v>1</x:v>
      </x:c>
      <x:c r="D455" s="38" t="n">
        <x:v>1</x:v>
      </x:c>
      <x:c r="E455" s="44" t="n">
        <x:v>5500</x:v>
      </x:c>
      <x:c r="F455" s="44" t="n">
        <x:v>5500</x:v>
      </x:c>
      <x:c r="G455" s="41" t="n">
        <x:v>1</x:v>
      </x:c>
      <x:c r="H455" s="44" t="n">
        <x:f>MAX(G455,0)*E455</x:f>
        <x:v>5500</x:v>
      </x:c>
      <x:c r="I455" s="38" t="n">
        <x:v>0</x:v>
      </x:c>
      <x:c r="J455" s="44" t="n">
        <x:v>0</x:v>
      </x:c>
      <x:c r="K455" s="32" t="n">
        <x:v>0</x:v>
      </x:c>
      <x:c r="L455" s="50"/>
      <x:c r="M455" s="50"/>
      <x:c r="N455" s="32" t="str">
        <x:f>IF(M455="","",MAX(0,'Resumen'!$B$3-M455))</x:f>
      </x:c>
      <x:c r="O455" s="38" t="n">
        <x:v>0</x:v>
      </x:c>
      <x:c r="P455" s="38" t="n">
        <x:v>0</x:v>
      </x:c>
      <x:c r="Q455" s="38" t="n">
        <x:v>0</x:v>
      </x:c>
      <x:c r="R455" s="38" t="n">
        <x:f>MIN(D455,I455)</x:f>
        <x:v>0</x:v>
      </x:c>
      <x:c r="S455" s="47" t="n">
        <x:f>IFERROR(R455/D455,0)</x:f>
        <x:v>0</x:v>
      </x:c>
      <x:c r="T455" s="38" t="n">
        <x:f>MIN(MAX(G455,0),MAX(D455-I455,0))</x:f>
        <x:v>1</x:v>
      </x:c>
      <x:c r="U455" s="44" t="n">
        <x:f>T455*E455</x:f>
        <x:v>5500</x:v>
      </x:c>
      <x:c r="V455" s="38" t="n">
        <x:v>0</x:v>
      </x:c>
      <x:c r="W455" s="32" t="n">
        <x:v>0</x:v>
      </x:c>
      <x:c r="X455" s="50"/>
      <x:c r="Y455" s="44" t="n">
        <x:v>9500</x:v>
      </x:c>
      <x:c r="Z455" s="44" t="n">
        <x:f>IF(I455&gt;0,R455*(J455/I455),0)</x:f>
        <x:v>0</x:v>
      </x:c>
      <x:c r="AA455" s="44" t="n">
        <x:f>Z455-(R455*E455)</x:f>
        <x:v>0</x:v>
      </x:c>
      <x:c r="AB455" s="47" t="n">
        <x:f>IFERROR(AA455/Z455,0)</x:f>
        <x:v>0</x:v>
      </x:c>
      <x:c r="AC455" s="32" t="str">
        <x:f>IF(S455=0,"0%",IF(S455&lt;0.5,"1-49%",IF(S455&lt;0.8,"50-79%",IF(S455&lt;1,"80-99%","100%"))))</x:f>
        <x:v>0%</x:v>
      </x:c>
      <x:c r="AD455" s="33" t="str">
        <x:f>IF(G455&lt;0,"Stock negativo",IF(G455&lt;=0,"Sin stock actual",IF(I455&lt;=0,"Sin ventas desde compra",IF(Q455&lt;=0,"Con stock, sin ventas 365d",IF(S455&lt;0.5,"Rotación baja",IF(S455&lt;1,"Rotación media","Compra absorbida; stock repuesto"))))))</x:f>
        <x:v>Sin ventas desde compra</x:v>
      </x:c>
    </x:row>
    <x:row r="456">
      <x:c r="A456" s="31" t="str">
        <x:v>MOTS1184</x:v>
      </x:c>
      <x:c r="B456" s="53" t="str">
        <x:v>ESPEJO BWS ROSCA No. 10 IND RUIYON</x:v>
      </x:c>
      <x:c r="C456" s="32" t="n">
        <x:v>1</x:v>
      </x:c>
      <x:c r="D456" s="38" t="n">
        <x:v>1</x:v>
      </x:c>
      <x:c r="E456" s="44" t="n">
        <x:v>5500</x:v>
      </x:c>
      <x:c r="F456" s="44" t="n">
        <x:v>5500</x:v>
      </x:c>
      <x:c r="G456" s="41" t="n">
        <x:v>0</x:v>
      </x:c>
      <x:c r="H456" s="44" t="n">
        <x:f>MAX(G456,0)*E456</x:f>
        <x:v>0</x:v>
      </x:c>
      <x:c r="I456" s="38" t="n">
        <x:v>1</x:v>
      </x:c>
      <x:c r="J456" s="44" t="n">
        <x:v>9500</x:v>
      </x:c>
      <x:c r="K456" s="32" t="n">
        <x:v>1</x:v>
      </x:c>
      <x:c r="L456" s="50" t="n">
        <x:v>45536.735972222225</x:v>
      </x:c>
      <x:c r="M456" s="50" t="n">
        <x:v>45536.735972222225</x:v>
      </x:c>
      <x:c r="N456" s="32" t="n">
        <x:f>IF(M456="","",MAX(0,'Resumen'!$B$3-M456))</x:f>
        <x:v>730.2640277777755</x:v>
      </x:c>
      <x:c r="O456" s="38" t="n">
        <x:v>0</x:v>
      </x:c>
      <x:c r="P456" s="38" t="n">
        <x:v>0</x:v>
      </x:c>
      <x:c r="Q456" s="38" t="n">
        <x:v>0</x:v>
      </x:c>
      <x:c r="R456" s="38" t="n">
        <x:f>MIN(D456,I456)</x:f>
        <x:v>1</x:v>
      </x:c>
      <x:c r="S456" s="47" t="n">
        <x:f>IFERROR(R456/D456,0)</x:f>
        <x:v>1</x:v>
      </x:c>
      <x:c r="T456" s="38" t="n">
        <x:f>MIN(MAX(G456,0),MAX(D456-I456,0))</x:f>
        <x:v>0</x:v>
      </x:c>
      <x:c r="U456" s="44" t="n">
        <x:f>T456*E456</x:f>
        <x:v>0</x:v>
      </x:c>
      <x:c r="V456" s="38" t="n">
        <x:v>0</x:v>
      </x:c>
      <x:c r="W456" s="32" t="n">
        <x:v>0</x:v>
      </x:c>
      <x:c r="X456" s="50"/>
      <x:c r="Y456" s="44" t="n">
        <x:v>9500</x:v>
      </x:c>
      <x:c r="Z456" s="44" t="n">
        <x:f>IF(I456&gt;0,R456*(J456/I456),0)</x:f>
        <x:v>9500</x:v>
      </x:c>
      <x:c r="AA456" s="44" t="n">
        <x:f>Z456-(R456*E456)</x:f>
        <x:v>4000</x:v>
      </x:c>
      <x:c r="AB456" s="47" t="n">
        <x:f>IFERROR(AA456/Z456,0)</x:f>
        <x:v>0.42105263157894735</x:v>
      </x:c>
      <x:c r="AC456" s="32" t="str">
        <x:f>IF(S456=0,"0%",IF(S456&lt;0.5,"1-49%",IF(S456&lt;0.8,"50-79%",IF(S456&lt;1,"80-99%","100%"))))</x:f>
        <x:v>100%</x:v>
      </x:c>
      <x:c r="AD456" s="33" t="str">
        <x:f>IF(G456&lt;0,"Stock negativo",IF(G456&lt;=0,"Sin stock actual",IF(I456&lt;=0,"Sin ventas desde compra",IF(Q456&lt;=0,"Con stock, sin ventas 365d",IF(S456&lt;0.5,"Rotación baja",IF(S456&lt;1,"Rotación media","Compra absorbida; stock repuesto"))))))</x:f>
        <x:v>Sin stock actual</x:v>
      </x:c>
    </x:row>
    <x:row r="457">
      <x:c r="A457" s="31" t="str">
        <x:v>MOTS1234</x:v>
      </x:c>
      <x:c r="B457" s="53" t="str">
        <x:v>BALINERA 6205 C3 KOYO</x:v>
      </x:c>
      <x:c r="C457" s="32" t="n">
        <x:v>1</x:v>
      </x:c>
      <x:c r="D457" s="38" t="n">
        <x:v>1</x:v>
      </x:c>
      <x:c r="E457" s="44" t="n">
        <x:v>5500</x:v>
      </x:c>
      <x:c r="F457" s="44" t="n">
        <x:v>5500</x:v>
      </x:c>
      <x:c r="G457" s="41" t="n">
        <x:v>0</x:v>
      </x:c>
      <x:c r="H457" s="44" t="n">
        <x:f>MAX(G457,0)*E457</x:f>
        <x:v>0</x:v>
      </x:c>
      <x:c r="I457" s="38" t="n">
        <x:v>1</x:v>
      </x:c>
      <x:c r="J457" s="44" t="n">
        <x:v>9500</x:v>
      </x:c>
      <x:c r="K457" s="32" t="n">
        <x:v>1</x:v>
      </x:c>
      <x:c r="L457" s="50" t="n">
        <x:v>45747.93324074074</x:v>
      </x:c>
      <x:c r="M457" s="50" t="n">
        <x:v>45747.93324074074</x:v>
      </x:c>
      <x:c r="N457" s="32" t="n">
        <x:f>IF(M457="","",MAX(0,'Resumen'!$B$3-M457))</x:f>
        <x:v>519.0667592592581</x:v>
      </x:c>
      <x:c r="O457" s="38" t="n">
        <x:v>0</x:v>
      </x:c>
      <x:c r="P457" s="38" t="n">
        <x:v>0</x:v>
      </x:c>
      <x:c r="Q457" s="38" t="n">
        <x:v>0</x:v>
      </x:c>
      <x:c r="R457" s="38" t="n">
        <x:f>MIN(D457,I457)</x:f>
        <x:v>1</x:v>
      </x:c>
      <x:c r="S457" s="47" t="n">
        <x:f>IFERROR(R457/D457,0)</x:f>
        <x:v>1</x:v>
      </x:c>
      <x:c r="T457" s="38" t="n">
        <x:f>MIN(MAX(G457,0),MAX(D457-I457,0))</x:f>
        <x:v>0</x:v>
      </x:c>
      <x:c r="U457" s="44" t="n">
        <x:f>T457*E457</x:f>
        <x:v>0</x:v>
      </x:c>
      <x:c r="V457" s="38" t="n">
        <x:v>0</x:v>
      </x:c>
      <x:c r="W457" s="32" t="n">
        <x:v>0</x:v>
      </x:c>
      <x:c r="X457" s="50"/>
      <x:c r="Y457" s="44" t="n">
        <x:v>9500</x:v>
      </x:c>
      <x:c r="Z457" s="44" t="n">
        <x:f>IF(I457&gt;0,R457*(J457/I457),0)</x:f>
        <x:v>9500</x:v>
      </x:c>
      <x:c r="AA457" s="44" t="n">
        <x:f>Z457-(R457*E457)</x:f>
        <x:v>4000</x:v>
      </x:c>
      <x:c r="AB457" s="47" t="n">
        <x:f>IFERROR(AA457/Z457,0)</x:f>
        <x:v>0.42105263157894735</x:v>
      </x:c>
      <x:c r="AC457" s="32" t="str">
        <x:f>IF(S457=0,"0%",IF(S457&lt;0.5,"1-49%",IF(S457&lt;0.8,"50-79%",IF(S457&lt;1,"80-99%","100%"))))</x:f>
        <x:v>100%</x:v>
      </x:c>
      <x:c r="AD457" s="33" t="str">
        <x:f>IF(G457&lt;0,"Stock negativo",IF(G457&lt;=0,"Sin stock actual",IF(I457&lt;=0,"Sin ventas desde compra",IF(Q457&lt;=0,"Con stock, sin ventas 365d",IF(S457&lt;0.5,"Rotación baja",IF(S457&lt;1,"Rotación media","Compra absorbida; stock repuesto"))))))</x:f>
        <x:v>Sin stock actual</x:v>
      </x:c>
    </x:row>
    <x:row r="458">
      <x:c r="A458" s="31" t="str">
        <x:v>MOTS1293</x:v>
      </x:c>
      <x:c r="B458" s="53" t="str">
        <x:v>FILTRO AIRE PULSAR 200 NS GRAYONES FILTRO</x:v>
      </x:c>
      <x:c r="C458" s="32" t="n">
        <x:v>1</x:v>
      </x:c>
      <x:c r="D458" s="38" t="n">
        <x:v>1</x:v>
      </x:c>
      <x:c r="E458" s="44" t="n">
        <x:v>5500</x:v>
      </x:c>
      <x:c r="F458" s="44" t="n">
        <x:v>5500</x:v>
      </x:c>
      <x:c r="G458" s="41" t="n">
        <x:v>0</x:v>
      </x:c>
      <x:c r="H458" s="44" t="n">
        <x:f>MAX(G458,0)*E458</x:f>
        <x:v>0</x:v>
      </x:c>
      <x:c r="I458" s="38" t="n">
        <x:v>1</x:v>
      </x:c>
      <x:c r="J458" s="44" t="n">
        <x:v>9500</x:v>
      </x:c>
      <x:c r="K458" s="32" t="n">
        <x:v>1</x:v>
      </x:c>
      <x:c r="L458" s="50" t="n">
        <x:v>45963.62841435185</x:v>
      </x:c>
      <x:c r="M458" s="50" t="n">
        <x:v>45963.62841435185</x:v>
      </x:c>
      <x:c r="N458" s="32" t="n">
        <x:f>IF(M458="","",MAX(0,'Resumen'!$B$3-M458))</x:f>
        <x:v>303.37158564815036</x:v>
      </x:c>
      <x:c r="O458" s="38" t="n">
        <x:v>0</x:v>
      </x:c>
      <x:c r="P458" s="38" t="n">
        <x:v>0</x:v>
      </x:c>
      <x:c r="Q458" s="38" t="n">
        <x:v>1</x:v>
      </x:c>
      <x:c r="R458" s="38" t="n">
        <x:f>MIN(D458,I458)</x:f>
        <x:v>1</x:v>
      </x:c>
      <x:c r="S458" s="47" t="n">
        <x:f>IFERROR(R458/D458,0)</x:f>
        <x:v>1</x:v>
      </x:c>
      <x:c r="T458" s="38" t="n">
        <x:f>MIN(MAX(G458,0),MAX(D458-I458,0))</x:f>
        <x:v>0</x:v>
      </x:c>
      <x:c r="U458" s="44" t="n">
        <x:f>T458*E458</x:f>
        <x:v>0</x:v>
      </x:c>
      <x:c r="V458" s="38" t="n">
        <x:v>0</x:v>
      </x:c>
      <x:c r="W458" s="32" t="n">
        <x:v>0</x:v>
      </x:c>
      <x:c r="X458" s="50"/>
      <x:c r="Y458" s="44" t="n">
        <x:v>9500</x:v>
      </x:c>
      <x:c r="Z458" s="44" t="n">
        <x:f>IF(I458&gt;0,R458*(J458/I458),0)</x:f>
        <x:v>9500</x:v>
      </x:c>
      <x:c r="AA458" s="44" t="n">
        <x:f>Z458-(R458*E458)</x:f>
        <x:v>4000</x:v>
      </x:c>
      <x:c r="AB458" s="47" t="n">
        <x:f>IFERROR(AA458/Z458,0)</x:f>
        <x:v>0.42105263157894735</x:v>
      </x:c>
      <x:c r="AC458" s="32" t="str">
        <x:f>IF(S458=0,"0%",IF(S458&lt;0.5,"1-49%",IF(S458&lt;0.8,"50-79%",IF(S458&lt;1,"80-99%","100%"))))</x:f>
        <x:v>100%</x:v>
      </x:c>
      <x:c r="AD458" s="33" t="str">
        <x:f>IF(G458&lt;0,"Stock negativo",IF(G458&lt;=0,"Sin stock actual",IF(I458&lt;=0,"Sin ventas desde compra",IF(Q458&lt;=0,"Con stock, sin ventas 365d",IF(S458&lt;0.5,"Rotación baja",IF(S458&lt;1,"Rotación media","Compra absorbida; stock repuesto"))))))</x:f>
        <x:v>Sin stock actual</x:v>
      </x:c>
    </x:row>
    <x:row r="459">
      <x:c r="A459" s="31" t="str">
        <x:v>4211</x:v>
      </x:c>
      <x:c r="B459" s="53" t="str">
        <x:v>TORNILLO FLANGE 6X 55 LLAVE 8 TORNIFRENOS</x:v>
      </x:c>
      <x:c r="C459" s="32" t="n">
        <x:v>1</x:v>
      </x:c>
      <x:c r="D459" s="38" t="n">
        <x:v>9</x:v>
      </x:c>
      <x:c r="E459" s="44" t="n">
        <x:v>610</x:v>
      </x:c>
      <x:c r="F459" s="44" t="n">
        <x:v>5490</x:v>
      </x:c>
      <x:c r="G459" s="41" t="n">
        <x:v>9</x:v>
      </x:c>
      <x:c r="H459" s="44" t="n">
        <x:f>MAX(G459,0)*E459</x:f>
        <x:v>5490</x:v>
      </x:c>
      <x:c r="I459" s="38" t="n">
        <x:v>0</x:v>
      </x:c>
      <x:c r="J459" s="44" t="n">
        <x:v>0</x:v>
      </x:c>
      <x:c r="K459" s="32" t="n">
        <x:v>0</x:v>
      </x:c>
      <x:c r="L459" s="50"/>
      <x:c r="M459" s="50"/>
      <x:c r="N459" s="32" t="str">
        <x:f>IF(M459="","",MAX(0,'Resumen'!$B$3-M459))</x:f>
      </x:c>
      <x:c r="O459" s="38" t="n">
        <x:v>0</x:v>
      </x:c>
      <x:c r="P459" s="38" t="n">
        <x:v>0</x:v>
      </x:c>
      <x:c r="Q459" s="38" t="n">
        <x:v>0</x:v>
      </x:c>
      <x:c r="R459" s="38" t="n">
        <x:f>MIN(D459,I459)</x:f>
        <x:v>0</x:v>
      </x:c>
      <x:c r="S459" s="47" t="n">
        <x:f>IFERROR(R459/D459,0)</x:f>
        <x:v>0</x:v>
      </x:c>
      <x:c r="T459" s="38" t="n">
        <x:f>MIN(MAX(G459,0),MAX(D459-I459,0))</x:f>
        <x:v>9</x:v>
      </x:c>
      <x:c r="U459" s="44" t="n">
        <x:f>T459*E459</x:f>
        <x:v>5490</x:v>
      </x:c>
      <x:c r="V459" s="38" t="n">
        <x:v>0</x:v>
      </x:c>
      <x:c r="W459" s="32" t="n">
        <x:v>0</x:v>
      </x:c>
      <x:c r="X459" s="50"/>
      <x:c r="Y459" s="44" t="n">
        <x:v>1500</x:v>
      </x:c>
      <x:c r="Z459" s="44" t="n">
        <x:f>IF(I459&gt;0,R459*(J459/I459),0)</x:f>
        <x:v>0</x:v>
      </x:c>
      <x:c r="AA459" s="44" t="n">
        <x:f>Z459-(R459*E459)</x:f>
        <x:v>0</x:v>
      </x:c>
      <x:c r="AB459" s="47" t="n">
        <x:f>IFERROR(AA459/Z459,0)</x:f>
        <x:v>0</x:v>
      </x:c>
      <x:c r="AC459" s="32" t="str">
        <x:f>IF(S459=0,"0%",IF(S459&lt;0.5,"1-49%",IF(S459&lt;0.8,"50-79%",IF(S459&lt;1,"80-99%","100%"))))</x:f>
        <x:v>0%</x:v>
      </x:c>
      <x:c r="AD459" s="33" t="str">
        <x:f>IF(G459&lt;0,"Stock negativo",IF(G459&lt;=0,"Sin stock actual",IF(I459&lt;=0,"Sin ventas desde compra",IF(Q459&lt;=0,"Con stock, sin ventas 365d",IF(S459&lt;0.5,"Rotación baja",IF(S459&lt;1,"Rotación media","Compra absorbida; stock repuesto"))))))</x:f>
        <x:v>Sin ventas desde compra</x:v>
      </x:c>
    </x:row>
    <x:row r="460">
      <x:c r="A460" s="31" t="str">
        <x:v>MOTS1142</x:v>
      </x:c>
      <x:c r="B460" s="53" t="str">
        <x:v>DIRECCIONAL CB 110AMBAR UM</x:v>
      </x:c>
      <x:c r="C460" s="32" t="n">
        <x:v>1</x:v>
      </x:c>
      <x:c r="D460" s="38" t="n">
        <x:v>1</x:v>
      </x:c>
      <x:c r="E460" s="44" t="n">
        <x:v>5400</x:v>
      </x:c>
      <x:c r="F460" s="44" t="n">
        <x:v>5400</x:v>
      </x:c>
      <x:c r="G460" s="41" t="n">
        <x:v>-2</x:v>
      </x:c>
      <x:c r="H460" s="44" t="n">
        <x:f>MAX(G460,0)*E460</x:f>
        <x:v>0</x:v>
      </x:c>
      <x:c r="I460" s="38" t="n">
        <x:v>1</x:v>
      </x:c>
      <x:c r="J460" s="44" t="n">
        <x:v>9000</x:v>
      </x:c>
      <x:c r="K460" s="32" t="n">
        <x:v>1</x:v>
      </x:c>
      <x:c r="L460" s="50" t="n">
        <x:v>45553.76693287037</x:v>
      </x:c>
      <x:c r="M460" s="50" t="n">
        <x:v>45553.76693287037</x:v>
      </x:c>
      <x:c r="N460" s="32" t="n">
        <x:f>IF(M460="","",MAX(0,'Resumen'!$B$3-M460))</x:f>
        <x:v>713.2330671296295</x:v>
      </x:c>
      <x:c r="O460" s="38" t="n">
        <x:v>0</x:v>
      </x:c>
      <x:c r="P460" s="38" t="n">
        <x:v>0</x:v>
      </x:c>
      <x:c r="Q460" s="38" t="n">
        <x:v>0</x:v>
      </x:c>
      <x:c r="R460" s="38" t="n">
        <x:f>MIN(D460,I460)</x:f>
        <x:v>1</x:v>
      </x:c>
      <x:c r="S460" s="47" t="n">
        <x:f>IFERROR(R460/D460,0)</x:f>
        <x:v>1</x:v>
      </x:c>
      <x:c r="T460" s="38" t="n">
        <x:f>MIN(MAX(G460,0),MAX(D460-I460,0))</x:f>
        <x:v>0</x:v>
      </x:c>
      <x:c r="U460" s="44" t="n">
        <x:f>T460*E460</x:f>
        <x:v>0</x:v>
      </x:c>
      <x:c r="V460" s="38" t="n">
        <x:v>0</x:v>
      </x:c>
      <x:c r="W460" s="32" t="n">
        <x:v>0</x:v>
      </x:c>
      <x:c r="X460" s="50"/>
      <x:c r="Y460" s="44" t="n">
        <x:v>9000</x:v>
      </x:c>
      <x:c r="Z460" s="44" t="n">
        <x:f>IF(I460&gt;0,R460*(J460/I460),0)</x:f>
        <x:v>9000</x:v>
      </x:c>
      <x:c r="AA460" s="44" t="n">
        <x:f>Z460-(R460*E460)</x:f>
        <x:v>3600</x:v>
      </x:c>
      <x:c r="AB460" s="47" t="n">
        <x:f>IFERROR(AA460/Z460,0)</x:f>
        <x:v>0.4</x:v>
      </x:c>
      <x:c r="AC460" s="32" t="str">
        <x:f>IF(S460=0,"0%",IF(S460&lt;0.5,"1-49%",IF(S460&lt;0.8,"50-79%",IF(S460&lt;1,"80-99%","100%"))))</x:f>
        <x:v>100%</x:v>
      </x:c>
      <x:c r="AD460" s="33" t="str">
        <x:f>IF(G460&lt;0,"Stock negativo",IF(G460&lt;=0,"Sin stock actual",IF(I460&lt;=0,"Sin ventas desde compra",IF(Q460&lt;=0,"Con stock, sin ventas 365d",IF(S460&lt;0.5,"Rotación baja",IF(S460&lt;1,"Rotación media","Compra absorbida; stock repuesto"))))))</x:f>
        <x:v>Stock negativo</x:v>
      </x:c>
    </x:row>
    <x:row r="461">
      <x:c r="A461" s="31" t="str">
        <x:v>TER-0086</x:v>
      </x:c>
      <x:c r="B461" s="53" t="str">
        <x:v>TERMINAL TUBULAR (HEMBRA)</x:v>
      </x:c>
      <x:c r="C461" s="32" t="n">
        <x:v>1</x:v>
      </x:c>
      <x:c r="D461" s="38" t="n">
        <x:v>78</x:v>
      </x:c>
      <x:c r="E461" s="44" t="n">
        <x:v>69</x:v>
      </x:c>
      <x:c r="F461" s="44" t="n">
        <x:v>5382</x:v>
      </x:c>
      <x:c r="G461" s="41" t="n">
        <x:v>21</x:v>
      </x:c>
      <x:c r="H461" s="44" t="n">
        <x:f>MAX(G461,0)*E461</x:f>
        <x:v>1449</x:v>
      </x:c>
      <x:c r="I461" s="38" t="n">
        <x:v>78</x:v>
      </x:c>
      <x:c r="J461" s="44" t="n">
        <x:v>16200</x:v>
      </x:c>
      <x:c r="K461" s="32" t="n">
        <x:v>19</x:v>
      </x:c>
      <x:c r="L461" s="50" t="n">
        <x:v>45533.5547337963</x:v>
      </x:c>
      <x:c r="M461" s="50" t="n">
        <x:v>46232.593831018516</x:v>
      </x:c>
      <x:c r="N461" s="32" t="n">
        <x:f>IF(M461="","",MAX(0,'Resumen'!$B$3-M461))</x:f>
        <x:v>34.40616898148437</x:v>
      </x:c>
      <x:c r="O461" s="38" t="n">
        <x:v>0</x:v>
      </x:c>
      <x:c r="P461" s="38" t="n">
        <x:v>3</x:v>
      </x:c>
      <x:c r="Q461" s="38" t="n">
        <x:v>5</x:v>
      </x:c>
      <x:c r="R461" s="38" t="n">
        <x:f>MIN(D461,I461)</x:f>
        <x:v>78</x:v>
      </x:c>
      <x:c r="S461" s="47" t="n">
        <x:f>IFERROR(R461/D461,0)</x:f>
        <x:v>1</x:v>
      </x:c>
      <x:c r="T461" s="38" t="n">
        <x:f>MIN(MAX(G461,0),MAX(D461-I461,0))</x:f>
        <x:v>0</x:v>
      </x:c>
      <x:c r="U461" s="44" t="n">
        <x:f>T461*E461</x:f>
        <x:v>0</x:v>
      </x:c>
      <x:c r="V461" s="38" t="n">
        <x:v>21</x:v>
      </x:c>
      <x:c r="W461" s="32" t="n">
        <x:v>4</x:v>
      </x:c>
      <x:c r="X461" s="50" t="n">
        <x:v>45793</x:v>
      </x:c>
      <x:c r="Y461" s="44" t="n">
        <x:v>200</x:v>
      </x:c>
      <x:c r="Z461" s="44" t="n">
        <x:f>IF(I461&gt;0,R461*(J461/I461),0)</x:f>
        <x:v>16199.999999999998</x:v>
      </x:c>
      <x:c r="AA461" s="44" t="n">
        <x:f>Z461-(R461*E461)</x:f>
        <x:v>10817.999999999998</x:v>
      </x:c>
      <x:c r="AB461" s="47" t="n">
        <x:f>IFERROR(AA461/Z461,0)</x:f>
        <x:v>0.6677777777777777</x:v>
      </x:c>
      <x:c r="AC461" s="32" t="str">
        <x:f>IF(S461=0,"0%",IF(S461&lt;0.5,"1-49%",IF(S461&lt;0.8,"50-79%",IF(S461&lt;1,"80-99%","100%"))))</x:f>
        <x:v>100%</x:v>
      </x:c>
      <x:c r="AD461" s="33" t="str">
        <x:f>IF(G461&lt;0,"Stock negativo",IF(G461&lt;=0,"Sin stock actual",IF(I461&lt;=0,"Sin ventas desde compra",IF(Q461&lt;=0,"Con stock, sin ventas 365d",IF(S461&lt;0.5,"Rotación baja",IF(S461&lt;1,"Rotación media","Compra absorbida; stock repuesto"))))))</x:f>
        <x:v>Compra absorbida; stock repuesto</x:v>
      </x:c>
    </x:row>
    <x:row r="462">
      <x:c r="A462" s="31" t="str">
        <x:v>OR-009</x:v>
      </x:c>
      <x:c r="B462" s="53" t="str">
        <x:v>ORING 7/32</x:v>
      </x:c>
      <x:c r="C462" s="32" t="n">
        <x:v>1</x:v>
      </x:c>
      <x:c r="D462" s="38" t="n">
        <x:v>16</x:v>
      </x:c>
      <x:c r="E462" s="44" t="n">
        <x:v>335</x:v>
      </x:c>
      <x:c r="F462" s="44" t="n">
        <x:v>5360</x:v>
      </x:c>
      <x:c r="G462" s="41" t="n">
        <x:v>16</x:v>
      </x:c>
      <x:c r="H462" s="44" t="n">
        <x:f>MAX(G462,0)*E462</x:f>
        <x:v>5360</x:v>
      </x:c>
      <x:c r="I462" s="38" t="n">
        <x:v>0</x:v>
      </x:c>
      <x:c r="J462" s="44" t="n">
        <x:v>0</x:v>
      </x:c>
      <x:c r="K462" s="32" t="n">
        <x:v>0</x:v>
      </x:c>
      <x:c r="L462" s="50"/>
      <x:c r="M462" s="50"/>
      <x:c r="N462" s="32" t="str">
        <x:f>IF(M462="","",MAX(0,'Resumen'!$B$3-M462))</x:f>
      </x:c>
      <x:c r="O462" s="38" t="n">
        <x:v>0</x:v>
      </x:c>
      <x:c r="P462" s="38" t="n">
        <x:v>0</x:v>
      </x:c>
      <x:c r="Q462" s="38" t="n">
        <x:v>0</x:v>
      </x:c>
      <x:c r="R462" s="38" t="n">
        <x:f>MIN(D462,I462)</x:f>
        <x:v>0</x:v>
      </x:c>
      <x:c r="S462" s="47" t="n">
        <x:f>IFERROR(R462/D462,0)</x:f>
        <x:v>0</x:v>
      </x:c>
      <x:c r="T462" s="38" t="n">
        <x:f>MIN(MAX(G462,0),MAX(D462-I462,0))</x:f>
        <x:v>16</x:v>
      </x:c>
      <x:c r="U462" s="44" t="n">
        <x:f>T462*E462</x:f>
        <x:v>5360</x:v>
      </x:c>
      <x:c r="V462" s="38" t="n">
        <x:v>0</x:v>
      </x:c>
      <x:c r="W462" s="32" t="n">
        <x:v>0</x:v>
      </x:c>
      <x:c r="X462" s="50"/>
      <x:c r="Y462" s="44" t="n">
        <x:v>600</x:v>
      </x:c>
      <x:c r="Z462" s="44" t="n">
        <x:f>IF(I462&gt;0,R462*(J462/I462),0)</x:f>
        <x:v>0</x:v>
      </x:c>
      <x:c r="AA462" s="44" t="n">
        <x:f>Z462-(R462*E462)</x:f>
        <x:v>0</x:v>
      </x:c>
      <x:c r="AB462" s="47" t="n">
        <x:f>IFERROR(AA462/Z462,0)</x:f>
        <x:v>0</x:v>
      </x:c>
      <x:c r="AC462" s="32" t="str">
        <x:f>IF(S462=0,"0%",IF(S462&lt;0.5,"1-49%",IF(S462&lt;0.8,"50-79%",IF(S462&lt;1,"80-99%","100%"))))</x:f>
        <x:v>0%</x:v>
      </x:c>
      <x:c r="AD462" s="33" t="str">
        <x:f>IF(G462&lt;0,"Stock negativo",IF(G462&lt;=0,"Sin stock actual",IF(I462&lt;=0,"Sin ventas desde compra",IF(Q462&lt;=0,"Con stock, sin ventas 365d",IF(S462&lt;0.5,"Rotación baja",IF(S462&lt;1,"Rotación media","Compra absorbida; stock repuesto"))))))</x:f>
        <x:v>Sin ventas desde compra</x:v>
      </x:c>
    </x:row>
    <x:row r="463">
      <x:c r="A463" s="31" t="str">
        <x:v>4111</x:v>
      </x:c>
      <x:c r="B463" s="53" t="str">
        <x:v>BUJIA BP5HS  NGK</x:v>
      </x:c>
      <x:c r="C463" s="32" t="n">
        <x:v>1</x:v>
      </x:c>
      <x:c r="D463" s="38" t="n">
        <x:v>1</x:v>
      </x:c>
      <x:c r="E463" s="44" t="n">
        <x:v>5300</x:v>
      </x:c>
      <x:c r="F463" s="44" t="n">
        <x:v>5300</x:v>
      </x:c>
      <x:c r="G463" s="41" t="n">
        <x:v>0</x:v>
      </x:c>
      <x:c r="H463" s="44" t="n">
        <x:f>MAX(G463,0)*E463</x:f>
        <x:v>0</x:v>
      </x:c>
      <x:c r="I463" s="38" t="n">
        <x:v>1</x:v>
      </x:c>
      <x:c r="J463" s="44" t="n">
        <x:v>9000</x:v>
      </x:c>
      <x:c r="K463" s="32" t="n">
        <x:v>1</x:v>
      </x:c>
      <x:c r="L463" s="50" t="n">
        <x:v>45575.97509259259</x:v>
      </x:c>
      <x:c r="M463" s="50" t="n">
        <x:v>45575.97509259259</x:v>
      </x:c>
      <x:c r="N463" s="32" t="n">
        <x:f>IF(M463="","",MAX(0,'Resumen'!$B$3-M463))</x:f>
        <x:v>691.024907407409</x:v>
      </x:c>
      <x:c r="O463" s="38" t="n">
        <x:v>0</x:v>
      </x:c>
      <x:c r="P463" s="38" t="n">
        <x:v>0</x:v>
      </x:c>
      <x:c r="Q463" s="38" t="n">
        <x:v>0</x:v>
      </x:c>
      <x:c r="R463" s="38" t="n">
        <x:f>MIN(D463,I463)</x:f>
        <x:v>1</x:v>
      </x:c>
      <x:c r="S463" s="47" t="n">
        <x:f>IFERROR(R463/D463,0)</x:f>
        <x:v>1</x:v>
      </x:c>
      <x:c r="T463" s="38" t="n">
        <x:f>MIN(MAX(G463,0),MAX(D463-I463,0))</x:f>
        <x:v>0</x:v>
      </x:c>
      <x:c r="U463" s="44" t="n">
        <x:f>T463*E463</x:f>
        <x:v>0</x:v>
      </x:c>
      <x:c r="V463" s="38" t="n">
        <x:v>0</x:v>
      </x:c>
      <x:c r="W463" s="32" t="n">
        <x:v>0</x:v>
      </x:c>
      <x:c r="X463" s="50"/>
      <x:c r="Y463" s="44" t="n">
        <x:v>9000</x:v>
      </x:c>
      <x:c r="Z463" s="44" t="n">
        <x:f>IF(I463&gt;0,R463*(J463/I463),0)</x:f>
        <x:v>9000</x:v>
      </x:c>
      <x:c r="AA463" s="44" t="n">
        <x:f>Z463-(R463*E463)</x:f>
        <x:v>3700</x:v>
      </x:c>
      <x:c r="AB463" s="47" t="n">
        <x:f>IFERROR(AA463/Z463,0)</x:f>
        <x:v>0.4111111111111111</x:v>
      </x:c>
      <x:c r="AC463" s="32" t="str">
        <x:f>IF(S463=0,"0%",IF(S463&lt;0.5,"1-49%",IF(S463&lt;0.8,"50-79%",IF(S463&lt;1,"80-99%","100%"))))</x:f>
        <x:v>100%</x:v>
      </x:c>
      <x:c r="AD463" s="33" t="str">
        <x:f>IF(G463&lt;0,"Stock negativo",IF(G463&lt;=0,"Sin stock actual",IF(I463&lt;=0,"Sin ventas desde compra",IF(Q463&lt;=0,"Con stock, sin ventas 365d",IF(S463&lt;0.5,"Rotación baja",IF(S463&lt;1,"Rotación media","Compra absorbida; stock repuesto"))))))</x:f>
        <x:v>Sin stock actual</x:v>
      </x:c>
    </x:row>
    <x:row r="464">
      <x:c r="A464" s="31" t="str">
        <x:v>4629</x:v>
      </x:c>
      <x:c r="B464" s="53" t="str">
        <x:v>BUJIA C7HSA</x:v>
      </x:c>
      <x:c r="C464" s="32" t="n">
        <x:v>1</x:v>
      </x:c>
      <x:c r="D464" s="38" t="n">
        <x:v>1</x:v>
      </x:c>
      <x:c r="E464" s="44" t="n">
        <x:v>5200</x:v>
      </x:c>
      <x:c r="F464" s="44" t="n">
        <x:v>5200</x:v>
      </x:c>
      <x:c r="G464" s="41" t="n">
        <x:v>0</x:v>
      </x:c>
      <x:c r="H464" s="44" t="n">
        <x:f>MAX(G464,0)*E464</x:f>
        <x:v>0</x:v>
      </x:c>
      <x:c r="I464" s="38" t="n">
        <x:v>1</x:v>
      </x:c>
      <x:c r="J464" s="44" t="n">
        <x:v>9000</x:v>
      </x:c>
      <x:c r="K464" s="32" t="n">
        <x:v>1</x:v>
      </x:c>
      <x:c r="L464" s="50" t="n">
        <x:v>45508.55726851852</x:v>
      </x:c>
      <x:c r="M464" s="50" t="n">
        <x:v>45508.55726851852</x:v>
      </x:c>
      <x:c r="N464" s="32" t="n">
        <x:f>IF(M464="","",MAX(0,'Resumen'!$B$3-M464))</x:f>
        <x:v>758.442731481482</x:v>
      </x:c>
      <x:c r="O464" s="38" t="n">
        <x:v>0</x:v>
      </x:c>
      <x:c r="P464" s="38" t="n">
        <x:v>0</x:v>
      </x:c>
      <x:c r="Q464" s="38" t="n">
        <x:v>0</x:v>
      </x:c>
      <x:c r="R464" s="38" t="n">
        <x:f>MIN(D464,I464)</x:f>
        <x:v>1</x:v>
      </x:c>
      <x:c r="S464" s="47" t="n">
        <x:f>IFERROR(R464/D464,0)</x:f>
        <x:v>1</x:v>
      </x:c>
      <x:c r="T464" s="38" t="n">
        <x:f>MIN(MAX(G464,0),MAX(D464-I464,0))</x:f>
        <x:v>0</x:v>
      </x:c>
      <x:c r="U464" s="44" t="n">
        <x:f>T464*E464</x:f>
        <x:v>0</x:v>
      </x:c>
      <x:c r="V464" s="38" t="n">
        <x:v>0</x:v>
      </x:c>
      <x:c r="W464" s="32" t="n">
        <x:v>0</x:v>
      </x:c>
      <x:c r="X464" s="50"/>
      <x:c r="Y464" s="44" t="n">
        <x:v>9000</x:v>
      </x:c>
      <x:c r="Z464" s="44" t="n">
        <x:f>IF(I464&gt;0,R464*(J464/I464),0)</x:f>
        <x:v>9000</x:v>
      </x:c>
      <x:c r="AA464" s="44" t="n">
        <x:f>Z464-(R464*E464)</x:f>
        <x:v>3800</x:v>
      </x:c>
      <x:c r="AB464" s="47" t="n">
        <x:f>IFERROR(AA464/Z464,0)</x:f>
        <x:v>0.4222222222222222</x:v>
      </x:c>
      <x:c r="AC464" s="32" t="str">
        <x:f>IF(S464=0,"0%",IF(S464&lt;0.5,"1-49%",IF(S464&lt;0.8,"50-79%",IF(S464&lt;1,"80-99%","100%"))))</x:f>
        <x:v>100%</x:v>
      </x:c>
      <x:c r="AD464" s="33" t="str">
        <x:f>IF(G464&lt;0,"Stock negativo",IF(G464&lt;=0,"Sin stock actual",IF(I464&lt;=0,"Sin ventas desde compra",IF(Q464&lt;=0,"Con stock, sin ventas 365d",IF(S464&lt;0.5,"Rotación baja",IF(S464&lt;1,"Rotación media","Compra absorbida; stock repuesto"))))))</x:f>
        <x:v>Sin stock actual</x:v>
      </x:c>
    </x:row>
    <x:row r="465">
      <x:c r="A465" s="31" t="str">
        <x:v>TER-0083</x:v>
      </x:c>
      <x:c r="B465" s="53" t="str">
        <x:v>TERMINAL ENCHUFE (MACHO)</x:v>
      </x:c>
      <x:c r="C465" s="32" t="n">
        <x:v>1</x:v>
      </x:c>
      <x:c r="D465" s="38" t="n">
        <x:v>68</x:v>
      </x:c>
      <x:c r="E465" s="44" t="n">
        <x:v>75</x:v>
      </x:c>
      <x:c r="F465" s="44" t="n">
        <x:v>5100</x:v>
      </x:c>
      <x:c r="G465" s="41" t="n">
        <x:v>16</x:v>
      </x:c>
      <x:c r="H465" s="44" t="n">
        <x:f>MAX(G465,0)*E465</x:f>
        <x:v>1200</x:v>
      </x:c>
      <x:c r="I465" s="38" t="n">
        <x:v>56</x:v>
      </x:c>
      <x:c r="J465" s="44" t="n">
        <x:v>11200</x:v>
      </x:c>
      <x:c r="K465" s="32" t="n">
        <x:v>19</x:v>
      </x:c>
      <x:c r="L465" s="50" t="n">
        <x:v>45512.60663194444</x:v>
      </x:c>
      <x:c r="M465" s="50" t="n">
        <x:v>46223.59680555556</x:v>
      </x:c>
      <x:c r="N465" s="32" t="n">
        <x:f>IF(M465="","",MAX(0,'Resumen'!$B$3-M465))</x:f>
        <x:v>43.403194444443216</x:v>
      </x:c>
      <x:c r="O465" s="38" t="n">
        <x:v>0</x:v>
      </x:c>
      <x:c r="P465" s="38" t="n">
        <x:v>5</x:v>
      </x:c>
      <x:c r="Q465" s="38" t="n">
        <x:v>15</x:v>
      </x:c>
      <x:c r="R465" s="38" t="n">
        <x:f>MIN(D465,I465)</x:f>
        <x:v>56</x:v>
      </x:c>
      <x:c r="S465" s="47" t="n">
        <x:f>IFERROR(R465/D465,0)</x:f>
        <x:v>0.8235294117647058</x:v>
      </x:c>
      <x:c r="T465" s="38" t="n">
        <x:f>MIN(MAX(G465,0),MAX(D465-I465,0))</x:f>
        <x:v>12</x:v>
      </x:c>
      <x:c r="U465" s="44" t="n">
        <x:f>T465*E465</x:f>
        <x:v>900</x:v>
      </x:c>
      <x:c r="V465" s="38" t="n">
        <x:v>4</x:v>
      </x:c>
      <x:c r="W465" s="32" t="n">
        <x:v>3</x:v>
      </x:c>
      <x:c r="X465" s="50" t="n">
        <x:v>46036</x:v>
      </x:c>
      <x:c r="Y465" s="44" t="n">
        <x:v>200</x:v>
      </x:c>
      <x:c r="Z465" s="44" t="n">
        <x:f>IF(I465&gt;0,R465*(J465/I465),0)</x:f>
        <x:v>11200</x:v>
      </x:c>
      <x:c r="AA465" s="44" t="n">
        <x:f>Z465-(R465*E465)</x:f>
        <x:v>7000</x:v>
      </x:c>
      <x:c r="AB465" s="47" t="n">
        <x:f>IFERROR(AA465/Z465,0)</x:f>
        <x:v>0.625</x:v>
      </x:c>
      <x:c r="AC465" s="32" t="str">
        <x:f>IF(S465=0,"0%",IF(S465&lt;0.5,"1-49%",IF(S465&lt;0.8,"50-79%",IF(S465&lt;1,"80-99%","100%"))))</x:f>
        <x:v>80-99%</x:v>
      </x:c>
      <x:c r="AD465" s="33" t="str">
        <x:f>IF(G465&lt;0,"Stock negativo",IF(G465&lt;=0,"Sin stock actual",IF(I465&lt;=0,"Sin ventas desde compra",IF(Q465&lt;=0,"Con stock, sin ventas 365d",IF(S465&lt;0.5,"Rotación baja",IF(S465&lt;1,"Rotación media","Compra absorbida; stock repuesto"))))))</x:f>
        <x:v>Rotación media</x:v>
      </x:c>
    </x:row>
    <x:row r="466">
      <x:c r="A466" s="31" t="str">
        <x:v>11576</x:v>
      </x:c>
      <x:c r="B466" s="53" t="str">
        <x:v>GUAYA CLUCTH GS 125 MOTOTEC</x:v>
      </x:c>
      <x:c r="C466" s="32" t="n">
        <x:v>1</x:v>
      </x:c>
      <x:c r="D466" s="38" t="n">
        <x:v>1</x:v>
      </x:c>
      <x:c r="E466" s="44" t="n">
        <x:v>5000</x:v>
      </x:c>
      <x:c r="F466" s="44" t="n">
        <x:v>5000</x:v>
      </x:c>
      <x:c r="G466" s="41" t="n">
        <x:v>5</x:v>
      </x:c>
      <x:c r="H466" s="44" t="n">
        <x:f>MAX(G466,0)*E466</x:f>
        <x:v>25000</x:v>
      </x:c>
      <x:c r="I466" s="38" t="n">
        <x:v>0</x:v>
      </x:c>
      <x:c r="J466" s="44" t="n">
        <x:v>0</x:v>
      </x:c>
      <x:c r="K466" s="32" t="n">
        <x:v>0</x:v>
      </x:c>
      <x:c r="L466" s="50"/>
      <x:c r="M466" s="50"/>
      <x:c r="N466" s="32" t="str">
        <x:f>IF(M466="","",MAX(0,'Resumen'!$B$3-M466))</x:f>
      </x:c>
      <x:c r="O466" s="38" t="n">
        <x:v>0</x:v>
      </x:c>
      <x:c r="P466" s="38" t="n">
        <x:v>0</x:v>
      </x:c>
      <x:c r="Q466" s="38" t="n">
        <x:v>0</x:v>
      </x:c>
      <x:c r="R466" s="38" t="n">
        <x:f>MIN(D466,I466)</x:f>
        <x:v>0</x:v>
      </x:c>
      <x:c r="S466" s="47" t="n">
        <x:f>IFERROR(R466/D466,0)</x:f>
        <x:v>0</x:v>
      </x:c>
      <x:c r="T466" s="38" t="n">
        <x:f>MIN(MAX(G466,0),MAX(D466-I466,0))</x:f>
        <x:v>1</x:v>
      </x:c>
      <x:c r="U466" s="44" t="n">
        <x:f>T466*E466</x:f>
        <x:v>5000</x:v>
      </x:c>
      <x:c r="V466" s="38" t="n">
        <x:v>2</x:v>
      </x:c>
      <x:c r="W466" s="32" t="n">
        <x:v>1</x:v>
      </x:c>
      <x:c r="X466" s="50" t="n">
        <x:v>45564</x:v>
      </x:c>
      <x:c r="Y466" s="44" t="n">
        <x:v>8500</x:v>
      </x:c>
      <x:c r="Z466" s="44" t="n">
        <x:f>IF(I466&gt;0,R466*(J466/I466),0)</x:f>
        <x:v>0</x:v>
      </x:c>
      <x:c r="AA466" s="44" t="n">
        <x:f>Z466-(R466*E466)</x:f>
        <x:v>0</x:v>
      </x:c>
      <x:c r="AB466" s="47" t="n">
        <x:f>IFERROR(AA466/Z466,0)</x:f>
        <x:v>0</x:v>
      </x:c>
      <x:c r="AC466" s="32" t="str">
        <x:f>IF(S466=0,"0%",IF(S466&lt;0.5,"1-49%",IF(S466&lt;0.8,"50-79%",IF(S466&lt;1,"80-99%","100%"))))</x:f>
        <x:v>0%</x:v>
      </x:c>
      <x:c r="AD466" s="33" t="str">
        <x:f>IF(G466&lt;0,"Stock negativo",IF(G466&lt;=0,"Sin stock actual",IF(I466&lt;=0,"Sin ventas desde compra",IF(Q466&lt;=0,"Con stock, sin ventas 365d",IF(S466&lt;0.5,"Rotación baja",IF(S466&lt;1,"Rotación media","Compra absorbida; stock repuesto"))))))</x:f>
        <x:v>Sin ventas desde compra</x:v>
      </x:c>
    </x:row>
    <x:row r="467">
      <x:c r="A467" s="31" t="str">
        <x:v>MOTS1109</x:v>
      </x:c>
      <x:c r="B467" s="53" t="str">
        <x:v>CANDADO 420</x:v>
      </x:c>
      <x:c r="C467" s="32" t="n">
        <x:v>1</x:v>
      </x:c>
      <x:c r="D467" s="38" t="n">
        <x:v>10</x:v>
      </x:c>
      <x:c r="E467" s="44" t="n">
        <x:v>500</x:v>
      </x:c>
      <x:c r="F467" s="44" t="n">
        <x:v>5000</x:v>
      </x:c>
      <x:c r="G467" s="41" t="n">
        <x:v>4</x:v>
      </x:c>
      <x:c r="H467" s="44" t="n">
        <x:f>MAX(G467,0)*E467</x:f>
        <x:v>2000</x:v>
      </x:c>
      <x:c r="I467" s="38" t="n">
        <x:v>6</x:v>
      </x:c>
      <x:c r="J467" s="44" t="n">
        <x:v>5600</x:v>
      </x:c>
      <x:c r="K467" s="32" t="n">
        <x:v>5</x:v>
      </x:c>
      <x:c r="L467" s="50" t="n">
        <x:v>46025.55030092593</x:v>
      </x:c>
      <x:c r="M467" s="50" t="n">
        <x:v>46239.61969907407</x:v>
      </x:c>
      <x:c r="N467" s="32" t="n">
        <x:f>IF(M467="","",MAX(0,'Resumen'!$B$3-M467))</x:f>
        <x:v>27.380300925928168</x:v>
      </x:c>
      <x:c r="O467" s="38" t="n">
        <x:v>1</x:v>
      </x:c>
      <x:c r="P467" s="38" t="n">
        <x:v>1</x:v>
      </x:c>
      <x:c r="Q467" s="38" t="n">
        <x:v>6</x:v>
      </x:c>
      <x:c r="R467" s="38" t="n">
        <x:f>MIN(D467,I467)</x:f>
        <x:v>6</x:v>
      </x:c>
      <x:c r="S467" s="47" t="n">
        <x:f>IFERROR(R467/D467,0)</x:f>
        <x:v>0.6</x:v>
      </x:c>
      <x:c r="T467" s="38" t="n">
        <x:f>MIN(MAX(G467,0),MAX(D467-I467,0))</x:f>
        <x:v>4</x:v>
      </x:c>
      <x:c r="U467" s="44" t="n">
        <x:f>T467*E467</x:f>
        <x:v>2000</x:v>
      </x:c>
      <x:c r="V467" s="38" t="n">
        <x:v>0</x:v>
      </x:c>
      <x:c r="W467" s="32" t="n">
        <x:v>0</x:v>
      </x:c>
      <x:c r="X467" s="50"/>
      <x:c r="Y467" s="44" t="n">
        <x:v>900</x:v>
      </x:c>
      <x:c r="Z467" s="44" t="n">
        <x:f>IF(I467&gt;0,R467*(J467/I467),0)</x:f>
        <x:v>5600</x:v>
      </x:c>
      <x:c r="AA467" s="44" t="n">
        <x:f>Z467-(R467*E467)</x:f>
        <x:v>2600</x:v>
      </x:c>
      <x:c r="AB467" s="47" t="n">
        <x:f>IFERROR(AA467/Z467,0)</x:f>
        <x:v>0.4642857142857143</x:v>
      </x:c>
      <x:c r="AC467" s="32" t="str">
        <x:f>IF(S467=0,"0%",IF(S467&lt;0.5,"1-49%",IF(S467&lt;0.8,"50-79%",IF(S467&lt;1,"80-99%","100%"))))</x:f>
        <x:v>50-79%</x:v>
      </x:c>
      <x:c r="AD467" s="33" t="str">
        <x:f>IF(G467&lt;0,"Stock negativo",IF(G467&lt;=0,"Sin stock actual",IF(I467&lt;=0,"Sin ventas desde compra",IF(Q467&lt;=0,"Con stock, sin ventas 365d",IF(S467&lt;0.5,"Rotación baja",IF(S467&lt;1,"Rotación media","Compra absorbida; stock repuesto"))))))</x:f>
        <x:v>Rotación media</x:v>
      </x:c>
    </x:row>
    <x:row r="468">
      <x:c r="A468" s="31" t="str">
        <x:v>MOTS1128</x:v>
      </x:c>
      <x:c r="B468" s="53" t="str">
        <x:v>MANILAR NEGRO/VERDE SENCILLO</x:v>
      </x:c>
      <x:c r="C468" s="32" t="n">
        <x:v>1</x:v>
      </x:c>
      <x:c r="D468" s="38" t="n">
        <x:v>1</x:v>
      </x:c>
      <x:c r="E468" s="44" t="n">
        <x:v>5000</x:v>
      </x:c>
      <x:c r="F468" s="44" t="n">
        <x:v>5000</x:v>
      </x:c>
      <x:c r="G468" s="41" t="n">
        <x:v>1</x:v>
      </x:c>
      <x:c r="H468" s="44" t="n">
        <x:f>MAX(G468,0)*E468</x:f>
        <x:v>5000</x:v>
      </x:c>
      <x:c r="I468" s="38" t="n">
        <x:v>0</x:v>
      </x:c>
      <x:c r="J468" s="44" t="n">
        <x:v>0</x:v>
      </x:c>
      <x:c r="K468" s="32" t="n">
        <x:v>0</x:v>
      </x:c>
      <x:c r="L468" s="50"/>
      <x:c r="M468" s="50"/>
      <x:c r="N468" s="32" t="str">
        <x:f>IF(M468="","",MAX(0,'Resumen'!$B$3-M468))</x:f>
      </x:c>
      <x:c r="O468" s="38" t="n">
        <x:v>0</x:v>
      </x:c>
      <x:c r="P468" s="38" t="n">
        <x:v>0</x:v>
      </x:c>
      <x:c r="Q468" s="38" t="n">
        <x:v>0</x:v>
      </x:c>
      <x:c r="R468" s="38" t="n">
        <x:f>MIN(D468,I468)</x:f>
        <x:v>0</x:v>
      </x:c>
      <x:c r="S468" s="47" t="n">
        <x:f>IFERROR(R468/D468,0)</x:f>
        <x:v>0</x:v>
      </x:c>
      <x:c r="T468" s="38" t="n">
        <x:f>MIN(MAX(G468,0),MAX(D468-I468,0))</x:f>
        <x:v>1</x:v>
      </x:c>
      <x:c r="U468" s="44" t="n">
        <x:f>T468*E468</x:f>
        <x:v>5000</x:v>
      </x:c>
      <x:c r="V468" s="38" t="n">
        <x:v>0</x:v>
      </x:c>
      <x:c r="W468" s="32" t="n">
        <x:v>0</x:v>
      </x:c>
      <x:c r="X468" s="50"/>
      <x:c r="Y468" s="44" t="n">
        <x:v>8500</x:v>
      </x:c>
      <x:c r="Z468" s="44" t="n">
        <x:f>IF(I468&gt;0,R468*(J468/I468),0)</x:f>
        <x:v>0</x:v>
      </x:c>
      <x:c r="AA468" s="44" t="n">
        <x:f>Z468-(R468*E468)</x:f>
        <x:v>0</x:v>
      </x:c>
      <x:c r="AB468" s="47" t="n">
        <x:f>IFERROR(AA468/Z468,0)</x:f>
        <x:v>0</x:v>
      </x:c>
      <x:c r="AC468" s="32" t="str">
        <x:f>IF(S468=0,"0%",IF(S468&lt;0.5,"1-49%",IF(S468&lt;0.8,"50-79%",IF(S468&lt;1,"80-99%","100%"))))</x:f>
        <x:v>0%</x:v>
      </x:c>
      <x:c r="AD468" s="33" t="str">
        <x:f>IF(G468&lt;0,"Stock negativo",IF(G468&lt;=0,"Sin stock actual",IF(I468&lt;=0,"Sin ventas desde compra",IF(Q468&lt;=0,"Con stock, sin ventas 365d",IF(S468&lt;0.5,"Rotación baja",IF(S468&lt;1,"Rotación media","Compra absorbida; stock repuesto"))))))</x:f>
        <x:v>Sin ventas desde compra</x:v>
      </x:c>
    </x:row>
    <x:row r="469">
      <x:c r="A469" s="31" t="str">
        <x:v>MOTS1150</x:v>
      </x:c>
      <x:c r="B469" s="53" t="str">
        <x:v>DIRECCIONAL GN 12 AMBAR UND</x:v>
      </x:c>
      <x:c r="C469" s="32" t="n">
        <x:v>1</x:v>
      </x:c>
      <x:c r="D469" s="38" t="n">
        <x:v>1</x:v>
      </x:c>
      <x:c r="E469" s="44" t="n">
        <x:v>5000</x:v>
      </x:c>
      <x:c r="F469" s="44" t="n">
        <x:v>5000</x:v>
      </x:c>
      <x:c r="G469" s="41" t="n">
        <x:v>1</x:v>
      </x:c>
      <x:c r="H469" s="44" t="n">
        <x:f>MAX(G469,0)*E469</x:f>
        <x:v>5000</x:v>
      </x:c>
      <x:c r="I469" s="38" t="n">
        <x:v>0</x:v>
      </x:c>
      <x:c r="J469" s="44" t="n">
        <x:v>0</x:v>
      </x:c>
      <x:c r="K469" s="32" t="n">
        <x:v>0</x:v>
      </x:c>
      <x:c r="L469" s="50"/>
      <x:c r="M469" s="50"/>
      <x:c r="N469" s="32" t="str">
        <x:f>IF(M469="","",MAX(0,'Resumen'!$B$3-M469))</x:f>
      </x:c>
      <x:c r="O469" s="38" t="n">
        <x:v>0</x:v>
      </x:c>
      <x:c r="P469" s="38" t="n">
        <x:v>0</x:v>
      </x:c>
      <x:c r="Q469" s="38" t="n">
        <x:v>0</x:v>
      </x:c>
      <x:c r="R469" s="38" t="n">
        <x:f>MIN(D469,I469)</x:f>
        <x:v>0</x:v>
      </x:c>
      <x:c r="S469" s="47" t="n">
        <x:f>IFERROR(R469/D469,0)</x:f>
        <x:v>0</x:v>
      </x:c>
      <x:c r="T469" s="38" t="n">
        <x:f>MIN(MAX(G469,0),MAX(D469-I469,0))</x:f>
        <x:v>1</x:v>
      </x:c>
      <x:c r="U469" s="44" t="n">
        <x:f>T469*E469</x:f>
        <x:v>5000</x:v>
      </x:c>
      <x:c r="V469" s="38" t="n">
        <x:v>0</x:v>
      </x:c>
      <x:c r="W469" s="32" t="n">
        <x:v>0</x:v>
      </x:c>
      <x:c r="X469" s="50"/>
      <x:c r="Y469" s="44" t="n">
        <x:v>8500</x:v>
      </x:c>
      <x:c r="Z469" s="44" t="n">
        <x:f>IF(I469&gt;0,R469*(J469/I469),0)</x:f>
        <x:v>0</x:v>
      </x:c>
      <x:c r="AA469" s="44" t="n">
        <x:f>Z469-(R469*E469)</x:f>
        <x:v>0</x:v>
      </x:c>
      <x:c r="AB469" s="47" t="n">
        <x:f>IFERROR(AA469/Z469,0)</x:f>
        <x:v>0</x:v>
      </x:c>
      <x:c r="AC469" s="32" t="str">
        <x:f>IF(S469=0,"0%",IF(S469&lt;0.5,"1-49%",IF(S469&lt;0.8,"50-79%",IF(S469&lt;1,"80-99%","100%"))))</x:f>
        <x:v>0%</x:v>
      </x:c>
      <x:c r="AD469" s="33" t="str">
        <x:f>IF(G469&lt;0,"Stock negativo",IF(G469&lt;=0,"Sin stock actual",IF(I469&lt;=0,"Sin ventas desde compra",IF(Q469&lt;=0,"Con stock, sin ventas 365d",IF(S469&lt;0.5,"Rotación baja",IF(S469&lt;1,"Rotación media","Compra absorbida; stock repuesto"))))))</x:f>
        <x:v>Sin ventas desde compra</x:v>
      </x:c>
    </x:row>
    <x:row r="470">
      <x:c r="A470" s="31" t="str">
        <x:v>MOTS1152</x:v>
      </x:c>
      <x:c r="B470" s="53" t="str">
        <x:v>DIRECCIONAL HAYATE UND</x:v>
      </x:c>
      <x:c r="C470" s="32" t="n">
        <x:v>1</x:v>
      </x:c>
      <x:c r="D470" s="38" t="n">
        <x:v>1</x:v>
      </x:c>
      <x:c r="E470" s="44" t="n">
        <x:v>5000</x:v>
      </x:c>
      <x:c r="F470" s="44" t="n">
        <x:v>5000</x:v>
      </x:c>
      <x:c r="G470" s="41" t="n">
        <x:v>0</x:v>
      </x:c>
      <x:c r="H470" s="44" t="n">
        <x:f>MAX(G470,0)*E470</x:f>
        <x:v>0</x:v>
      </x:c>
      <x:c r="I470" s="38" t="n">
        <x:v>1</x:v>
      </x:c>
      <x:c r="J470" s="44" t="n">
        <x:v>7000</x:v>
      </x:c>
      <x:c r="K470" s="32" t="n">
        <x:v>1</x:v>
      </x:c>
      <x:c r="L470" s="50" t="n">
        <x:v>45803.64175925926</x:v>
      </x:c>
      <x:c r="M470" s="50" t="n">
        <x:v>45803.64175925926</x:v>
      </x:c>
      <x:c r="N470" s="32" t="n">
        <x:f>IF(M470="","",MAX(0,'Resumen'!$B$3-M470))</x:f>
        <x:v>463.35824074073753</x:v>
      </x:c>
      <x:c r="O470" s="38" t="n">
        <x:v>0</x:v>
      </x:c>
      <x:c r="P470" s="38" t="n">
        <x:v>0</x:v>
      </x:c>
      <x:c r="Q470" s="38" t="n">
        <x:v>0</x:v>
      </x:c>
      <x:c r="R470" s="38" t="n">
        <x:f>MIN(D470,I470)</x:f>
        <x:v>1</x:v>
      </x:c>
      <x:c r="S470" s="47" t="n">
        <x:f>IFERROR(R470/D470,0)</x:f>
        <x:v>1</x:v>
      </x:c>
      <x:c r="T470" s="38" t="n">
        <x:f>MIN(MAX(G470,0),MAX(D470-I470,0))</x:f>
        <x:v>0</x:v>
      </x:c>
      <x:c r="U470" s="44" t="n">
        <x:f>T470*E470</x:f>
        <x:v>0</x:v>
      </x:c>
      <x:c r="V470" s="38" t="n">
        <x:v>0</x:v>
      </x:c>
      <x:c r="W470" s="32" t="n">
        <x:v>0</x:v>
      </x:c>
      <x:c r="X470" s="50"/>
      <x:c r="Y470" s="44" t="n">
        <x:v>8500</x:v>
      </x:c>
      <x:c r="Z470" s="44" t="n">
        <x:f>IF(I470&gt;0,R470*(J470/I470),0)</x:f>
        <x:v>7000</x:v>
      </x:c>
      <x:c r="AA470" s="44" t="n">
        <x:f>Z470-(R470*E470)</x:f>
        <x:v>2000</x:v>
      </x:c>
      <x:c r="AB470" s="47" t="n">
        <x:f>IFERROR(AA470/Z470,0)</x:f>
        <x:v>0.2857142857142857</x:v>
      </x:c>
      <x:c r="AC470" s="32" t="str">
        <x:f>IF(S470=0,"0%",IF(S470&lt;0.5,"1-49%",IF(S470&lt;0.8,"50-79%",IF(S470&lt;1,"80-99%","100%"))))</x:f>
        <x:v>100%</x:v>
      </x:c>
      <x:c r="AD470" s="33" t="str">
        <x:f>IF(G470&lt;0,"Stock negativo",IF(G470&lt;=0,"Sin stock actual",IF(I470&lt;=0,"Sin ventas desde compra",IF(Q470&lt;=0,"Con stock, sin ventas 365d",IF(S470&lt;0.5,"Rotación baja",IF(S470&lt;1,"Rotación media","Compra absorbida; stock repuesto"))))))</x:f>
        <x:v>Sin stock actual</x:v>
      </x:c>
    </x:row>
    <x:row r="471">
      <x:c r="A471" s="31" t="str">
        <x:v>MOTS1178</x:v>
      </x:c>
      <x:c r="B471" s="53" t="str">
        <x:v>MANIGUETA DER BIZ HONDA MOTO GAS</x:v>
      </x:c>
      <x:c r="C471" s="32" t="n">
        <x:v>1</x:v>
      </x:c>
      <x:c r="D471" s="38" t="n">
        <x:v>2</x:v>
      </x:c>
      <x:c r="E471" s="44" t="n">
        <x:v>2500</x:v>
      </x:c>
      <x:c r="F471" s="44" t="n">
        <x:v>5000</x:v>
      </x:c>
      <x:c r="G471" s="41" t="n">
        <x:v>1</x:v>
      </x:c>
      <x:c r="H471" s="44" t="n">
        <x:f>MAX(G471,0)*E471</x:f>
        <x:v>2500</x:v>
      </x:c>
      <x:c r="I471" s="38" t="n">
        <x:v>1</x:v>
      </x:c>
      <x:c r="J471" s="44" t="n">
        <x:v>4500</x:v>
      </x:c>
      <x:c r="K471" s="32" t="n">
        <x:v>1</x:v>
      </x:c>
      <x:c r="L471" s="50" t="n">
        <x:v>45588.56199074074</x:v>
      </x:c>
      <x:c r="M471" s="50" t="n">
        <x:v>45588.56199074074</x:v>
      </x:c>
      <x:c r="N471" s="32" t="n">
        <x:f>IF(M471="","",MAX(0,'Resumen'!$B$3-M471))</x:f>
        <x:v>678.4380092592619</x:v>
      </x:c>
      <x:c r="O471" s="38" t="n">
        <x:v>0</x:v>
      </x:c>
      <x:c r="P471" s="38" t="n">
        <x:v>0</x:v>
      </x:c>
      <x:c r="Q471" s="38" t="n">
        <x:v>0</x:v>
      </x:c>
      <x:c r="R471" s="38" t="n">
        <x:f>MIN(D471,I471)</x:f>
        <x:v>1</x:v>
      </x:c>
      <x:c r="S471" s="47" t="n">
        <x:f>IFERROR(R471/D471,0)</x:f>
        <x:v>0.5</x:v>
      </x:c>
      <x:c r="T471" s="38" t="n">
        <x:f>MIN(MAX(G471,0),MAX(D471-I471,0))</x:f>
        <x:v>1</x:v>
      </x:c>
      <x:c r="U471" s="44" t="n">
        <x:f>T471*E471</x:f>
        <x:v>2500</x:v>
      </x:c>
      <x:c r="V471" s="38" t="n">
        <x:v>0</x:v>
      </x:c>
      <x:c r="W471" s="32" t="n">
        <x:v>0</x:v>
      </x:c>
      <x:c r="X471" s="50"/>
      <x:c r="Y471" s="44" t="n">
        <x:v>4500</x:v>
      </x:c>
      <x:c r="Z471" s="44" t="n">
        <x:f>IF(I471&gt;0,R471*(J471/I471),0)</x:f>
        <x:v>4500</x:v>
      </x:c>
      <x:c r="AA471" s="44" t="n">
        <x:f>Z471-(R471*E471)</x:f>
        <x:v>2000</x:v>
      </x:c>
      <x:c r="AB471" s="47" t="n">
        <x:f>IFERROR(AA471/Z471,0)</x:f>
        <x:v>0.4444444444444444</x:v>
      </x:c>
      <x:c r="AC471" s="32" t="str">
        <x:f>IF(S471=0,"0%",IF(S471&lt;0.5,"1-49%",IF(S471&lt;0.8,"50-79%",IF(S471&lt;1,"80-99%","100%"))))</x:f>
        <x:v>50-79%</x:v>
      </x:c>
      <x:c r="AD471" s="33" t="str">
        <x:f>IF(G471&lt;0,"Stock negativo",IF(G471&lt;=0,"Sin stock actual",IF(I471&lt;=0,"Sin ventas desde compra",IF(Q471&lt;=0,"Con stock, sin ventas 365d",IF(S471&lt;0.5,"Rotación baja",IF(S471&lt;1,"Rotación media","Compra absorbida; stock repuesto"))))))</x:f>
        <x:v>Con stock, sin ventas 365d</x:v>
      </x:c>
    </x:row>
    <x:row r="472">
      <x:c r="A472" s="31" t="str">
        <x:v>MOTS1195</x:v>
      </x:c>
      <x:c r="B472" s="53" t="str">
        <x:v>SOKE TRICETRA</x:v>
      </x:c>
      <x:c r="C472" s="32" t="n">
        <x:v>1</x:v>
      </x:c>
      <x:c r="D472" s="38" t="n">
        <x:v>2</x:v>
      </x:c>
      <x:c r="E472" s="44" t="n">
        <x:v>2500</x:v>
      </x:c>
      <x:c r="F472" s="44" t="n">
        <x:v>5000</x:v>
      </x:c>
      <x:c r="G472" s="41" t="n">
        <x:v>0</x:v>
      </x:c>
      <x:c r="H472" s="44" t="n">
        <x:f>MAX(G472,0)*E472</x:f>
        <x:v>0</x:v>
      </x:c>
      <x:c r="I472" s="38" t="n">
        <x:v>2</x:v>
      </x:c>
      <x:c r="J472" s="44" t="n">
        <x:v>9000</x:v>
      </x:c>
      <x:c r="K472" s="32" t="n">
        <x:v>1</x:v>
      </x:c>
      <x:c r="L472" s="50" t="n">
        <x:v>45558.705347222225</x:v>
      </x:c>
      <x:c r="M472" s="50" t="n">
        <x:v>45558.705347222225</x:v>
      </x:c>
      <x:c r="N472" s="32" t="n">
        <x:f>IF(M472="","",MAX(0,'Resumen'!$B$3-M472))</x:f>
        <x:v>708.2946527777749</x:v>
      </x:c>
      <x:c r="O472" s="38" t="n">
        <x:v>0</x:v>
      </x:c>
      <x:c r="P472" s="38" t="n">
        <x:v>0</x:v>
      </x:c>
      <x:c r="Q472" s="38" t="n">
        <x:v>0</x:v>
      </x:c>
      <x:c r="R472" s="38" t="n">
        <x:f>MIN(D472,I472)</x:f>
        <x:v>2</x:v>
      </x:c>
      <x:c r="S472" s="47" t="n">
        <x:f>IFERROR(R472/D472,0)</x:f>
        <x:v>1</x:v>
      </x:c>
      <x:c r="T472" s="38" t="n">
        <x:f>MIN(MAX(G472,0),MAX(D472-I472,0))</x:f>
        <x:v>0</x:v>
      </x:c>
      <x:c r="U472" s="44" t="n">
        <x:f>T472*E472</x:f>
        <x:v>0</x:v>
      </x:c>
      <x:c r="V472" s="38" t="n">
        <x:v>0</x:v>
      </x:c>
      <x:c r="W472" s="32" t="n">
        <x:v>0</x:v>
      </x:c>
      <x:c r="X472" s="50"/>
      <x:c r="Y472" s="44" t="n">
        <x:v>4500</x:v>
      </x:c>
      <x:c r="Z472" s="44" t="n">
        <x:f>IF(I472&gt;0,R472*(J472/I472),0)</x:f>
        <x:v>9000</x:v>
      </x:c>
      <x:c r="AA472" s="44" t="n">
        <x:f>Z472-(R472*E472)</x:f>
        <x:v>4000</x:v>
      </x:c>
      <x:c r="AB472" s="47" t="n">
        <x:f>IFERROR(AA472/Z472,0)</x:f>
        <x:v>0.4444444444444444</x:v>
      </x:c>
      <x:c r="AC472" s="32" t="str">
        <x:f>IF(S472=0,"0%",IF(S472&lt;0.5,"1-49%",IF(S472&lt;0.8,"50-79%",IF(S472&lt;1,"80-99%","100%"))))</x:f>
        <x:v>100%</x:v>
      </x:c>
      <x:c r="AD472" s="33" t="str">
        <x:f>IF(G472&lt;0,"Stock negativo",IF(G472&lt;=0,"Sin stock actual",IF(I472&lt;=0,"Sin ventas desde compra",IF(Q472&lt;=0,"Con stock, sin ventas 365d",IF(S472&lt;0.5,"Rotación baja",IF(S472&lt;1,"Rotación media","Compra absorbida; stock repuesto"))))))</x:f>
        <x:v>Sin stock actual</x:v>
      </x:c>
    </x:row>
    <x:row r="473">
      <x:c r="A473" s="31" t="str">
        <x:v>MOTS1257</x:v>
      </x:c>
      <x:c r="B473" s="53" t="str">
        <x:v>GUAYA SOLA CLUCTH 7X7 6X10MM SYK</x:v>
      </x:c>
      <x:c r="C473" s="32" t="n">
        <x:v>1</x:v>
      </x:c>
      <x:c r="D473" s="38" t="n">
        <x:v>10</x:v>
      </x:c>
      <x:c r="E473" s="44" t="n">
        <x:v>500</x:v>
      </x:c>
      <x:c r="F473" s="44" t="n">
        <x:v>5000</x:v>
      </x:c>
      <x:c r="G473" s="41" t="n">
        <x:v>7</x:v>
      </x:c>
      <x:c r="H473" s="44" t="n">
        <x:f>MAX(G473,0)*E473</x:f>
        <x:v>3500</x:v>
      </x:c>
      <x:c r="I473" s="38" t="n">
        <x:v>3</x:v>
      </x:c>
      <x:c r="J473" s="44" t="n">
        <x:v>3000</x:v>
      </x:c>
      <x:c r="K473" s="32" t="n">
        <x:v>3</x:v>
      </x:c>
      <x:c r="L473" s="50" t="n">
        <x:v>45578.64540509259</x:v>
      </x:c>
      <x:c r="M473" s="50" t="n">
        <x:v>45680.861550925925</x:v>
      </x:c>
      <x:c r="N473" s="32" t="n">
        <x:f>IF(M473="","",MAX(0,'Resumen'!$B$3-M473))</x:f>
        <x:v>586.1384490740747</x:v>
      </x:c>
      <x:c r="O473" s="38" t="n">
        <x:v>0</x:v>
      </x:c>
      <x:c r="P473" s="38" t="n">
        <x:v>0</x:v>
      </x:c>
      <x:c r="Q473" s="38" t="n">
        <x:v>0</x:v>
      </x:c>
      <x:c r="R473" s="38" t="n">
        <x:f>MIN(D473,I473)</x:f>
        <x:v>3</x:v>
      </x:c>
      <x:c r="S473" s="47" t="n">
        <x:f>IFERROR(R473/D473,0)</x:f>
        <x:v>0.3</x:v>
      </x:c>
      <x:c r="T473" s="38" t="n">
        <x:f>MIN(MAX(G473,0),MAX(D473-I473,0))</x:f>
        <x:v>7</x:v>
      </x:c>
      <x:c r="U473" s="44" t="n">
        <x:f>T473*E473</x:f>
        <x:v>3500</x:v>
      </x:c>
      <x:c r="V473" s="38" t="n">
        <x:v>0</x:v>
      </x:c>
      <x:c r="W473" s="32" t="n">
        <x:v>0</x:v>
      </x:c>
      <x:c r="X473" s="50"/>
      <x:c r="Y473" s="44" t="n">
        <x:v>1000</x:v>
      </x:c>
      <x:c r="Z473" s="44" t="n">
        <x:f>IF(I473&gt;0,R473*(J473/I473),0)</x:f>
        <x:v>3000</x:v>
      </x:c>
      <x:c r="AA473" s="44" t="n">
        <x:f>Z473-(R473*E473)</x:f>
        <x:v>1500</x:v>
      </x:c>
      <x:c r="AB473" s="47" t="n">
        <x:f>IFERROR(AA473/Z473,0)</x:f>
        <x:v>0.5</x:v>
      </x:c>
      <x:c r="AC473" s="32" t="str">
        <x:f>IF(S473=0,"0%",IF(S473&lt;0.5,"1-49%",IF(S473&lt;0.8,"50-79%",IF(S473&lt;1,"80-99%","100%"))))</x:f>
        <x:v>1-49%</x:v>
      </x:c>
      <x:c r="AD473" s="33" t="str">
        <x:f>IF(G473&lt;0,"Stock negativo",IF(G473&lt;=0,"Sin stock actual",IF(I473&lt;=0,"Sin ventas desde compra",IF(Q473&lt;=0,"Con stock, sin ventas 365d",IF(S473&lt;0.5,"Rotación baja",IF(S473&lt;1,"Rotación media","Compra absorbida; stock repuesto"))))))</x:f>
        <x:v>Con stock, sin ventas 365d</x:v>
      </x:c>
    </x:row>
    <x:row r="474">
      <x:c r="A474" s="31" t="str">
        <x:v>MOTS1269</x:v>
      </x:c>
      <x:c r="B474" s="53" t="str">
        <x:v>GUAYA ACELERADOR XLR GUALITY</x:v>
      </x:c>
      <x:c r="C474" s="32" t="n">
        <x:v>1</x:v>
      </x:c>
      <x:c r="D474" s="38" t="n">
        <x:v>1</x:v>
      </x:c>
      <x:c r="E474" s="44" t="n">
        <x:v>5000</x:v>
      </x:c>
      <x:c r="F474" s="44" t="n">
        <x:v>5000</x:v>
      </x:c>
      <x:c r="G474" s="41" t="n">
        <x:v>1</x:v>
      </x:c>
      <x:c r="H474" s="44" t="n">
        <x:f>MAX(G474,0)*E474</x:f>
        <x:v>5000</x:v>
      </x:c>
      <x:c r="I474" s="38" t="n">
        <x:v>0</x:v>
      </x:c>
      <x:c r="J474" s="44" t="n">
        <x:v>0</x:v>
      </x:c>
      <x:c r="K474" s="32" t="n">
        <x:v>0</x:v>
      </x:c>
      <x:c r="L474" s="50"/>
      <x:c r="M474" s="50"/>
      <x:c r="N474" s="32" t="str">
        <x:f>IF(M474="","",MAX(0,'Resumen'!$B$3-M474))</x:f>
      </x:c>
      <x:c r="O474" s="38" t="n">
        <x:v>0</x:v>
      </x:c>
      <x:c r="P474" s="38" t="n">
        <x:v>0</x:v>
      </x:c>
      <x:c r="Q474" s="38" t="n">
        <x:v>0</x:v>
      </x:c>
      <x:c r="R474" s="38" t="n">
        <x:f>MIN(D474,I474)</x:f>
        <x:v>0</x:v>
      </x:c>
      <x:c r="S474" s="47" t="n">
        <x:f>IFERROR(R474/D474,0)</x:f>
        <x:v>0</x:v>
      </x:c>
      <x:c r="T474" s="38" t="n">
        <x:f>MIN(MAX(G474,0),MAX(D474-I474,0))</x:f>
        <x:v>1</x:v>
      </x:c>
      <x:c r="U474" s="44" t="n">
        <x:f>T474*E474</x:f>
        <x:v>5000</x:v>
      </x:c>
      <x:c r="V474" s="38" t="n">
        <x:v>0</x:v>
      </x:c>
      <x:c r="W474" s="32" t="n">
        <x:v>0</x:v>
      </x:c>
      <x:c r="X474" s="50"/>
      <x:c r="Y474" s="44" t="n">
        <x:v>9000</x:v>
      </x:c>
      <x:c r="Z474" s="44" t="n">
        <x:f>IF(I474&gt;0,R474*(J474/I474),0)</x:f>
        <x:v>0</x:v>
      </x:c>
      <x:c r="AA474" s="44" t="n">
        <x:f>Z474-(R474*E474)</x:f>
        <x:v>0</x:v>
      </x:c>
      <x:c r="AB474" s="47" t="n">
        <x:f>IFERROR(AA474/Z474,0)</x:f>
        <x:v>0</x:v>
      </x:c>
      <x:c r="AC474" s="32" t="str">
        <x:f>IF(S474=0,"0%",IF(S474&lt;0.5,"1-49%",IF(S474&lt;0.8,"50-79%",IF(S474&lt;1,"80-99%","100%"))))</x:f>
        <x:v>0%</x:v>
      </x:c>
      <x:c r="AD474" s="33" t="str">
        <x:f>IF(G474&lt;0,"Stock negativo",IF(G474&lt;=0,"Sin stock actual",IF(I474&lt;=0,"Sin ventas desde compra",IF(Q474&lt;=0,"Con stock, sin ventas 365d",IF(S474&lt;0.5,"Rotación baja",IF(S474&lt;1,"Rotación media","Compra absorbida; stock repuesto"))))))</x:f>
        <x:v>Sin ventas desde compra</x:v>
      </x:c>
    </x:row>
    <x:row r="475">
      <x:c r="A475" s="31" t="str">
        <x:v>MOTS1413</x:v>
      </x:c>
      <x:c r="B475" s="53" t="str">
        <x:v>FILTRO DE ACIETE  PULSAR 200</x:v>
      </x:c>
      <x:c r="C475" s="32" t="n">
        <x:v>1</x:v>
      </x:c>
      <x:c r="D475" s="38" t="n">
        <x:v>1</x:v>
      </x:c>
      <x:c r="E475" s="44" t="n">
        <x:v>4800</x:v>
      </x:c>
      <x:c r="F475" s="44" t="n">
        <x:v>4800</x:v>
      </x:c>
      <x:c r="G475" s="41" t="n">
        <x:v>0</x:v>
      </x:c>
      <x:c r="H475" s="44" t="n">
        <x:f>MAX(G475,0)*E475</x:f>
        <x:v>0</x:v>
      </x:c>
      <x:c r="I475" s="38" t="n">
        <x:v>1</x:v>
      </x:c>
      <x:c r="J475" s="44" t="n">
        <x:v>10000</x:v>
      </x:c>
      <x:c r="K475" s="32" t="n">
        <x:v>1</x:v>
      </x:c>
      <x:c r="L475" s="50" t="n">
        <x:v>45548.81082175926</x:v>
      </x:c>
      <x:c r="M475" s="50" t="n">
        <x:v>45548.81082175926</x:v>
      </x:c>
      <x:c r="N475" s="32" t="n">
        <x:f>IF(M475="","",MAX(0,'Resumen'!$B$3-M475))</x:f>
        <x:v>718.1891782407401</x:v>
      </x:c>
      <x:c r="O475" s="38" t="n">
        <x:v>0</x:v>
      </x:c>
      <x:c r="P475" s="38" t="n">
        <x:v>0</x:v>
      </x:c>
      <x:c r="Q475" s="38" t="n">
        <x:v>0</x:v>
      </x:c>
      <x:c r="R475" s="38" t="n">
        <x:f>MIN(D475,I475)</x:f>
        <x:v>1</x:v>
      </x:c>
      <x:c r="S475" s="47" t="n">
        <x:f>IFERROR(R475/D475,0)</x:f>
        <x:v>1</x:v>
      </x:c>
      <x:c r="T475" s="38" t="n">
        <x:f>MIN(MAX(G475,0),MAX(D475-I475,0))</x:f>
        <x:v>0</x:v>
      </x:c>
      <x:c r="U475" s="44" t="n">
        <x:f>T475*E475</x:f>
        <x:v>0</x:v>
      </x:c>
      <x:c r="V475" s="38" t="n">
        <x:v>0</x:v>
      </x:c>
      <x:c r="W475" s="32" t="n">
        <x:v>0</x:v>
      </x:c>
      <x:c r="X475" s="50"/>
      <x:c r="Y475" s="44" t="n">
        <x:v>10000</x:v>
      </x:c>
      <x:c r="Z475" s="44" t="n">
        <x:f>IF(I475&gt;0,R475*(J475/I475),0)</x:f>
        <x:v>10000</x:v>
      </x:c>
      <x:c r="AA475" s="44" t="n">
        <x:f>Z475-(R475*E475)</x:f>
        <x:v>5200</x:v>
      </x:c>
      <x:c r="AB475" s="47" t="n">
        <x:f>IFERROR(AA475/Z475,0)</x:f>
        <x:v>0.52</x:v>
      </x:c>
      <x:c r="AC475" s="32" t="str">
        <x:f>IF(S475=0,"0%",IF(S475&lt;0.5,"1-49%",IF(S475&lt;0.8,"50-79%",IF(S475&lt;1,"80-99%","100%"))))</x:f>
        <x:v>100%</x:v>
      </x:c>
      <x:c r="AD475" s="33" t="str">
        <x:f>IF(G475&lt;0,"Stock negativo",IF(G475&lt;=0,"Sin stock actual",IF(I475&lt;=0,"Sin ventas desde compra",IF(Q475&lt;=0,"Con stock, sin ventas 365d",IF(S475&lt;0.5,"Rotación baja",IF(S475&lt;1,"Rotación media","Compra absorbida; stock repuesto"))))))</x:f>
        <x:v>Sin stock actual</x:v>
      </x:c>
    </x:row>
    <x:row r="476">
      <x:c r="A476" s="31" t="str">
        <x:v>MOTS1010</x:v>
      </x:c>
      <x:c r="B476" s="53" t="str">
        <x:v>LUBRICANTE CADENA CADENAMAX</x:v>
      </x:c>
      <x:c r="C476" s="32" t="n">
        <x:v>1</x:v>
      </x:c>
      <x:c r="D476" s="38" t="n">
        <x:v>1</x:v>
      </x:c>
      <x:c r="E476" s="44" t="n">
        <x:v>4700</x:v>
      </x:c>
      <x:c r="F476" s="44" t="n">
        <x:v>4700</x:v>
      </x:c>
      <x:c r="G476" s="41" t="n">
        <x:v>0</x:v>
      </x:c>
      <x:c r="H476" s="44" t="n">
        <x:f>MAX(G476,0)*E476</x:f>
        <x:v>0</x:v>
      </x:c>
      <x:c r="I476" s="38" t="n">
        <x:v>1</x:v>
      </x:c>
      <x:c r="J476" s="44" t="n">
        <x:v>8000</x:v>
      </x:c>
      <x:c r="K476" s="32" t="n">
        <x:v>1</x:v>
      </x:c>
      <x:c r="L476" s="50" t="n">
        <x:v>45524.82258101852</x:v>
      </x:c>
      <x:c r="M476" s="50" t="n">
        <x:v>45524.82258101852</x:v>
      </x:c>
      <x:c r="N476" s="32" t="n">
        <x:f>IF(M476="","",MAX(0,'Resumen'!$B$3-M476))</x:f>
        <x:v>742.1774189814823</x:v>
      </x:c>
      <x:c r="O476" s="38" t="n">
        <x:v>0</x:v>
      </x:c>
      <x:c r="P476" s="38" t="n">
        <x:v>0</x:v>
      </x:c>
      <x:c r="Q476" s="38" t="n">
        <x:v>0</x:v>
      </x:c>
      <x:c r="R476" s="38" t="n">
        <x:f>MIN(D476,I476)</x:f>
        <x:v>1</x:v>
      </x:c>
      <x:c r="S476" s="47" t="n">
        <x:f>IFERROR(R476/D476,0)</x:f>
        <x:v>1</x:v>
      </x:c>
      <x:c r="T476" s="38" t="n">
        <x:f>MIN(MAX(G476,0),MAX(D476-I476,0))</x:f>
        <x:v>0</x:v>
      </x:c>
      <x:c r="U476" s="44" t="n">
        <x:f>T476*E476</x:f>
        <x:v>0</x:v>
      </x:c>
      <x:c r="V476" s="38" t="n">
        <x:v>0</x:v>
      </x:c>
      <x:c r="W476" s="32" t="n">
        <x:v>0</x:v>
      </x:c>
      <x:c r="X476" s="50"/>
      <x:c r="Y476" s="44" t="n">
        <x:v>8000</x:v>
      </x:c>
      <x:c r="Z476" s="44" t="n">
        <x:f>IF(I476&gt;0,R476*(J476/I476),0)</x:f>
        <x:v>8000</x:v>
      </x:c>
      <x:c r="AA476" s="44" t="n">
        <x:f>Z476-(R476*E476)</x:f>
        <x:v>3300</x:v>
      </x:c>
      <x:c r="AB476" s="47" t="n">
        <x:f>IFERROR(AA476/Z476,0)</x:f>
        <x:v>0.4125</x:v>
      </x:c>
      <x:c r="AC476" s="32" t="str">
        <x:f>IF(S476=0,"0%",IF(S476&lt;0.5,"1-49%",IF(S476&lt;0.8,"50-79%",IF(S476&lt;1,"80-99%","100%"))))</x:f>
        <x:v>100%</x:v>
      </x:c>
      <x:c r="AD476" s="33" t="str">
        <x:f>IF(G476&lt;0,"Stock negativo",IF(G476&lt;=0,"Sin stock actual",IF(I476&lt;=0,"Sin ventas desde compra",IF(Q476&lt;=0,"Con stock, sin ventas 365d",IF(S476&lt;0.5,"Rotación baja",IF(S476&lt;1,"Rotación media","Compra absorbida; stock repuesto"))))))</x:f>
        <x:v>Sin stock actual</x:v>
      </x:c>
    </x:row>
    <x:row r="477">
      <x:c r="A477" s="31" t="str">
        <x:v>OR-006</x:v>
      </x:c>
      <x:c r="B477" s="53" t="str">
        <x:v>ORING 1/8</x:v>
      </x:c>
      <x:c r="C477" s="32" t="n">
        <x:v>1</x:v>
      </x:c>
      <x:c r="D477" s="38" t="n">
        <x:v>14</x:v>
      </x:c>
      <x:c r="E477" s="44" t="n">
        <x:v>335</x:v>
      </x:c>
      <x:c r="F477" s="44" t="n">
        <x:v>4690</x:v>
      </x:c>
      <x:c r="G477" s="41" t="n">
        <x:v>8</x:v>
      </x:c>
      <x:c r="H477" s="44" t="n">
        <x:f>MAX(G477,0)*E477</x:f>
        <x:v>2680</x:v>
      </x:c>
      <x:c r="I477" s="38" t="n">
        <x:v>6</x:v>
      </x:c>
      <x:c r="J477" s="44" t="n">
        <x:v>3600</x:v>
      </x:c>
      <x:c r="K477" s="32" t="n">
        <x:v>3</x:v>
      </x:c>
      <x:c r="L477" s="50" t="n">
        <x:v>45609.707766203705</x:v>
      </x:c>
      <x:c r="M477" s="50" t="n">
        <x:v>45834.841828703706</x:v>
      </x:c>
      <x:c r="N477" s="32" t="n">
        <x:f>IF(M477="","",MAX(0,'Resumen'!$B$3-M477))</x:f>
        <x:v>432.1581712962943</x:v>
      </x:c>
      <x:c r="O477" s="38" t="n">
        <x:v>0</x:v>
      </x:c>
      <x:c r="P477" s="38" t="n">
        <x:v>0</x:v>
      </x:c>
      <x:c r="Q477" s="38" t="n">
        <x:v>0</x:v>
      </x:c>
      <x:c r="R477" s="38" t="n">
        <x:f>MIN(D477,I477)</x:f>
        <x:v>6</x:v>
      </x:c>
      <x:c r="S477" s="47" t="n">
        <x:f>IFERROR(R477/D477,0)</x:f>
        <x:v>0.42857142857142855</x:v>
      </x:c>
      <x:c r="T477" s="38" t="n">
        <x:f>MIN(MAX(G477,0),MAX(D477-I477,0))</x:f>
        <x:v>8</x:v>
      </x:c>
      <x:c r="U477" s="44" t="n">
        <x:f>T477*E477</x:f>
        <x:v>2680</x:v>
      </x:c>
      <x:c r="V477" s="38" t="n">
        <x:v>0</x:v>
      </x:c>
      <x:c r="W477" s="32" t="n">
        <x:v>0</x:v>
      </x:c>
      <x:c r="X477" s="50"/>
      <x:c r="Y477" s="44" t="n">
        <x:v>600</x:v>
      </x:c>
      <x:c r="Z477" s="44" t="n">
        <x:f>IF(I477&gt;0,R477*(J477/I477),0)</x:f>
        <x:v>3600</x:v>
      </x:c>
      <x:c r="AA477" s="44" t="n">
        <x:f>Z477-(R477*E477)</x:f>
        <x:v>1590</x:v>
      </x:c>
      <x:c r="AB477" s="47" t="n">
        <x:f>IFERROR(AA477/Z477,0)</x:f>
        <x:v>0.44166666666666665</x:v>
      </x:c>
      <x:c r="AC477" s="32" t="str">
        <x:f>IF(S477=0,"0%",IF(S477&lt;0.5,"1-49%",IF(S477&lt;0.8,"50-79%",IF(S477&lt;1,"80-99%","100%"))))</x:f>
        <x:v>1-49%</x:v>
      </x:c>
      <x:c r="AD477" s="33" t="str">
        <x:f>IF(G477&lt;0,"Stock negativo",IF(G477&lt;=0,"Sin stock actual",IF(I477&lt;=0,"Sin ventas desde compra",IF(Q477&lt;=0,"Con stock, sin ventas 365d",IF(S477&lt;0.5,"Rotación baja",IF(S477&lt;1,"Rotación media","Compra absorbida; stock repuesto"))))))</x:f>
        <x:v>Con stock, sin ventas 365d</x:v>
      </x:c>
    </x:row>
    <x:row r="478">
      <x:c r="A478" s="31" t="str">
        <x:v>GUA-051313</x:v>
      </x:c>
      <x:c r="B478" s="53" t="str">
        <x:v>GUAYA ACELADOR FZ 20 INYECCION No. 2 SYK</x:v>
      </x:c>
      <x:c r="C478" s="32" t="n">
        <x:v>1</x:v>
      </x:c>
      <x:c r="D478" s="38" t="n">
        <x:v>1</x:v>
      </x:c>
      <x:c r="E478" s="44" t="n">
        <x:v>4600</x:v>
      </x:c>
      <x:c r="F478" s="44" t="n">
        <x:v>4600</x:v>
      </x:c>
      <x:c r="G478" s="41" t="n">
        <x:v>1</x:v>
      </x:c>
      <x:c r="H478" s="44" t="n">
        <x:f>MAX(G478,0)*E478</x:f>
        <x:v>4600</x:v>
      </x:c>
      <x:c r="I478" s="38" t="n">
        <x:v>0</x:v>
      </x:c>
      <x:c r="J478" s="44" t="n">
        <x:v>0</x:v>
      </x:c>
      <x:c r="K478" s="32" t="n">
        <x:v>0</x:v>
      </x:c>
      <x:c r="L478" s="50"/>
      <x:c r="M478" s="50"/>
      <x:c r="N478" s="32" t="str">
        <x:f>IF(M478="","",MAX(0,'Resumen'!$B$3-M478))</x:f>
      </x:c>
      <x:c r="O478" s="38" t="n">
        <x:v>0</x:v>
      </x:c>
      <x:c r="P478" s="38" t="n">
        <x:v>0</x:v>
      </x:c>
      <x:c r="Q478" s="38" t="n">
        <x:v>0</x:v>
      </x:c>
      <x:c r="R478" s="38" t="n">
        <x:f>MIN(D478,I478)</x:f>
        <x:v>0</x:v>
      </x:c>
      <x:c r="S478" s="47" t="n">
        <x:f>IFERROR(R478/D478,0)</x:f>
        <x:v>0</x:v>
      </x:c>
      <x:c r="T478" s="38" t="n">
        <x:f>MIN(MAX(G478,0),MAX(D478-I478,0))</x:f>
        <x:v>1</x:v>
      </x:c>
      <x:c r="U478" s="44" t="n">
        <x:f>T478*E478</x:f>
        <x:v>4600</x:v>
      </x:c>
      <x:c r="V478" s="38" t="n">
        <x:v>0</x:v>
      </x:c>
      <x:c r="W478" s="32" t="n">
        <x:v>0</x:v>
      </x:c>
      <x:c r="X478" s="50"/>
      <x:c r="Y478" s="44" t="n">
        <x:v>8000</x:v>
      </x:c>
      <x:c r="Z478" s="44" t="n">
        <x:f>IF(I478&gt;0,R478*(J478/I478),0)</x:f>
        <x:v>0</x:v>
      </x:c>
      <x:c r="AA478" s="44" t="n">
        <x:f>Z478-(R478*E478)</x:f>
        <x:v>0</x:v>
      </x:c>
      <x:c r="AB478" s="47" t="n">
        <x:f>IFERROR(AA478/Z478,0)</x:f>
        <x:v>0</x:v>
      </x:c>
      <x:c r="AC478" s="32" t="str">
        <x:f>IF(S478=0,"0%",IF(S478&lt;0.5,"1-49%",IF(S478&lt;0.8,"50-79%",IF(S478&lt;1,"80-99%","100%"))))</x:f>
        <x:v>0%</x:v>
      </x:c>
      <x:c r="AD478" s="33" t="str">
        <x:f>IF(G478&lt;0,"Stock negativo",IF(G478&lt;=0,"Sin stock actual",IF(I478&lt;=0,"Sin ventas desde compra",IF(Q478&lt;=0,"Con stock, sin ventas 365d",IF(S478&lt;0.5,"Rotación baja",IF(S478&lt;1,"Rotación media","Compra absorbida; stock repuesto"))))))</x:f>
        <x:v>Sin ventas desde compra</x:v>
      </x:c>
    </x:row>
    <x:row r="479">
      <x:c r="A479" s="31" t="str">
        <x:v>MOTS1219</x:v>
      </x:c>
      <x:c r="B479" s="53" t="str">
        <x:v>BALINERA 6203 2RS RODAMAIZ</x:v>
      </x:c>
      <x:c r="C479" s="32" t="n">
        <x:v>1</x:v>
      </x:c>
      <x:c r="D479" s="38" t="n">
        <x:v>1</x:v>
      </x:c>
      <x:c r="E479" s="44" t="n">
        <x:v>4600</x:v>
      </x:c>
      <x:c r="F479" s="44" t="n">
        <x:v>4600</x:v>
      </x:c>
      <x:c r="G479" s="41" t="n">
        <x:v>0</x:v>
      </x:c>
      <x:c r="H479" s="44" t="n">
        <x:f>MAX(G479,0)*E479</x:f>
        <x:v>0</x:v>
      </x:c>
      <x:c r="I479" s="38" t="n">
        <x:v>1</x:v>
      </x:c>
      <x:c r="J479" s="44" t="n">
        <x:v>8000</x:v>
      </x:c>
      <x:c r="K479" s="32" t="n">
        <x:v>1</x:v>
      </x:c>
      <x:c r="L479" s="50" t="n">
        <x:v>45553.93020833333</x:v>
      </x:c>
      <x:c r="M479" s="50" t="n">
        <x:v>45553.93020833333</x:v>
      </x:c>
      <x:c r="N479" s="32" t="n">
        <x:f>IF(M479="","",MAX(0,'Resumen'!$B$3-M479))</x:f>
        <x:v>713.0697916666686</x:v>
      </x:c>
      <x:c r="O479" s="38" t="n">
        <x:v>0</x:v>
      </x:c>
      <x:c r="P479" s="38" t="n">
        <x:v>0</x:v>
      </x:c>
      <x:c r="Q479" s="38" t="n">
        <x:v>0</x:v>
      </x:c>
      <x:c r="R479" s="38" t="n">
        <x:f>MIN(D479,I479)</x:f>
        <x:v>1</x:v>
      </x:c>
      <x:c r="S479" s="47" t="n">
        <x:f>IFERROR(R479/D479,0)</x:f>
        <x:v>1</x:v>
      </x:c>
      <x:c r="T479" s="38" t="n">
        <x:f>MIN(MAX(G479,0),MAX(D479-I479,0))</x:f>
        <x:v>0</x:v>
      </x:c>
      <x:c r="U479" s="44" t="n">
        <x:f>T479*E479</x:f>
        <x:v>0</x:v>
      </x:c>
      <x:c r="V479" s="38" t="n">
        <x:v>0</x:v>
      </x:c>
      <x:c r="W479" s="32" t="n">
        <x:v>0</x:v>
      </x:c>
      <x:c r="X479" s="50"/>
      <x:c r="Y479" s="44" t="n">
        <x:v>8000</x:v>
      </x:c>
      <x:c r="Z479" s="44" t="n">
        <x:f>IF(I479&gt;0,R479*(J479/I479),0)</x:f>
        <x:v>8000</x:v>
      </x:c>
      <x:c r="AA479" s="44" t="n">
        <x:f>Z479-(R479*E479)</x:f>
        <x:v>3400</x:v>
      </x:c>
      <x:c r="AB479" s="47" t="n">
        <x:f>IFERROR(AA479/Z479,0)</x:f>
        <x:v>0.425</x:v>
      </x:c>
      <x:c r="AC479" s="32" t="str">
        <x:f>IF(S479=0,"0%",IF(S479&lt;0.5,"1-49%",IF(S479&lt;0.8,"50-79%",IF(S479&lt;1,"80-99%","100%"))))</x:f>
        <x:v>100%</x:v>
      </x:c>
      <x:c r="AD479" s="33" t="str">
        <x:f>IF(G479&lt;0,"Stock negativo",IF(G479&lt;=0,"Sin stock actual",IF(I479&lt;=0,"Sin ventas desde compra",IF(Q479&lt;=0,"Con stock, sin ventas 365d",IF(S479&lt;0.5,"Rotación baja",IF(S479&lt;1,"Rotación media","Compra absorbida; stock repuesto"))))))</x:f>
        <x:v>Sin stock actual</x:v>
      </x:c>
    </x:row>
    <x:row r="480">
      <x:c r="A480" s="31" t="str">
        <x:v>4568</x:v>
      </x:c>
      <x:c r="B480" s="53" t="str">
        <x:v>TORNILLO HEX 6 x 75 MM CON NUCA</x:v>
      </x:c>
      <x:c r="C480" s="32" t="n">
        <x:v>1</x:v>
      </x:c>
      <x:c r="D480" s="38" t="n">
        <x:v>18</x:v>
      </x:c>
      <x:c r="E480" s="44" t="n">
        <x:v>250</x:v>
      </x:c>
      <x:c r="F480" s="44" t="n">
        <x:v>4500</x:v>
      </x:c>
      <x:c r="G480" s="41" t="n">
        <x:v>18</x:v>
      </x:c>
      <x:c r="H480" s="44" t="n">
        <x:f>MAX(G480,0)*E480</x:f>
        <x:v>4500</x:v>
      </x:c>
      <x:c r="I480" s="38" t="n">
        <x:v>0</x:v>
      </x:c>
      <x:c r="J480" s="44" t="n">
        <x:v>0</x:v>
      </x:c>
      <x:c r="K480" s="32" t="n">
        <x:v>0</x:v>
      </x:c>
      <x:c r="L480" s="50"/>
      <x:c r="M480" s="50"/>
      <x:c r="N480" s="32" t="str">
        <x:f>IF(M480="","",MAX(0,'Resumen'!$B$3-M480))</x:f>
      </x:c>
      <x:c r="O480" s="38" t="n">
        <x:v>0</x:v>
      </x:c>
      <x:c r="P480" s="38" t="n">
        <x:v>0</x:v>
      </x:c>
      <x:c r="Q480" s="38" t="n">
        <x:v>0</x:v>
      </x:c>
      <x:c r="R480" s="38" t="n">
        <x:f>MIN(D480,I480)</x:f>
        <x:v>0</x:v>
      </x:c>
      <x:c r="S480" s="47" t="n">
        <x:f>IFERROR(R480/D480,0)</x:f>
        <x:v>0</x:v>
      </x:c>
      <x:c r="T480" s="38" t="n">
        <x:f>MIN(MAX(G480,0),MAX(D480-I480,0))</x:f>
        <x:v>18</x:v>
      </x:c>
      <x:c r="U480" s="44" t="n">
        <x:f>T480*E480</x:f>
        <x:v>4500</x:v>
      </x:c>
      <x:c r="V480" s="38" t="n">
        <x:v>0</x:v>
      </x:c>
      <x:c r="W480" s="32" t="n">
        <x:v>0</x:v>
      </x:c>
      <x:c r="X480" s="50"/>
      <x:c r="Y480" s="44" t="n">
        <x:v>800</x:v>
      </x:c>
      <x:c r="Z480" s="44" t="n">
        <x:f>IF(I480&gt;0,R480*(J480/I480),0)</x:f>
        <x:v>0</x:v>
      </x:c>
      <x:c r="AA480" s="44" t="n">
        <x:f>Z480-(R480*E480)</x:f>
        <x:v>0</x:v>
      </x:c>
      <x:c r="AB480" s="47" t="n">
        <x:f>IFERROR(AA480/Z480,0)</x:f>
        <x:v>0</x:v>
      </x:c>
      <x:c r="AC480" s="32" t="str">
        <x:f>IF(S480=0,"0%",IF(S480&lt;0.5,"1-49%",IF(S480&lt;0.8,"50-79%",IF(S480&lt;1,"80-99%","100%"))))</x:f>
        <x:v>0%</x:v>
      </x:c>
      <x:c r="AD480" s="33" t="str">
        <x:f>IF(G480&lt;0,"Stock negativo",IF(G480&lt;=0,"Sin stock actual",IF(I480&lt;=0,"Sin ventas desde compra",IF(Q480&lt;=0,"Con stock, sin ventas 365d",IF(S480&lt;0.5,"Rotación baja",IF(S480&lt;1,"Rotación media","Compra absorbida; stock repuesto"))))))</x:f>
        <x:v>Sin ventas desde compra</x:v>
      </x:c>
    </x:row>
    <x:row r="481">
      <x:c r="A481" s="31" t="str">
        <x:v>MOTS1064</x:v>
      </x:c>
      <x:c r="B481" s="53" t="str">
        <x:v>RETEN 70-17-05</x:v>
      </x:c>
      <x:c r="C481" s="32" t="n">
        <x:v>1</x:v>
      </x:c>
      <x:c r="D481" s="38" t="n">
        <x:v>3</x:v>
      </x:c>
      <x:c r="E481" s="44" t="n">
        <x:v>1500</x:v>
      </x:c>
      <x:c r="F481" s="44" t="n">
        <x:v>4500</x:v>
      </x:c>
      <x:c r="G481" s="41" t="n">
        <x:v>3</x:v>
      </x:c>
      <x:c r="H481" s="44" t="n">
        <x:f>MAX(G481,0)*E481</x:f>
        <x:v>4500</x:v>
      </x:c>
      <x:c r="I481" s="38" t="n">
        <x:v>0</x:v>
      </x:c>
      <x:c r="J481" s="44" t="n">
        <x:v>0</x:v>
      </x:c>
      <x:c r="K481" s="32" t="n">
        <x:v>0</x:v>
      </x:c>
      <x:c r="L481" s="50"/>
      <x:c r="M481" s="50"/>
      <x:c r="N481" s="32" t="str">
        <x:f>IF(M481="","",MAX(0,'Resumen'!$B$3-M481))</x:f>
      </x:c>
      <x:c r="O481" s="38" t="n">
        <x:v>0</x:v>
      </x:c>
      <x:c r="P481" s="38" t="n">
        <x:v>0</x:v>
      </x:c>
      <x:c r="Q481" s="38" t="n">
        <x:v>0</x:v>
      </x:c>
      <x:c r="R481" s="38" t="n">
        <x:f>MIN(D481,I481)</x:f>
        <x:v>0</x:v>
      </x:c>
      <x:c r="S481" s="47" t="n">
        <x:f>IFERROR(R481/D481,0)</x:f>
        <x:v>0</x:v>
      </x:c>
      <x:c r="T481" s="38" t="n">
        <x:f>MIN(MAX(G481,0),MAX(D481-I481,0))</x:f>
        <x:v>3</x:v>
      </x:c>
      <x:c r="U481" s="44" t="n">
        <x:f>T481*E481</x:f>
        <x:v>4500</x:v>
      </x:c>
      <x:c r="V481" s="38" t="n">
        <x:v>0</x:v>
      </x:c>
      <x:c r="W481" s="32" t="n">
        <x:v>0</x:v>
      </x:c>
      <x:c r="X481" s="50"/>
      <x:c r="Y481" s="44" t="n">
        <x:v>2500</x:v>
      </x:c>
      <x:c r="Z481" s="44" t="n">
        <x:f>IF(I481&gt;0,R481*(J481/I481),0)</x:f>
        <x:v>0</x:v>
      </x:c>
      <x:c r="AA481" s="44" t="n">
        <x:f>Z481-(R481*E481)</x:f>
        <x:v>0</x:v>
      </x:c>
      <x:c r="AB481" s="47" t="n">
        <x:f>IFERROR(AA481/Z481,0)</x:f>
        <x:v>0</x:v>
      </x:c>
      <x:c r="AC481" s="32" t="str">
        <x:f>IF(S481=0,"0%",IF(S481&lt;0.5,"1-49%",IF(S481&lt;0.8,"50-79%",IF(S481&lt;1,"80-99%","100%"))))</x:f>
        <x:v>0%</x:v>
      </x:c>
      <x:c r="AD481" s="33" t="str">
        <x:f>IF(G481&lt;0,"Stock negativo",IF(G481&lt;=0,"Sin stock actual",IF(I481&lt;=0,"Sin ventas desde compra",IF(Q481&lt;=0,"Con stock, sin ventas 365d",IF(S481&lt;0.5,"Rotación baja",IF(S481&lt;1,"Rotación media","Compra absorbida; stock repuesto"))))))</x:f>
        <x:v>Sin ventas desde compra</x:v>
      </x:c>
    </x:row>
    <x:row r="482">
      <x:c r="A482" s="31" t="str">
        <x:v>MOTS1190</x:v>
      </x:c>
      <x:c r="B482" s="53" t="str">
        <x:v>MANIGUETA IZQ XT2 125 MOTOTEC</x:v>
      </x:c>
      <x:c r="C482" s="32" t="n">
        <x:v>1</x:v>
      </x:c>
      <x:c r="D482" s="38" t="n">
        <x:v>1</x:v>
      </x:c>
      <x:c r="E482" s="44" t="n">
        <x:v>4500</x:v>
      </x:c>
      <x:c r="F482" s="44" t="n">
        <x:v>4500</x:v>
      </x:c>
      <x:c r="G482" s="41" t="n">
        <x:v>0</x:v>
      </x:c>
      <x:c r="H482" s="44" t="n">
        <x:f>MAX(G482,0)*E482</x:f>
        <x:v>0</x:v>
      </x:c>
      <x:c r="I482" s="38" t="n">
        <x:v>1</x:v>
      </x:c>
      <x:c r="J482" s="44" t="n">
        <x:v>12000</x:v>
      </x:c>
      <x:c r="K482" s="32" t="n">
        <x:v>1</x:v>
      </x:c>
      <x:c r="L482" s="50" t="n">
        <x:v>45520.74847222222</x:v>
      </x:c>
      <x:c r="M482" s="50" t="n">
        <x:v>45520.74847222222</x:v>
      </x:c>
      <x:c r="N482" s="32" t="n">
        <x:f>IF(M482="","",MAX(0,'Resumen'!$B$3-M482))</x:f>
        <x:v>746.2515277777784</x:v>
      </x:c>
      <x:c r="O482" s="38" t="n">
        <x:v>0</x:v>
      </x:c>
      <x:c r="P482" s="38" t="n">
        <x:v>0</x:v>
      </x:c>
      <x:c r="Q482" s="38" t="n">
        <x:v>0</x:v>
      </x:c>
      <x:c r="R482" s="38" t="n">
        <x:f>MIN(D482,I482)</x:f>
        <x:v>1</x:v>
      </x:c>
      <x:c r="S482" s="47" t="n">
        <x:f>IFERROR(R482/D482,0)</x:f>
        <x:v>1</x:v>
      </x:c>
      <x:c r="T482" s="38" t="n">
        <x:f>MIN(MAX(G482,0),MAX(D482-I482,0))</x:f>
        <x:v>0</x:v>
      </x:c>
      <x:c r="U482" s="44" t="n">
        <x:f>T482*E482</x:f>
        <x:v>0</x:v>
      </x:c>
      <x:c r="V482" s="38" t="n">
        <x:v>0</x:v>
      </x:c>
      <x:c r="W482" s="32" t="n">
        <x:v>0</x:v>
      </x:c>
      <x:c r="X482" s="50"/>
      <x:c r="Y482" s="44" t="n">
        <x:v>7500</x:v>
      </x:c>
      <x:c r="Z482" s="44" t="n">
        <x:f>IF(I482&gt;0,R482*(J482/I482),0)</x:f>
        <x:v>12000</x:v>
      </x:c>
      <x:c r="AA482" s="44" t="n">
        <x:f>Z482-(R482*E482)</x:f>
        <x:v>7500</x:v>
      </x:c>
      <x:c r="AB482" s="47" t="n">
        <x:f>IFERROR(AA482/Z482,0)</x:f>
        <x:v>0.625</x:v>
      </x:c>
      <x:c r="AC482" s="32" t="str">
        <x:f>IF(S482=0,"0%",IF(S482&lt;0.5,"1-49%",IF(S482&lt;0.8,"50-79%",IF(S482&lt;1,"80-99%","100%"))))</x:f>
        <x:v>100%</x:v>
      </x:c>
      <x:c r="AD482" s="33" t="str">
        <x:f>IF(G482&lt;0,"Stock negativo",IF(G482&lt;=0,"Sin stock actual",IF(I482&lt;=0,"Sin ventas desde compra",IF(Q482&lt;=0,"Con stock, sin ventas 365d",IF(S482&lt;0.5,"Rotación baja",IF(S482&lt;1,"Rotación media","Compra absorbida; stock repuesto"))))))</x:f>
        <x:v>Sin stock actual</x:v>
      </x:c>
    </x:row>
    <x:row r="483">
      <x:c r="A483" s="31" t="str">
        <x:v>MOTS1235</x:v>
      </x:c>
      <x:c r="B483" s="53" t="str">
        <x:v>BALINERA 6002 RRS KDYD</x:v>
      </x:c>
      <x:c r="C483" s="32" t="n">
        <x:v>1</x:v>
      </x:c>
      <x:c r="D483" s="38" t="n">
        <x:v>3</x:v>
      </x:c>
      <x:c r="E483" s="44" t="n">
        <x:v>1500</x:v>
      </x:c>
      <x:c r="F483" s="44" t="n">
        <x:v>4500</x:v>
      </x:c>
      <x:c r="G483" s="41" t="n">
        <x:v>3</x:v>
      </x:c>
      <x:c r="H483" s="44" t="n">
        <x:f>MAX(G483,0)*E483</x:f>
        <x:v>4500</x:v>
      </x:c>
      <x:c r="I483" s="38" t="n">
        <x:v>0</x:v>
      </x:c>
      <x:c r="J483" s="44" t="n">
        <x:v>0</x:v>
      </x:c>
      <x:c r="K483" s="32" t="n">
        <x:v>0</x:v>
      </x:c>
      <x:c r="L483" s="50"/>
      <x:c r="M483" s="50"/>
      <x:c r="N483" s="32" t="str">
        <x:f>IF(M483="","",MAX(0,'Resumen'!$B$3-M483))</x:f>
      </x:c>
      <x:c r="O483" s="38" t="n">
        <x:v>0</x:v>
      </x:c>
      <x:c r="P483" s="38" t="n">
        <x:v>0</x:v>
      </x:c>
      <x:c r="Q483" s="38" t="n">
        <x:v>0</x:v>
      </x:c>
      <x:c r="R483" s="38" t="n">
        <x:f>MIN(D483,I483)</x:f>
        <x:v>0</x:v>
      </x:c>
      <x:c r="S483" s="47" t="n">
        <x:f>IFERROR(R483/D483,0)</x:f>
        <x:v>0</x:v>
      </x:c>
      <x:c r="T483" s="38" t="n">
        <x:f>MIN(MAX(G483,0),MAX(D483-I483,0))</x:f>
        <x:v>3</x:v>
      </x:c>
      <x:c r="U483" s="44" t="n">
        <x:f>T483*E483</x:f>
        <x:v>4500</x:v>
      </x:c>
      <x:c r="V483" s="38" t="n">
        <x:v>0</x:v>
      </x:c>
      <x:c r="W483" s="32" t="n">
        <x:v>0</x:v>
      </x:c>
      <x:c r="X483" s="50"/>
      <x:c r="Y483" s="44" t="n">
        <x:v>2500</x:v>
      </x:c>
      <x:c r="Z483" s="44" t="n">
        <x:f>IF(I483&gt;0,R483*(J483/I483),0)</x:f>
        <x:v>0</x:v>
      </x:c>
      <x:c r="AA483" s="44" t="n">
        <x:f>Z483-(R483*E483)</x:f>
        <x:v>0</x:v>
      </x:c>
      <x:c r="AB483" s="47" t="n">
        <x:f>IFERROR(AA483/Z483,0)</x:f>
        <x:v>0</x:v>
      </x:c>
      <x:c r="AC483" s="32" t="str">
        <x:f>IF(S483=0,"0%",IF(S483&lt;0.5,"1-49%",IF(S483&lt;0.8,"50-79%",IF(S483&lt;1,"80-99%","100%"))))</x:f>
        <x:v>0%</x:v>
      </x:c>
      <x:c r="AD483" s="33" t="str">
        <x:f>IF(G483&lt;0,"Stock negativo",IF(G483&lt;=0,"Sin stock actual",IF(I483&lt;=0,"Sin ventas desde compra",IF(Q483&lt;=0,"Con stock, sin ventas 365d",IF(S483&lt;0.5,"Rotación baja",IF(S483&lt;1,"Rotación media","Compra absorbida; stock repuesto"))))))</x:f>
        <x:v>Sin ventas desde compra</x:v>
      </x:c>
    </x:row>
    <x:row r="484">
      <x:c r="A484" s="31" t="str">
        <x:v>OYQ 154M</x:v>
      </x:c>
      <x:c r="B484" s="53" t="str">
        <x:v>EMPAQUE EXOSTO RX 100 - 115 -125- 135 /DT DARROW</x:v>
      </x:c>
      <x:c r="C484" s="32" t="n">
        <x:v>1</x:v>
      </x:c>
      <x:c r="D484" s="38" t="n">
        <x:v>5</x:v>
      </x:c>
      <x:c r="E484" s="44" t="n">
        <x:v>900</x:v>
      </x:c>
      <x:c r="F484" s="44" t="n">
        <x:v>4500</x:v>
      </x:c>
      <x:c r="G484" s="41" t="n">
        <x:v>4</x:v>
      </x:c>
      <x:c r="H484" s="44" t="n">
        <x:f>MAX(G484,0)*E484</x:f>
        <x:v>3600</x:v>
      </x:c>
      <x:c r="I484" s="38" t="n">
        <x:v>1</x:v>
      </x:c>
      <x:c r="J484" s="44" t="n">
        <x:v>1500</x:v>
      </x:c>
      <x:c r="K484" s="32" t="n">
        <x:v>1</x:v>
      </x:c>
      <x:c r="L484" s="50" t="n">
        <x:v>46183.81290509259</x:v>
      </x:c>
      <x:c r="M484" s="50" t="n">
        <x:v>46183.81290509259</x:v>
      </x:c>
      <x:c r="N484" s="32" t="n">
        <x:f>IF(M484="","",MAX(0,'Resumen'!$B$3-M484))</x:f>
        <x:v>83.1870949074073</x:v>
      </x:c>
      <x:c r="O484" s="38" t="n">
        <x:v>0</x:v>
      </x:c>
      <x:c r="P484" s="38" t="n">
        <x:v>1</x:v>
      </x:c>
      <x:c r="Q484" s="38" t="n">
        <x:v>1</x:v>
      </x:c>
      <x:c r="R484" s="38" t="n">
        <x:f>MIN(D484,I484)</x:f>
        <x:v>1</x:v>
      </x:c>
      <x:c r="S484" s="47" t="n">
        <x:f>IFERROR(R484/D484,0)</x:f>
        <x:v>0.2</x:v>
      </x:c>
      <x:c r="T484" s="38" t="n">
        <x:f>MIN(MAX(G484,0),MAX(D484-I484,0))</x:f>
        <x:v>4</x:v>
      </x:c>
      <x:c r="U484" s="44" t="n">
        <x:f>T484*E484</x:f>
        <x:v>3600</x:v>
      </x:c>
      <x:c r="V484" s="38" t="n">
        <x:v>0</x:v>
      </x:c>
      <x:c r="W484" s="32" t="n">
        <x:v>0</x:v>
      </x:c>
      <x:c r="X484" s="50"/>
      <x:c r="Y484" s="44" t="n">
        <x:v>1500</x:v>
      </x:c>
      <x:c r="Z484" s="44" t="n">
        <x:f>IF(I484&gt;0,R484*(J484/I484),0)</x:f>
        <x:v>1500</x:v>
      </x:c>
      <x:c r="AA484" s="44" t="n">
        <x:f>Z484-(R484*E484)</x:f>
        <x:v>600</x:v>
      </x:c>
      <x:c r="AB484" s="47" t="n">
        <x:f>IFERROR(AA484/Z484,0)</x:f>
        <x:v>0.4</x:v>
      </x:c>
      <x:c r="AC484" s="32" t="str">
        <x:f>IF(S484=0,"0%",IF(S484&lt;0.5,"1-49%",IF(S484&lt;0.8,"50-79%",IF(S484&lt;1,"80-99%","100%"))))</x:f>
        <x:v>1-49%</x:v>
      </x:c>
      <x:c r="AD484" s="33" t="str">
        <x:f>IF(G484&lt;0,"Stock negativo",IF(G484&lt;=0,"Sin stock actual",IF(I484&lt;=0,"Sin ventas desde compra",IF(Q484&lt;=0,"Con stock, sin ventas 365d",IF(S484&lt;0.5,"Rotación baja",IF(S484&lt;1,"Rotación media","Compra absorbida; stock repuesto"))))))</x:f>
        <x:v>Rotación baja</x:v>
      </x:c>
    </x:row>
    <x:row r="485">
      <x:c r="A485" s="31" t="str">
        <x:v>TOR - 0384</x:v>
      </x:c>
      <x:c r="B485" s="53" t="str">
        <x:v>TORNILLO UNICO ESTRELLA 6 X35 TORNIFRENOS</x:v>
      </x:c>
      <x:c r="C485" s="32" t="n">
        <x:v>1</x:v>
      </x:c>
      <x:c r="D485" s="38" t="n">
        <x:v>27</x:v>
      </x:c>
      <x:c r="E485" s="44" t="n">
        <x:v>163</x:v>
      </x:c>
      <x:c r="F485" s="44" t="n">
        <x:v>4401</x:v>
      </x:c>
      <x:c r="G485" s="41" t="n">
        <x:v>23</x:v>
      </x:c>
      <x:c r="H485" s="44" t="n">
        <x:f>MAX(G485,0)*E485</x:f>
        <x:v>3749</x:v>
      </x:c>
      <x:c r="I485" s="38" t="n">
        <x:v>4</x:v>
      </x:c>
      <x:c r="J485" s="44" t="n">
        <x:v>1200</x:v>
      </x:c>
      <x:c r="K485" s="32" t="n">
        <x:v>1</x:v>
      </x:c>
      <x:c r="L485" s="50" t="n">
        <x:v>45692.99087962963</x:v>
      </x:c>
      <x:c r="M485" s="50" t="n">
        <x:v>45692.99087962963</x:v>
      </x:c>
      <x:c r="N485" s="32" t="n">
        <x:f>IF(M485="","",MAX(0,'Resumen'!$B$3-M485))</x:f>
        <x:v>574.0091203703705</x:v>
      </x:c>
      <x:c r="O485" s="38" t="n">
        <x:v>0</x:v>
      </x:c>
      <x:c r="P485" s="38" t="n">
        <x:v>0</x:v>
      </x:c>
      <x:c r="Q485" s="38" t="n">
        <x:v>0</x:v>
      </x:c>
      <x:c r="R485" s="38" t="n">
        <x:f>MIN(D485,I485)</x:f>
        <x:v>4</x:v>
      </x:c>
      <x:c r="S485" s="47" t="n">
        <x:f>IFERROR(R485/D485,0)</x:f>
        <x:v>0.14814814814814814</x:v>
      </x:c>
      <x:c r="T485" s="38" t="n">
        <x:f>MIN(MAX(G485,0),MAX(D485-I485,0))</x:f>
        <x:v>23</x:v>
      </x:c>
      <x:c r="U485" s="44" t="n">
        <x:f>T485*E485</x:f>
        <x:v>3749</x:v>
      </x:c>
      <x:c r="V485" s="38" t="n">
        <x:v>0</x:v>
      </x:c>
      <x:c r="W485" s="32" t="n">
        <x:v>0</x:v>
      </x:c>
      <x:c r="X485" s="50"/>
      <x:c r="Y485" s="44" t="n">
        <x:v>300</x:v>
      </x:c>
      <x:c r="Z485" s="44" t="n">
        <x:f>IF(I485&gt;0,R485*(J485/I485),0)</x:f>
        <x:v>1200</x:v>
      </x:c>
      <x:c r="AA485" s="44" t="n">
        <x:f>Z485-(R485*E485)</x:f>
        <x:v>548</x:v>
      </x:c>
      <x:c r="AB485" s="47" t="n">
        <x:f>IFERROR(AA485/Z485,0)</x:f>
        <x:v>0.45666666666666667</x:v>
      </x:c>
      <x:c r="AC485" s="32" t="str">
        <x:f>IF(S485=0,"0%",IF(S485&lt;0.5,"1-49%",IF(S485&lt;0.8,"50-79%",IF(S485&lt;1,"80-99%","100%"))))</x:f>
        <x:v>1-49%</x:v>
      </x:c>
      <x:c r="AD485" s="33" t="str">
        <x:f>IF(G485&lt;0,"Stock negativo",IF(G485&lt;=0,"Sin stock actual",IF(I485&lt;=0,"Sin ventas desde compra",IF(Q485&lt;=0,"Con stock, sin ventas 365d",IF(S485&lt;0.5,"Rotación baja",IF(S485&lt;1,"Rotación media","Compra absorbida; stock repuesto"))))))</x:f>
        <x:v>Con stock, sin ventas 365d</x:v>
      </x:c>
    </x:row>
    <x:row r="486">
      <x:c r="A486" s="31" t="str">
        <x:v>GRA-035</x:v>
      </x:c>
      <x:c r="B486" s="53" t="str">
        <x:v>GRASA ROJA TECSIGRAS</x:v>
      </x:c>
      <x:c r="C486" s="32" t="n">
        <x:v>1</x:v>
      </x:c>
      <x:c r="D486" s="38" t="n">
        <x:v>1</x:v>
      </x:c>
      <x:c r="E486" s="44" t="n">
        <x:v>4400</x:v>
      </x:c>
      <x:c r="F486" s="44" t="n">
        <x:v>4400</x:v>
      </x:c>
      <x:c r="G486" s="41" t="n">
        <x:v>0</x:v>
      </x:c>
      <x:c r="H486" s="44" t="n">
        <x:f>MAX(G486,0)*E486</x:f>
        <x:v>0</x:v>
      </x:c>
      <x:c r="I486" s="38" t="n">
        <x:v>1</x:v>
      </x:c>
      <x:c r="J486" s="44" t="n">
        <x:v>7500</x:v>
      </x:c>
      <x:c r="K486" s="32" t="n">
        <x:v>1</x:v>
      </x:c>
      <x:c r="L486" s="50" t="n">
        <x:v>45504.817824074074</x:v>
      </x:c>
      <x:c r="M486" s="50" t="n">
        <x:v>45504.817824074074</x:v>
      </x:c>
      <x:c r="N486" s="32" t="n">
        <x:f>IF(M486="","",MAX(0,'Resumen'!$B$3-M486))</x:f>
        <x:v>762.1821759259255</x:v>
      </x:c>
      <x:c r="O486" s="38" t="n">
        <x:v>0</x:v>
      </x:c>
      <x:c r="P486" s="38" t="n">
        <x:v>0</x:v>
      </x:c>
      <x:c r="Q486" s="38" t="n">
        <x:v>0</x:v>
      </x:c>
      <x:c r="R486" s="38" t="n">
        <x:f>MIN(D486,I486)</x:f>
        <x:v>1</x:v>
      </x:c>
      <x:c r="S486" s="47" t="n">
        <x:f>IFERROR(R486/D486,0)</x:f>
        <x:v>1</x:v>
      </x:c>
      <x:c r="T486" s="38" t="n">
        <x:f>MIN(MAX(G486,0),MAX(D486-I486,0))</x:f>
        <x:v>0</x:v>
      </x:c>
      <x:c r="U486" s="44" t="n">
        <x:f>T486*E486</x:f>
        <x:v>0</x:v>
      </x:c>
      <x:c r="V486" s="38" t="n">
        <x:v>0</x:v>
      </x:c>
      <x:c r="W486" s="32" t="n">
        <x:v>0</x:v>
      </x:c>
      <x:c r="X486" s="50"/>
      <x:c r="Y486" s="44" t="n">
        <x:v>7500</x:v>
      </x:c>
      <x:c r="Z486" s="44" t="n">
        <x:f>IF(I486&gt;0,R486*(J486/I486),0)</x:f>
        <x:v>7500</x:v>
      </x:c>
      <x:c r="AA486" s="44" t="n">
        <x:f>Z486-(R486*E486)</x:f>
        <x:v>3100</x:v>
      </x:c>
      <x:c r="AB486" s="47" t="n">
        <x:f>IFERROR(AA486/Z486,0)</x:f>
        <x:v>0.41333333333333333</x:v>
      </x:c>
      <x:c r="AC486" s="32" t="str">
        <x:f>IF(S486=0,"0%",IF(S486&lt;0.5,"1-49%",IF(S486&lt;0.8,"50-79%",IF(S486&lt;1,"80-99%","100%"))))</x:f>
        <x:v>100%</x:v>
      </x:c>
      <x:c r="AD486" s="33" t="str">
        <x:f>IF(G486&lt;0,"Stock negativo",IF(G486&lt;=0,"Sin stock actual",IF(I486&lt;=0,"Sin ventas desde compra",IF(Q486&lt;=0,"Con stock, sin ventas 365d",IF(S486&lt;0.5,"Rotación baja",IF(S486&lt;1,"Rotación media","Compra absorbida; stock repuesto"))))))</x:f>
        <x:v>Sin stock actual</x:v>
      </x:c>
    </x:row>
    <x:row r="487">
      <x:c r="A487" s="31" t="str">
        <x:v>MOTS1239</x:v>
      </x:c>
      <x:c r="B487" s="53" t="str">
        <x:v>BALINERA 6303 2RS ORD</x:v>
      </x:c>
      <x:c r="C487" s="32" t="n">
        <x:v>1</x:v>
      </x:c>
      <x:c r="D487" s="38" t="n">
        <x:v>1</x:v>
      </x:c>
      <x:c r="E487" s="44" t="n">
        <x:v>4300</x:v>
      </x:c>
      <x:c r="F487" s="44" t="n">
        <x:v>4300</x:v>
      </x:c>
      <x:c r="G487" s="41" t="n">
        <x:v>1</x:v>
      </x:c>
      <x:c r="H487" s="44" t="n">
        <x:f>MAX(G487,0)*E487</x:f>
        <x:v>4300</x:v>
      </x:c>
      <x:c r="I487" s="38" t="n">
        <x:v>0</x:v>
      </x:c>
      <x:c r="J487" s="44" t="n">
        <x:v>0</x:v>
      </x:c>
      <x:c r="K487" s="32" t="n">
        <x:v>0</x:v>
      </x:c>
      <x:c r="L487" s="50"/>
      <x:c r="M487" s="50"/>
      <x:c r="N487" s="32" t="str">
        <x:f>IF(M487="","",MAX(0,'Resumen'!$B$3-M487))</x:f>
      </x:c>
      <x:c r="O487" s="38" t="n">
        <x:v>0</x:v>
      </x:c>
      <x:c r="P487" s="38" t="n">
        <x:v>0</x:v>
      </x:c>
      <x:c r="Q487" s="38" t="n">
        <x:v>0</x:v>
      </x:c>
      <x:c r="R487" s="38" t="n">
        <x:f>MIN(D487,I487)</x:f>
        <x:v>0</x:v>
      </x:c>
      <x:c r="S487" s="47" t="n">
        <x:f>IFERROR(R487/D487,0)</x:f>
        <x:v>0</x:v>
      </x:c>
      <x:c r="T487" s="38" t="n">
        <x:f>MIN(MAX(G487,0),MAX(D487-I487,0))</x:f>
        <x:v>1</x:v>
      </x:c>
      <x:c r="U487" s="44" t="n">
        <x:f>T487*E487</x:f>
        <x:v>4300</x:v>
      </x:c>
      <x:c r="V487" s="38" t="n">
        <x:v>0</x:v>
      </x:c>
      <x:c r="W487" s="32" t="n">
        <x:v>0</x:v>
      </x:c>
      <x:c r="X487" s="50"/>
      <x:c r="Y487" s="44" t="n">
        <x:v>7500</x:v>
      </x:c>
      <x:c r="Z487" s="44" t="n">
        <x:f>IF(I487&gt;0,R487*(J487/I487),0)</x:f>
        <x:v>0</x:v>
      </x:c>
      <x:c r="AA487" s="44" t="n">
        <x:f>Z487-(R487*E487)</x:f>
        <x:v>0</x:v>
      </x:c>
      <x:c r="AB487" s="47" t="n">
        <x:f>IFERROR(AA487/Z487,0)</x:f>
        <x:v>0</x:v>
      </x:c>
      <x:c r="AC487" s="32" t="str">
        <x:f>IF(S487=0,"0%",IF(S487&lt;0.5,"1-49%",IF(S487&lt;0.8,"50-79%",IF(S487&lt;1,"80-99%","100%"))))</x:f>
        <x:v>0%</x:v>
      </x:c>
      <x:c r="AD487" s="33" t="str">
        <x:f>IF(G487&lt;0,"Stock negativo",IF(G487&lt;=0,"Sin stock actual",IF(I487&lt;=0,"Sin ventas desde compra",IF(Q487&lt;=0,"Con stock, sin ventas 365d",IF(S487&lt;0.5,"Rotación baja",IF(S487&lt;1,"Rotación media","Compra absorbida; stock repuesto"))))))</x:f>
        <x:v>Sin ventas desde compra</x:v>
      </x:c>
    </x:row>
    <x:row r="488">
      <x:c r="A488" s="31" t="str">
        <x:v>PAS-051975</x:v>
      </x:c>
      <x:c r="B488" s="53" t="str">
        <x:v>PASTILLAS  FRENO XT2 125 (NUD 17) TH SYK</x:v>
      </x:c>
      <x:c r="C488" s="32" t="n">
        <x:v>1</x:v>
      </x:c>
      <x:c r="D488" s="38" t="n">
        <x:v>1</x:v>
      </x:c>
      <x:c r="E488" s="44" t="n">
        <x:v>4300</x:v>
      </x:c>
      <x:c r="F488" s="44" t="n">
        <x:v>4300</x:v>
      </x:c>
      <x:c r="G488" s="41" t="n">
        <x:v>0</x:v>
      </x:c>
      <x:c r="H488" s="44" t="n">
        <x:f>MAX(G488,0)*E488</x:f>
        <x:v>0</x:v>
      </x:c>
      <x:c r="I488" s="38" t="n">
        <x:v>1</x:v>
      </x:c>
      <x:c r="J488" s="44" t="n">
        <x:v>7500</x:v>
      </x:c>
      <x:c r="K488" s="32" t="n">
        <x:v>1</x:v>
      </x:c>
      <x:c r="L488" s="50" t="n">
        <x:v>45501.796898148146</x:v>
      </x:c>
      <x:c r="M488" s="50" t="n">
        <x:v>45501.796898148146</x:v>
      </x:c>
      <x:c r="N488" s="32" t="n">
        <x:f>IF(M488="","",MAX(0,'Resumen'!$B$3-M488))</x:f>
        <x:v>765.2031018518537</x:v>
      </x:c>
      <x:c r="O488" s="38" t="n">
        <x:v>0</x:v>
      </x:c>
      <x:c r="P488" s="38" t="n">
        <x:v>0</x:v>
      </x:c>
      <x:c r="Q488" s="38" t="n">
        <x:v>0</x:v>
      </x:c>
      <x:c r="R488" s="38" t="n">
        <x:f>MIN(D488,I488)</x:f>
        <x:v>1</x:v>
      </x:c>
      <x:c r="S488" s="47" t="n">
        <x:f>IFERROR(R488/D488,0)</x:f>
        <x:v>1</x:v>
      </x:c>
      <x:c r="T488" s="38" t="n">
        <x:f>MIN(MAX(G488,0),MAX(D488-I488,0))</x:f>
        <x:v>0</x:v>
      </x:c>
      <x:c r="U488" s="44" t="n">
        <x:f>T488*E488</x:f>
        <x:v>0</x:v>
      </x:c>
      <x:c r="V488" s="38" t="n">
        <x:v>0</x:v>
      </x:c>
      <x:c r="W488" s="32" t="n">
        <x:v>0</x:v>
      </x:c>
      <x:c r="X488" s="50"/>
      <x:c r="Y488" s="44" t="n">
        <x:v>7500</x:v>
      </x:c>
      <x:c r="Z488" s="44" t="n">
        <x:f>IF(I488&gt;0,R488*(J488/I488),0)</x:f>
        <x:v>7500</x:v>
      </x:c>
      <x:c r="AA488" s="44" t="n">
        <x:f>Z488-(R488*E488)</x:f>
        <x:v>3200</x:v>
      </x:c>
      <x:c r="AB488" s="47" t="n">
        <x:f>IFERROR(AA488/Z488,0)</x:f>
        <x:v>0.4266666666666667</x:v>
      </x:c>
      <x:c r="AC488" s="32" t="str">
        <x:f>IF(S488=0,"0%",IF(S488&lt;0.5,"1-49%",IF(S488&lt;0.8,"50-79%",IF(S488&lt;1,"80-99%","100%"))))</x:f>
        <x:v>100%</x:v>
      </x:c>
      <x:c r="AD488" s="33" t="str">
        <x:f>IF(G488&lt;0,"Stock negativo",IF(G488&lt;=0,"Sin stock actual",IF(I488&lt;=0,"Sin ventas desde compra",IF(Q488&lt;=0,"Con stock, sin ventas 365d",IF(S488&lt;0.5,"Rotación baja",IF(S488&lt;1,"Rotación media","Compra absorbida; stock repuesto"))))))</x:f>
        <x:v>Sin stock actual</x:v>
      </x:c>
    </x:row>
    <x:row r="489">
      <x:c r="A489" s="31" t="str">
        <x:v>MOTS1295</x:v>
      </x:c>
      <x:c r="B489" s="53" t="str">
        <x:v>FUELLO BWS 100 UND  N.A CAUCHO MOTOS</x:v>
      </x:c>
      <x:c r="C489" s="32" t="n">
        <x:v>1</x:v>
      </x:c>
      <x:c r="D489" s="38" t="n">
        <x:v>1</x:v>
      </x:c>
      <x:c r="E489" s="44" t="n">
        <x:v>4250</x:v>
      </x:c>
      <x:c r="F489" s="44" t="n">
        <x:v>4250</x:v>
      </x:c>
      <x:c r="G489" s="41" t="n">
        <x:v>0</x:v>
      </x:c>
      <x:c r="H489" s="44" t="n">
        <x:f>MAX(G489,0)*E489</x:f>
        <x:v>0</x:v>
      </x:c>
      <x:c r="I489" s="38" t="n">
        <x:v>1</x:v>
      </x:c>
      <x:c r="J489" s="44" t="n">
        <x:v>7500</x:v>
      </x:c>
      <x:c r="K489" s="32" t="n">
        <x:v>1</x:v>
      </x:c>
      <x:c r="L489" s="50" t="n">
        <x:v>45655.79865740741</x:v>
      </x:c>
      <x:c r="M489" s="50" t="n">
        <x:v>45655.79865740741</x:v>
      </x:c>
      <x:c r="N489" s="32" t="n">
        <x:f>IF(M489="","",MAX(0,'Resumen'!$B$3-M489))</x:f>
        <x:v>611.2013425925907</x:v>
      </x:c>
      <x:c r="O489" s="38" t="n">
        <x:v>0</x:v>
      </x:c>
      <x:c r="P489" s="38" t="n">
        <x:v>0</x:v>
      </x:c>
      <x:c r="Q489" s="38" t="n">
        <x:v>0</x:v>
      </x:c>
      <x:c r="R489" s="38" t="n">
        <x:f>MIN(D489,I489)</x:f>
        <x:v>1</x:v>
      </x:c>
      <x:c r="S489" s="47" t="n">
        <x:f>IFERROR(R489/D489,0)</x:f>
        <x:v>1</x:v>
      </x:c>
      <x:c r="T489" s="38" t="n">
        <x:f>MIN(MAX(G489,0),MAX(D489-I489,0))</x:f>
        <x:v>0</x:v>
      </x:c>
      <x:c r="U489" s="44" t="n">
        <x:f>T489*E489</x:f>
        <x:v>0</x:v>
      </x:c>
      <x:c r="V489" s="38" t="n">
        <x:v>0</x:v>
      </x:c>
      <x:c r="W489" s="32" t="n">
        <x:v>0</x:v>
      </x:c>
      <x:c r="X489" s="50"/>
      <x:c r="Y489" s="44" t="n">
        <x:v>7500</x:v>
      </x:c>
      <x:c r="Z489" s="44" t="n">
        <x:f>IF(I489&gt;0,R489*(J489/I489),0)</x:f>
        <x:v>7500</x:v>
      </x:c>
      <x:c r="AA489" s="44" t="n">
        <x:f>Z489-(R489*E489)</x:f>
        <x:v>3250</x:v>
      </x:c>
      <x:c r="AB489" s="47" t="n">
        <x:f>IFERROR(AA489/Z489,0)</x:f>
        <x:v>0.43333333333333335</x:v>
      </x:c>
      <x:c r="AC489" s="32" t="str">
        <x:f>IF(S489=0,"0%",IF(S489&lt;0.5,"1-49%",IF(S489&lt;0.8,"50-79%",IF(S489&lt;1,"80-99%","100%"))))</x:f>
        <x:v>100%</x:v>
      </x:c>
      <x:c r="AD489" s="33" t="str">
        <x:f>IF(G489&lt;0,"Stock negativo",IF(G489&lt;=0,"Sin stock actual",IF(I489&lt;=0,"Sin ventas desde compra",IF(Q489&lt;=0,"Con stock, sin ventas 365d",IF(S489&lt;0.5,"Rotación baja",IF(S489&lt;1,"Rotación media","Compra absorbida; stock repuesto"))))))</x:f>
        <x:v>Sin stock actual</x:v>
      </x:c>
    </x:row>
    <x:row r="490">
      <x:c r="A490" s="31" t="str">
        <x:v>ESC - 050320</x:v>
      </x:c>
      <x:c r="B490" s="53" t="str">
        <x:v>ESCOBILLAS ARRANQUE HONDA CB110 SYK</x:v>
      </x:c>
      <x:c r="C490" s="32" t="n">
        <x:v>1</x:v>
      </x:c>
      <x:c r="D490" s="38" t="n">
        <x:v>2</x:v>
      </x:c>
      <x:c r="E490" s="44" t="n">
        <x:v>2100</x:v>
      </x:c>
      <x:c r="F490" s="44" t="n">
        <x:v>4200</x:v>
      </x:c>
      <x:c r="G490" s="41" t="n">
        <x:v>1</x:v>
      </x:c>
      <x:c r="H490" s="44" t="n">
        <x:f>MAX(G490,0)*E490</x:f>
        <x:v>2100</x:v>
      </x:c>
      <x:c r="I490" s="38" t="n">
        <x:v>1</x:v>
      </x:c>
      <x:c r="J490" s="44" t="n">
        <x:v>3500</x:v>
      </x:c>
      <x:c r="K490" s="32" t="n">
        <x:v>1</x:v>
      </x:c>
      <x:c r="L490" s="50" t="n">
        <x:v>45960.5528125</x:v>
      </x:c>
      <x:c r="M490" s="50" t="n">
        <x:v>45960.5528125</x:v>
      </x:c>
      <x:c r="N490" s="32" t="n">
        <x:f>IF(M490="","",MAX(0,'Resumen'!$B$3-M490))</x:f>
        <x:v>306.44718750000175</x:v>
      </x:c>
      <x:c r="O490" s="38" t="n">
        <x:v>0</x:v>
      </x:c>
      <x:c r="P490" s="38" t="n">
        <x:v>0</x:v>
      </x:c>
      <x:c r="Q490" s="38" t="n">
        <x:v>1</x:v>
      </x:c>
      <x:c r="R490" s="38" t="n">
        <x:f>MIN(D490,I490)</x:f>
        <x:v>1</x:v>
      </x:c>
      <x:c r="S490" s="47" t="n">
        <x:f>IFERROR(R490/D490,0)</x:f>
        <x:v>0.5</x:v>
      </x:c>
      <x:c r="T490" s="38" t="n">
        <x:f>MIN(MAX(G490,0),MAX(D490-I490,0))</x:f>
        <x:v>1</x:v>
      </x:c>
      <x:c r="U490" s="44" t="n">
        <x:f>T490*E490</x:f>
        <x:v>2100</x:v>
      </x:c>
      <x:c r="V490" s="38" t="n">
        <x:v>0</x:v>
      </x:c>
      <x:c r="W490" s="32" t="n">
        <x:v>0</x:v>
      </x:c>
      <x:c r="X490" s="50"/>
      <x:c r="Y490" s="44" t="n">
        <x:v>3500</x:v>
      </x:c>
      <x:c r="Z490" s="44" t="n">
        <x:f>IF(I490&gt;0,R490*(J490/I490),0)</x:f>
        <x:v>3500</x:v>
      </x:c>
      <x:c r="AA490" s="44" t="n">
        <x:f>Z490-(R490*E490)</x:f>
        <x:v>1400</x:v>
      </x:c>
      <x:c r="AB490" s="47" t="n">
        <x:f>IFERROR(AA490/Z490,0)</x:f>
        <x:v>0.4</x:v>
      </x:c>
      <x:c r="AC490" s="32" t="str">
        <x:f>IF(S490=0,"0%",IF(S490&lt;0.5,"1-49%",IF(S490&lt;0.8,"50-79%",IF(S490&lt;1,"80-99%","100%"))))</x:f>
        <x:v>50-79%</x:v>
      </x:c>
      <x:c r="AD490" s="33" t="str">
        <x:f>IF(G490&lt;0,"Stock negativo",IF(G490&lt;=0,"Sin stock actual",IF(I490&lt;=0,"Sin ventas desde compra",IF(Q490&lt;=0,"Con stock, sin ventas 365d",IF(S490&lt;0.5,"Rotación baja",IF(S490&lt;1,"Rotación media","Compra absorbida; stock repuesto"))))))</x:f>
        <x:v>Rotación media</x:v>
      </x:c>
    </x:row>
    <x:row r="491">
      <x:c r="A491" s="31" t="str">
        <x:v>PRO-086</x:v>
      </x:c>
      <x:c r="B491" s="53" t="str">
        <x:v>PROTECTOR DE CALZADO NEGRO</x:v>
      </x:c>
      <x:c r="C491" s="32" t="n">
        <x:v>1</x:v>
      </x:c>
      <x:c r="D491" s="38" t="n">
        <x:v>3</x:v>
      </x:c>
      <x:c r="E491" s="44" t="n">
        <x:v>1400</x:v>
      </x:c>
      <x:c r="F491" s="44" t="n">
        <x:v>4200</x:v>
      </x:c>
      <x:c r="G491" s="41" t="n">
        <x:v>0</x:v>
      </x:c>
      <x:c r="H491" s="44" t="n">
        <x:f>MAX(G491,0)*E491</x:f>
        <x:v>0</x:v>
      </x:c>
      <x:c r="I491" s="38" t="n">
        <x:v>3</x:v>
      </x:c>
      <x:c r="J491" s="44" t="n">
        <x:v>7500</x:v>
      </x:c>
      <x:c r="K491" s="32" t="n">
        <x:v>2</x:v>
      </x:c>
      <x:c r="L491" s="50" t="n">
        <x:v>45541.831041666665</x:v>
      </x:c>
      <x:c r="M491" s="50" t="n">
        <x:v>45617.6759375</x:v>
      </x:c>
      <x:c r="N491" s="32" t="n">
        <x:f>IF(M491="","",MAX(0,'Resumen'!$B$3-M491))</x:f>
        <x:v>649.3240625000035</x:v>
      </x:c>
      <x:c r="O491" s="38" t="n">
        <x:v>0</x:v>
      </x:c>
      <x:c r="P491" s="38" t="n">
        <x:v>0</x:v>
      </x:c>
      <x:c r="Q491" s="38" t="n">
        <x:v>0</x:v>
      </x:c>
      <x:c r="R491" s="38" t="n">
        <x:f>MIN(D491,I491)</x:f>
        <x:v>3</x:v>
      </x:c>
      <x:c r="S491" s="47" t="n">
        <x:f>IFERROR(R491/D491,0)</x:f>
        <x:v>1</x:v>
      </x:c>
      <x:c r="T491" s="38" t="n">
        <x:f>MIN(MAX(G491,0),MAX(D491-I491,0))</x:f>
        <x:v>0</x:v>
      </x:c>
      <x:c r="U491" s="44" t="n">
        <x:f>T491*E491</x:f>
        <x:v>0</x:v>
      </x:c>
      <x:c r="V491" s="38" t="n">
        <x:v>0</x:v>
      </x:c>
      <x:c r="W491" s="32" t="n">
        <x:v>0</x:v>
      </x:c>
      <x:c r="X491" s="50"/>
      <x:c r="Y491" s="44" t="n">
        <x:v>2500</x:v>
      </x:c>
      <x:c r="Z491" s="44" t="n">
        <x:f>IF(I491&gt;0,R491*(J491/I491),0)</x:f>
        <x:v>7500</x:v>
      </x:c>
      <x:c r="AA491" s="44" t="n">
        <x:f>Z491-(R491*E491)</x:f>
        <x:v>3300</x:v>
      </x:c>
      <x:c r="AB491" s="47" t="n">
        <x:f>IFERROR(AA491/Z491,0)</x:f>
        <x:v>0.44</x:v>
      </x:c>
      <x:c r="AC491" s="32" t="str">
        <x:f>IF(S491=0,"0%",IF(S491&lt;0.5,"1-49%",IF(S491&lt;0.8,"50-79%",IF(S491&lt;1,"80-99%","100%"))))</x:f>
        <x:v>100%</x:v>
      </x:c>
      <x:c r="AD491" s="33" t="str">
        <x:f>IF(G491&lt;0,"Stock negativo",IF(G491&lt;=0,"Sin stock actual",IF(I491&lt;=0,"Sin ventas desde compra",IF(Q491&lt;=0,"Con stock, sin ventas 365d",IF(S491&lt;0.5,"Rotación baja",IF(S491&lt;1,"Rotación media","Compra absorbida; stock repuesto"))))))</x:f>
        <x:v>Sin stock actual</x:v>
      </x:c>
    </x:row>
    <x:row r="492">
      <x:c r="A492" s="31" t="str">
        <x:v>TER-0091</x:v>
      </x:c>
      <x:c r="B492" s="53" t="str">
        <x:v>TERMINAL TUBOLAR (MACHO</x:v>
      </x:c>
      <x:c r="C492" s="32" t="n">
        <x:v>1</x:v>
      </x:c>
      <x:c r="D492" s="38" t="n">
        <x:v>60</x:v>
      </x:c>
      <x:c r="E492" s="44" t="n">
        <x:v>69</x:v>
      </x:c>
      <x:c r="F492" s="44" t="n">
        <x:v>4140</x:v>
      </x:c>
      <x:c r="G492" s="41" t="n">
        <x:v>5</x:v>
      </x:c>
      <x:c r="H492" s="44" t="n">
        <x:f>MAX(G492,0)*E492</x:f>
        <x:v>345</x:v>
      </x:c>
      <x:c r="I492" s="38" t="n">
        <x:v>60</x:v>
      </x:c>
      <x:c r="J492" s="44" t="n">
        <x:v>11800</x:v>
      </x:c>
      <x:c r="K492" s="32" t="n">
        <x:v>17</x:v>
      </x:c>
      <x:c r="L492" s="50" t="n">
        <x:v>45533.5547337963</x:v>
      </x:c>
      <x:c r="M492" s="50" t="n">
        <x:v>45737.80799768519</x:v>
      </x:c>
      <x:c r="N492" s="32" t="n">
        <x:f>IF(M492="","",MAX(0,'Resumen'!$B$3-M492))</x:f>
        <x:v>529.1920023148123</x:v>
      </x:c>
      <x:c r="O492" s="38" t="n">
        <x:v>0</x:v>
      </x:c>
      <x:c r="P492" s="38" t="n">
        <x:v>0</x:v>
      </x:c>
      <x:c r="Q492" s="38" t="n">
        <x:v>0</x:v>
      </x:c>
      <x:c r="R492" s="38" t="n">
        <x:f>MIN(D492,I492)</x:f>
        <x:v>60</x:v>
      </x:c>
      <x:c r="S492" s="47" t="n">
        <x:f>IFERROR(R492/D492,0)</x:f>
        <x:v>1</x:v>
      </x:c>
      <x:c r="T492" s="38" t="n">
        <x:f>MIN(MAX(G492,0),MAX(D492-I492,0))</x:f>
        <x:v>0</x:v>
      </x:c>
      <x:c r="U492" s="44" t="n">
        <x:f>T492*E492</x:f>
        <x:v>0</x:v>
      </x:c>
      <x:c r="V492" s="38" t="n">
        <x:v>5</x:v>
      </x:c>
      <x:c r="W492" s="32" t="n">
        <x:v>1</x:v>
      </x:c>
      <x:c r="X492" s="50" t="n">
        <x:v>45701</x:v>
      </x:c>
      <x:c r="Y492" s="44" t="n">
        <x:v>200</x:v>
      </x:c>
      <x:c r="Z492" s="44" t="n">
        <x:f>IF(I492&gt;0,R492*(J492/I492),0)</x:f>
        <x:v>11800</x:v>
      </x:c>
      <x:c r="AA492" s="44" t="n">
        <x:f>Z492-(R492*E492)</x:f>
        <x:v>7660</x:v>
      </x:c>
      <x:c r="AB492" s="47" t="n">
        <x:f>IFERROR(AA492/Z492,0)</x:f>
        <x:v>0.6491525423728813</x:v>
      </x:c>
      <x:c r="AC492" s="32" t="str">
        <x:f>IF(S492=0,"0%",IF(S492&lt;0.5,"1-49%",IF(S492&lt;0.8,"50-79%",IF(S492&lt;1,"80-99%","100%"))))</x:f>
        <x:v>100%</x:v>
      </x:c>
      <x:c r="AD492" s="33" t="str">
        <x:f>IF(G492&lt;0,"Stock negativo",IF(G492&lt;=0,"Sin stock actual",IF(I492&lt;=0,"Sin ventas desde compra",IF(Q492&lt;=0,"Con stock, sin ventas 365d",IF(S492&lt;0.5,"Rotación baja",IF(S492&lt;1,"Rotación media","Compra absorbida; stock repuesto"))))))</x:f>
        <x:v>Con stock, sin ventas 365d</x:v>
      </x:c>
    </x:row>
    <x:row r="493">
      <x:c r="A493" s="31" t="str">
        <x:v>TOR - 0364</x:v>
      </x:c>
      <x:c r="B493" s="53" t="str">
        <x:v>TORNILLO ESTRELLA 6 X50 TORNIFRENOS</x:v>
      </x:c>
      <x:c r="C493" s="32" t="n">
        <x:v>1</x:v>
      </x:c>
      <x:c r="D493" s="38" t="n">
        <x:v>12</x:v>
      </x:c>
      <x:c r="E493" s="44" t="n">
        <x:v>337</x:v>
      </x:c>
      <x:c r="F493" s="44" t="n">
        <x:v>4044</x:v>
      </x:c>
      <x:c r="G493" s="41" t="n">
        <x:v>8</x:v>
      </x:c>
      <x:c r="H493" s="44" t="n">
        <x:f>MAX(G493,0)*E493</x:f>
        <x:v>2696</x:v>
      </x:c>
      <x:c r="I493" s="38" t="n">
        <x:v>4</x:v>
      </x:c>
      <x:c r="J493" s="44" t="n">
        <x:v>2400</x:v>
      </x:c>
      <x:c r="K493" s="32" t="n">
        <x:v>2</x:v>
      </x:c>
      <x:c r="L493" s="50" t="n">
        <x:v>45632.92328703704</x:v>
      </x:c>
      <x:c r="M493" s="50" t="n">
        <x:v>45646.565254629626</x:v>
      </x:c>
      <x:c r="N493" s="32" t="n">
        <x:f>IF(M493="","",MAX(0,'Resumen'!$B$3-M493))</x:f>
        <x:v>620.434745370374</x:v>
      </x:c>
      <x:c r="O493" s="38" t="n">
        <x:v>0</x:v>
      </x:c>
      <x:c r="P493" s="38" t="n">
        <x:v>0</x:v>
      </x:c>
      <x:c r="Q493" s="38" t="n">
        <x:v>0</x:v>
      </x:c>
      <x:c r="R493" s="38" t="n">
        <x:f>MIN(D493,I493)</x:f>
        <x:v>4</x:v>
      </x:c>
      <x:c r="S493" s="47" t="n">
        <x:f>IFERROR(R493/D493,0)</x:f>
        <x:v>0.3333333333333333</x:v>
      </x:c>
      <x:c r="T493" s="38" t="n">
        <x:f>MIN(MAX(G493,0),MAX(D493-I493,0))</x:f>
        <x:v>8</x:v>
      </x:c>
      <x:c r="U493" s="44" t="n">
        <x:f>T493*E493</x:f>
        <x:v>2696</x:v>
      </x:c>
      <x:c r="V493" s="38" t="n">
        <x:v>0</x:v>
      </x:c>
      <x:c r="W493" s="32" t="n">
        <x:v>0</x:v>
      </x:c>
      <x:c r="X493" s="50"/>
      <x:c r="Y493" s="44" t="n">
        <x:v>600</x:v>
      </x:c>
      <x:c r="Z493" s="44" t="n">
        <x:f>IF(I493&gt;0,R493*(J493/I493),0)</x:f>
        <x:v>2400</x:v>
      </x:c>
      <x:c r="AA493" s="44" t="n">
        <x:f>Z493-(R493*E493)</x:f>
        <x:v>1052</x:v>
      </x:c>
      <x:c r="AB493" s="47" t="n">
        <x:f>IFERROR(AA493/Z493,0)</x:f>
        <x:v>0.43833333333333335</x:v>
      </x:c>
      <x:c r="AC493" s="32" t="str">
        <x:f>IF(S493=0,"0%",IF(S493&lt;0.5,"1-49%",IF(S493&lt;0.8,"50-79%",IF(S493&lt;1,"80-99%","100%"))))</x:f>
        <x:v>1-49%</x:v>
      </x:c>
      <x:c r="AD493" s="33" t="str">
        <x:f>IF(G493&lt;0,"Stock negativo",IF(G493&lt;=0,"Sin stock actual",IF(I493&lt;=0,"Sin ventas desde compra",IF(Q493&lt;=0,"Con stock, sin ventas 365d",IF(S493&lt;0.5,"Rotación baja",IF(S493&lt;1,"Rotación media","Compra absorbida; stock repuesto"))))))</x:f>
        <x:v>Con stock, sin ventas 365d</x:v>
      </x:c>
    </x:row>
    <x:row r="494">
      <x:c r="A494" s="31" t="str">
        <x:v>48316</x:v>
      </x:c>
      <x:c r="B494" s="53" t="str">
        <x:v>FILTRO ACEITE XTZ 250 FACTORY</x:v>
      </x:c>
      <x:c r="C494" s="32" t="n">
        <x:v>1</x:v>
      </x:c>
      <x:c r="D494" s="38" t="n">
        <x:v>1</x:v>
      </x:c>
      <x:c r="E494" s="44" t="n">
        <x:v>4000</x:v>
      </x:c>
      <x:c r="F494" s="44" t="n">
        <x:v>4000</x:v>
      </x:c>
      <x:c r="G494" s="41" t="n">
        <x:v>2</x:v>
      </x:c>
      <x:c r="H494" s="44" t="n">
        <x:f>MAX(G494,0)*E494</x:f>
        <x:v>8000</x:v>
      </x:c>
      <x:c r="I494" s="38" t="n">
        <x:v>4</x:v>
      </x:c>
      <x:c r="J494" s="44" t="n">
        <x:v>34400</x:v>
      </x:c>
      <x:c r="K494" s="32" t="n">
        <x:v>4</x:v>
      </x:c>
      <x:c r="L494" s="50" t="n">
        <x:v>45665.948483796295</x:v>
      </x:c>
      <x:c r="M494" s="50" t="n">
        <x:v>46255.826944444445</x:v>
      </x:c>
      <x:c r="N494" s="32" t="n">
        <x:f>IF(M494="","",MAX(0,'Resumen'!$B$3-M494))</x:f>
        <x:v>11.173055555555038</x:v>
      </x:c>
      <x:c r="O494" s="38" t="n">
        <x:v>2</x:v>
      </x:c>
      <x:c r="P494" s="38" t="n">
        <x:v>2</x:v>
      </x:c>
      <x:c r="Q494" s="38" t="n">
        <x:v>2</x:v>
      </x:c>
      <x:c r="R494" s="38" t="n">
        <x:f>MIN(D494,I494)</x:f>
        <x:v>1</x:v>
      </x:c>
      <x:c r="S494" s="47" t="n">
        <x:f>IFERROR(R494/D494,0)</x:f>
        <x:v>1</x:v>
      </x:c>
      <x:c r="T494" s="38" t="n">
        <x:f>MIN(MAX(G494,0),MAX(D494-I494,0))</x:f>
        <x:v>0</x:v>
      </x:c>
      <x:c r="U494" s="44" t="n">
        <x:f>T494*E494</x:f>
        <x:v>0</x:v>
      </x:c>
      <x:c r="V494" s="38" t="n">
        <x:v>5</x:v>
      </x:c>
      <x:c r="W494" s="32" t="n">
        <x:v>1</x:v>
      </x:c>
      <x:c r="X494" s="50" t="n">
        <x:v>45596</x:v>
      </x:c>
      <x:c r="Y494" s="44" t="n">
        <x:v>8800</x:v>
      </x:c>
      <x:c r="Z494" s="44" t="n">
        <x:f>IF(I494&gt;0,R494*(J494/I494),0)</x:f>
        <x:v>8600</x:v>
      </x:c>
      <x:c r="AA494" s="44" t="n">
        <x:f>Z494-(R494*E494)</x:f>
        <x:v>4600</x:v>
      </x:c>
      <x:c r="AB494" s="47" t="n">
        <x:f>IFERROR(AA494/Z494,0)</x:f>
        <x:v>0.5348837209302325</x:v>
      </x:c>
      <x:c r="AC494" s="32" t="str">
        <x:f>IF(S494=0,"0%",IF(S494&lt;0.5,"1-49%",IF(S494&lt;0.8,"50-79%",IF(S494&lt;1,"80-99%","100%"))))</x:f>
        <x:v>100%</x:v>
      </x:c>
      <x:c r="AD494" s="33" t="str">
        <x:f>IF(G494&lt;0,"Stock negativo",IF(G494&lt;=0,"Sin stock actual",IF(I494&lt;=0,"Sin ventas desde compra",IF(Q494&lt;=0,"Con stock, sin ventas 365d",IF(S494&lt;0.5,"Rotación baja",IF(S494&lt;1,"Rotación media","Compra absorbida; stock repuesto"))))))</x:f>
        <x:v>Compra absorbida; stock repuesto</x:v>
      </x:c>
    </x:row>
    <x:row r="495">
      <x:c r="A495" s="31" t="str">
        <x:v>58300</x:v>
      </x:c>
      <x:c r="B495" s="53" t="str">
        <x:v>GUAYA ACELERADOR CBF 150 SUPRAPARTS</x:v>
      </x:c>
      <x:c r="C495" s="32" t="n">
        <x:v>1</x:v>
      </x:c>
      <x:c r="D495" s="38" t="n">
        <x:v>1</x:v>
      </x:c>
      <x:c r="E495" s="44" t="n">
        <x:v>4000</x:v>
      </x:c>
      <x:c r="F495" s="44" t="n">
        <x:v>4000</x:v>
      </x:c>
      <x:c r="G495" s="41" t="n">
        <x:v>0</x:v>
      </x:c>
      <x:c r="H495" s="44" t="n">
        <x:f>MAX(G495,0)*E495</x:f>
        <x:v>0</x:v>
      </x:c>
      <x:c r="I495" s="38" t="n">
        <x:v>1</x:v>
      </x:c>
      <x:c r="J495" s="44" t="n">
        <x:v>7000</x:v>
      </x:c>
      <x:c r="K495" s="32" t="n">
        <x:v>1</x:v>
      </x:c>
      <x:c r="L495" s="50" t="n">
        <x:v>45577.85005787037</x:v>
      </x:c>
      <x:c r="M495" s="50" t="n">
        <x:v>45577.85005787037</x:v>
      </x:c>
      <x:c r="N495" s="32" t="n">
        <x:f>IF(M495="","",MAX(0,'Resumen'!$B$3-M495))</x:f>
        <x:v>689.1499421296321</x:v>
      </x:c>
      <x:c r="O495" s="38" t="n">
        <x:v>0</x:v>
      </x:c>
      <x:c r="P495" s="38" t="n">
        <x:v>0</x:v>
      </x:c>
      <x:c r="Q495" s="38" t="n">
        <x:v>0</x:v>
      </x:c>
      <x:c r="R495" s="38" t="n">
        <x:f>MIN(D495,I495)</x:f>
        <x:v>1</x:v>
      </x:c>
      <x:c r="S495" s="47" t="n">
        <x:f>IFERROR(R495/D495,0)</x:f>
        <x:v>1</x:v>
      </x:c>
      <x:c r="T495" s="38" t="n">
        <x:f>MIN(MAX(G495,0),MAX(D495-I495,0))</x:f>
        <x:v>0</x:v>
      </x:c>
      <x:c r="U495" s="44" t="n">
        <x:f>T495*E495</x:f>
        <x:v>0</x:v>
      </x:c>
      <x:c r="V495" s="38" t="n">
        <x:v>0</x:v>
      </x:c>
      <x:c r="W495" s="32" t="n">
        <x:v>0</x:v>
      </x:c>
      <x:c r="X495" s="50"/>
      <x:c r="Y495" s="44" t="n">
        <x:v>7000</x:v>
      </x:c>
      <x:c r="Z495" s="44" t="n">
        <x:f>IF(I495&gt;0,R495*(J495/I495),0)</x:f>
        <x:v>7000</x:v>
      </x:c>
      <x:c r="AA495" s="44" t="n">
        <x:f>Z495-(R495*E495)</x:f>
        <x:v>3000</x:v>
      </x:c>
      <x:c r="AB495" s="47" t="n">
        <x:f>IFERROR(AA495/Z495,0)</x:f>
        <x:v>0.42857142857142855</x:v>
      </x:c>
      <x:c r="AC495" s="32" t="str">
        <x:f>IF(S495=0,"0%",IF(S495&lt;0.5,"1-49%",IF(S495&lt;0.8,"50-79%",IF(S495&lt;1,"80-99%","100%"))))</x:f>
        <x:v>100%</x:v>
      </x:c>
      <x:c r="AD495" s="33" t="str">
        <x:f>IF(G495&lt;0,"Stock negativo",IF(G495&lt;=0,"Sin stock actual",IF(I495&lt;=0,"Sin ventas desde compra",IF(Q495&lt;=0,"Con stock, sin ventas 365d",IF(S495&lt;0.5,"Rotación baja",IF(S495&lt;1,"Rotación media","Compra absorbida; stock repuesto"))))))</x:f>
        <x:v>Sin stock actual</x:v>
      </x:c>
    </x:row>
    <x:row r="496">
      <x:c r="A496" s="31" t="str">
        <x:v>MOTS1024</x:v>
      </x:c>
      <x:c r="B496" s="53" t="str">
        <x:v>FILTRO ACEITE SUZUKI DR 200/300 IMBRA</x:v>
      </x:c>
      <x:c r="C496" s="32" t="n">
        <x:v>1</x:v>
      </x:c>
      <x:c r="D496" s="38" t="n">
        <x:v>1</x:v>
      </x:c>
      <x:c r="E496" s="44" t="n">
        <x:v>4000</x:v>
      </x:c>
      <x:c r="F496" s="44" t="n">
        <x:v>4000</x:v>
      </x:c>
      <x:c r="G496" s="41" t="n">
        <x:v>0</x:v>
      </x:c>
      <x:c r="H496" s="44" t="n">
        <x:f>MAX(G496,0)*E496</x:f>
        <x:v>0</x:v>
      </x:c>
      <x:c r="I496" s="38" t="n">
        <x:v>1</x:v>
      </x:c>
      <x:c r="J496" s="44" t="n">
        <x:v>7000</x:v>
      </x:c>
      <x:c r="K496" s="32" t="n">
        <x:v>1</x:v>
      </x:c>
      <x:c r="L496" s="50" t="n">
        <x:v>45579.63209490741</x:v>
      </x:c>
      <x:c r="M496" s="50" t="n">
        <x:v>45579.63209490741</x:v>
      </x:c>
      <x:c r="N496" s="32" t="n">
        <x:f>IF(M496="","",MAX(0,'Resumen'!$B$3-M496))</x:f>
        <x:v>687.367905092593</x:v>
      </x:c>
      <x:c r="O496" s="38" t="n">
        <x:v>0</x:v>
      </x:c>
      <x:c r="P496" s="38" t="n">
        <x:v>0</x:v>
      </x:c>
      <x:c r="Q496" s="38" t="n">
        <x:v>0</x:v>
      </x:c>
      <x:c r="R496" s="38" t="n">
        <x:f>MIN(D496,I496)</x:f>
        <x:v>1</x:v>
      </x:c>
      <x:c r="S496" s="47" t="n">
        <x:f>IFERROR(R496/D496,0)</x:f>
        <x:v>1</x:v>
      </x:c>
      <x:c r="T496" s="38" t="n">
        <x:f>MIN(MAX(G496,0),MAX(D496-I496,0))</x:f>
        <x:v>0</x:v>
      </x:c>
      <x:c r="U496" s="44" t="n">
        <x:f>T496*E496</x:f>
        <x:v>0</x:v>
      </x:c>
      <x:c r="V496" s="38" t="n">
        <x:v>0</x:v>
      </x:c>
      <x:c r="W496" s="32" t="n">
        <x:v>0</x:v>
      </x:c>
      <x:c r="X496" s="50"/>
      <x:c r="Y496" s="44" t="n">
        <x:v>7000</x:v>
      </x:c>
      <x:c r="Z496" s="44" t="n">
        <x:f>IF(I496&gt;0,R496*(J496/I496),0)</x:f>
        <x:v>7000</x:v>
      </x:c>
      <x:c r="AA496" s="44" t="n">
        <x:f>Z496-(R496*E496)</x:f>
        <x:v>3000</x:v>
      </x:c>
      <x:c r="AB496" s="47" t="n">
        <x:f>IFERROR(AA496/Z496,0)</x:f>
        <x:v>0.42857142857142855</x:v>
      </x:c>
      <x:c r="AC496" s="32" t="str">
        <x:f>IF(S496=0,"0%",IF(S496&lt;0.5,"1-49%",IF(S496&lt;0.8,"50-79%",IF(S496&lt;1,"80-99%","100%"))))</x:f>
        <x:v>100%</x:v>
      </x:c>
      <x:c r="AD496" s="33" t="str">
        <x:f>IF(G496&lt;0,"Stock negativo",IF(G496&lt;=0,"Sin stock actual",IF(I496&lt;=0,"Sin ventas desde compra",IF(Q496&lt;=0,"Con stock, sin ventas 365d",IF(S496&lt;0.5,"Rotación baja",IF(S496&lt;1,"Rotación media","Compra absorbida; stock repuesto"))))))</x:f>
        <x:v>Sin stock actual</x:v>
      </x:c>
    </x:row>
    <x:row r="497">
      <x:c r="A497" s="31" t="str">
        <x:v>MOTS1041</x:v>
      </x:c>
      <x:c r="B497" s="53" t="str">
        <x:v>RETEN 17-35-5</x:v>
      </x:c>
      <x:c r="C497" s="32" t="n">
        <x:v>1</x:v>
      </x:c>
      <x:c r="D497" s="38" t="n">
        <x:v>2</x:v>
      </x:c>
      <x:c r="E497" s="44" t="n">
        <x:v>2000</x:v>
      </x:c>
      <x:c r="F497" s="44" t="n">
        <x:v>4000</x:v>
      </x:c>
      <x:c r="G497" s="41" t="n">
        <x:v>2</x:v>
      </x:c>
      <x:c r="H497" s="44" t="n">
        <x:f>MAX(G497,0)*E497</x:f>
        <x:v>4000</x:v>
      </x:c>
      <x:c r="I497" s="38" t="n">
        <x:v>0</x:v>
      </x:c>
      <x:c r="J497" s="44" t="n">
        <x:v>0</x:v>
      </x:c>
      <x:c r="K497" s="32" t="n">
        <x:v>0</x:v>
      </x:c>
      <x:c r="L497" s="50"/>
      <x:c r="M497" s="50"/>
      <x:c r="N497" s="32" t="str">
        <x:f>IF(M497="","",MAX(0,'Resumen'!$B$3-M497))</x:f>
      </x:c>
      <x:c r="O497" s="38" t="n">
        <x:v>0</x:v>
      </x:c>
      <x:c r="P497" s="38" t="n">
        <x:v>0</x:v>
      </x:c>
      <x:c r="Q497" s="38" t="n">
        <x:v>0</x:v>
      </x:c>
      <x:c r="R497" s="38" t="n">
        <x:f>MIN(D497,I497)</x:f>
        <x:v>0</x:v>
      </x:c>
      <x:c r="S497" s="47" t="n">
        <x:f>IFERROR(R497/D497,0)</x:f>
        <x:v>0</x:v>
      </x:c>
      <x:c r="T497" s="38" t="n">
        <x:f>MIN(MAX(G497,0),MAX(D497-I497,0))</x:f>
        <x:v>2</x:v>
      </x:c>
      <x:c r="U497" s="44" t="n">
        <x:f>T497*E497</x:f>
        <x:v>4000</x:v>
      </x:c>
      <x:c r="V497" s="38" t="n">
        <x:v>0</x:v>
      </x:c>
      <x:c r="W497" s="32" t="n">
        <x:v>0</x:v>
      </x:c>
      <x:c r="X497" s="50"/>
      <x:c r="Y497" s="44" t="n">
        <x:v>3500</x:v>
      </x:c>
      <x:c r="Z497" s="44" t="n">
        <x:f>IF(I497&gt;0,R497*(J497/I497),0)</x:f>
        <x:v>0</x:v>
      </x:c>
      <x:c r="AA497" s="44" t="n">
        <x:f>Z497-(R497*E497)</x:f>
        <x:v>0</x:v>
      </x:c>
      <x:c r="AB497" s="47" t="n">
        <x:f>IFERROR(AA497/Z497,0)</x:f>
        <x:v>0</x:v>
      </x:c>
      <x:c r="AC497" s="32" t="str">
        <x:f>IF(S497=0,"0%",IF(S497&lt;0.5,"1-49%",IF(S497&lt;0.8,"50-79%",IF(S497&lt;1,"80-99%","100%"))))</x:f>
        <x:v>0%</x:v>
      </x:c>
      <x:c r="AD497" s="33" t="str">
        <x:f>IF(G497&lt;0,"Stock negativo",IF(G497&lt;=0,"Sin stock actual",IF(I497&lt;=0,"Sin ventas desde compra",IF(Q497&lt;=0,"Con stock, sin ventas 365d",IF(S497&lt;0.5,"Rotación baja",IF(S497&lt;1,"Rotación media","Compra absorbida; stock repuesto"))))))</x:f>
        <x:v>Sin ventas desde compra</x:v>
      </x:c>
    </x:row>
    <x:row r="498">
      <x:c r="A498" s="31" t="str">
        <x:v>MOTS1066</x:v>
      </x:c>
      <x:c r="B498" s="53" t="str">
        <x:v>RETEN 30-40.5-10-5</x:v>
      </x:c>
      <x:c r="C498" s="32" t="n">
        <x:v>1</x:v>
      </x:c>
      <x:c r="D498" s="38" t="n">
        <x:v>2</x:v>
      </x:c>
      <x:c r="E498" s="44" t="n">
        <x:v>2000</x:v>
      </x:c>
      <x:c r="F498" s="44" t="n">
        <x:v>4000</x:v>
      </x:c>
      <x:c r="G498" s="41" t="n">
        <x:v>1</x:v>
      </x:c>
      <x:c r="H498" s="44" t="n">
        <x:f>MAX(G498,0)*E498</x:f>
        <x:v>2000</x:v>
      </x:c>
      <x:c r="I498" s="38" t="n">
        <x:v>1</x:v>
      </x:c>
      <x:c r="J498" s="44" t="n">
        <x:v>3500</x:v>
      </x:c>
      <x:c r="K498" s="32" t="n">
        <x:v>1</x:v>
      </x:c>
      <x:c r="L498" s="50" t="n">
        <x:v>45638.88628472222</x:v>
      </x:c>
      <x:c r="M498" s="50" t="n">
        <x:v>45638.88628472222</x:v>
      </x:c>
      <x:c r="N498" s="32" t="n">
        <x:f>IF(M498="","",MAX(0,'Resumen'!$B$3-M498))</x:f>
        <x:v>628.113715277781</x:v>
      </x:c>
      <x:c r="O498" s="38" t="n">
        <x:v>0</x:v>
      </x:c>
      <x:c r="P498" s="38" t="n">
        <x:v>0</x:v>
      </x:c>
      <x:c r="Q498" s="38" t="n">
        <x:v>0</x:v>
      </x:c>
      <x:c r="R498" s="38" t="n">
        <x:f>MIN(D498,I498)</x:f>
        <x:v>1</x:v>
      </x:c>
      <x:c r="S498" s="47" t="n">
        <x:f>IFERROR(R498/D498,0)</x:f>
        <x:v>0.5</x:v>
      </x:c>
      <x:c r="T498" s="38" t="n">
        <x:f>MIN(MAX(G498,0),MAX(D498-I498,0))</x:f>
        <x:v>1</x:v>
      </x:c>
      <x:c r="U498" s="44" t="n">
        <x:f>T498*E498</x:f>
        <x:v>2000</x:v>
      </x:c>
      <x:c r="V498" s="38" t="n">
        <x:v>0</x:v>
      </x:c>
      <x:c r="W498" s="32" t="n">
        <x:v>0</x:v>
      </x:c>
      <x:c r="X498" s="50"/>
      <x:c r="Y498" s="44" t="n">
        <x:v>3500</x:v>
      </x:c>
      <x:c r="Z498" s="44" t="n">
        <x:f>IF(I498&gt;0,R498*(J498/I498),0)</x:f>
        <x:v>3500</x:v>
      </x:c>
      <x:c r="AA498" s="44" t="n">
        <x:f>Z498-(R498*E498)</x:f>
        <x:v>1500</x:v>
      </x:c>
      <x:c r="AB498" s="47" t="n">
        <x:f>IFERROR(AA498/Z498,0)</x:f>
        <x:v>0.42857142857142855</x:v>
      </x:c>
      <x:c r="AC498" s="32" t="str">
        <x:f>IF(S498=0,"0%",IF(S498&lt;0.5,"1-49%",IF(S498&lt;0.8,"50-79%",IF(S498&lt;1,"80-99%","100%"))))</x:f>
        <x:v>50-79%</x:v>
      </x:c>
      <x:c r="AD498" s="33" t="str">
        <x:f>IF(G498&lt;0,"Stock negativo",IF(G498&lt;=0,"Sin stock actual",IF(I498&lt;=0,"Sin ventas desde compra",IF(Q498&lt;=0,"Con stock, sin ventas 365d",IF(S498&lt;0.5,"Rotación baja",IF(S498&lt;1,"Rotación media","Compra absorbida; stock repuesto"))))))</x:f>
        <x:v>Con stock, sin ventas 365d</x:v>
      </x:c>
    </x:row>
    <x:row r="499">
      <x:c r="A499" s="31" t="str">
        <x:v>MOTS1122</x:v>
      </x:c>
      <x:c r="B499" s="53" t="str">
        <x:v>EMBLEMA YAMAHA</x:v>
      </x:c>
      <x:c r="C499" s="32" t="n">
        <x:v>1</x:v>
      </x:c>
      <x:c r="D499" s="38" t="n">
        <x:v>2</x:v>
      </x:c>
      <x:c r="E499" s="44" t="n">
        <x:v>2000</x:v>
      </x:c>
      <x:c r="F499" s="44" t="n">
        <x:v>4000</x:v>
      </x:c>
      <x:c r="G499" s="41" t="n">
        <x:v>2</x:v>
      </x:c>
      <x:c r="H499" s="44" t="n">
        <x:f>MAX(G499,0)*E499</x:f>
        <x:v>4000</x:v>
      </x:c>
      <x:c r="I499" s="38" t="n">
        <x:v>0</x:v>
      </x:c>
      <x:c r="J499" s="44" t="n">
        <x:v>0</x:v>
      </x:c>
      <x:c r="K499" s="32" t="n">
        <x:v>0</x:v>
      </x:c>
      <x:c r="L499" s="50"/>
      <x:c r="M499" s="50"/>
      <x:c r="N499" s="32" t="str">
        <x:f>IF(M499="","",MAX(0,'Resumen'!$B$3-M499))</x:f>
      </x:c>
      <x:c r="O499" s="38" t="n">
        <x:v>0</x:v>
      </x:c>
      <x:c r="P499" s="38" t="n">
        <x:v>0</x:v>
      </x:c>
      <x:c r="Q499" s="38" t="n">
        <x:v>0</x:v>
      </x:c>
      <x:c r="R499" s="38" t="n">
        <x:f>MIN(D499,I499)</x:f>
        <x:v>0</x:v>
      </x:c>
      <x:c r="S499" s="47" t="n">
        <x:f>IFERROR(R499/D499,0)</x:f>
        <x:v>0</x:v>
      </x:c>
      <x:c r="T499" s="38" t="n">
        <x:f>MIN(MAX(G499,0),MAX(D499-I499,0))</x:f>
        <x:v>2</x:v>
      </x:c>
      <x:c r="U499" s="44" t="n">
        <x:f>T499*E499</x:f>
        <x:v>4000</x:v>
      </x:c>
      <x:c r="V499" s="38" t="n">
        <x:v>0</x:v>
      </x:c>
      <x:c r="W499" s="32" t="n">
        <x:v>0</x:v>
      </x:c>
      <x:c r="X499" s="50"/>
      <x:c r="Y499" s="44" t="n">
        <x:v>3500</x:v>
      </x:c>
      <x:c r="Z499" s="44" t="n">
        <x:f>IF(I499&gt;0,R499*(J499/I499),0)</x:f>
        <x:v>0</x:v>
      </x:c>
      <x:c r="AA499" s="44" t="n">
        <x:f>Z499-(R499*E499)</x:f>
        <x:v>0</x:v>
      </x:c>
      <x:c r="AB499" s="47" t="n">
        <x:f>IFERROR(AA499/Z499,0)</x:f>
        <x:v>0</x:v>
      </x:c>
      <x:c r="AC499" s="32" t="str">
        <x:f>IF(S499=0,"0%",IF(S499&lt;0.5,"1-49%",IF(S499&lt;0.8,"50-79%",IF(S499&lt;1,"80-99%","100%"))))</x:f>
        <x:v>0%</x:v>
      </x:c>
      <x:c r="AD499" s="33" t="str">
        <x:f>IF(G499&lt;0,"Stock negativo",IF(G499&lt;=0,"Sin stock actual",IF(I499&lt;=0,"Sin ventas desde compra",IF(Q499&lt;=0,"Con stock, sin ventas 365d",IF(S499&lt;0.5,"Rotación baja",IF(S499&lt;1,"Rotación media","Compra absorbida; stock repuesto"))))))</x:f>
        <x:v>Sin ventas desde compra</x:v>
      </x:c>
    </x:row>
    <x:row r="500">
      <x:c r="A500" s="31" t="str">
        <x:v>MOTS1133</x:v>
      </x:c>
      <x:c r="B500" s="53" t="str">
        <x:v>FUSIBLE MUELA PÑA 15 AM</x:v>
      </x:c>
      <x:c r="C500" s="32" t="n">
        <x:v>1</x:v>
      </x:c>
      <x:c r="D500" s="38" t="n">
        <x:v>10</x:v>
      </x:c>
      <x:c r="E500" s="44" t="n">
        <x:v>400</x:v>
      </x:c>
      <x:c r="F500" s="44" t="n">
        <x:v>4000</x:v>
      </x:c>
      <x:c r="G500" s="41" t="n">
        <x:v>1</x:v>
      </x:c>
      <x:c r="H500" s="44" t="n">
        <x:f>MAX(G500,0)*E500</x:f>
        <x:v>400</x:v>
      </x:c>
      <x:c r="I500" s="38" t="n">
        <x:v>9</x:v>
      </x:c>
      <x:c r="J500" s="44" t="n">
        <x:v>6100</x:v>
      </x:c>
      <x:c r="K500" s="32" t="n">
        <x:v>7</x:v>
      </x:c>
      <x:c r="L500" s="50" t="n">
        <x:v>45515.6496875</x:v>
      </x:c>
      <x:c r="M500" s="50" t="n">
        <x:v>46110.72015046296</x:v>
      </x:c>
      <x:c r="N500" s="32" t="n">
        <x:f>IF(M500="","",MAX(0,'Resumen'!$B$3-M500))</x:f>
        <x:v>156.27984953703708</x:v>
      </x:c>
      <x:c r="O500" s="38" t="n">
        <x:v>0</x:v>
      </x:c>
      <x:c r="P500" s="38" t="n">
        <x:v>0</x:v>
      </x:c>
      <x:c r="Q500" s="38" t="n">
        <x:v>2</x:v>
      </x:c>
      <x:c r="R500" s="38" t="n">
        <x:f>MIN(D500,I500)</x:f>
        <x:v>9</x:v>
      </x:c>
      <x:c r="S500" s="47" t="n">
        <x:f>IFERROR(R500/D500,0)</x:f>
        <x:v>0.9</x:v>
      </x:c>
      <x:c r="T500" s="38" t="n">
        <x:f>MIN(MAX(G500,0),MAX(D500-I500,0))</x:f>
        <x:v>1</x:v>
      </x:c>
      <x:c r="U500" s="44" t="n">
        <x:f>T500*E500</x:f>
        <x:v>400</x:v>
      </x:c>
      <x:c r="V500" s="38" t="n">
        <x:v>0</x:v>
      </x:c>
      <x:c r="W500" s="32" t="n">
        <x:v>0</x:v>
      </x:c>
      <x:c r="X500" s="50"/>
      <x:c r="Y500" s="44" t="n">
        <x:v>700</x:v>
      </x:c>
      <x:c r="Z500" s="44" t="n">
        <x:f>IF(I500&gt;0,R500*(J500/I500),0)</x:f>
        <x:v>6100</x:v>
      </x:c>
      <x:c r="AA500" s="44" t="n">
        <x:f>Z500-(R500*E500)</x:f>
        <x:v>2500</x:v>
      </x:c>
      <x:c r="AB500" s="47" t="n">
        <x:f>IFERROR(AA500/Z500,0)</x:f>
        <x:v>0.4098360655737705</x:v>
      </x:c>
      <x:c r="AC500" s="32" t="str">
        <x:f>IF(S500=0,"0%",IF(S500&lt;0.5,"1-49%",IF(S500&lt;0.8,"50-79%",IF(S500&lt;1,"80-99%","100%"))))</x:f>
        <x:v>80-99%</x:v>
      </x:c>
      <x:c r="AD500" s="33" t="str">
        <x:f>IF(G500&lt;0,"Stock negativo",IF(G500&lt;=0,"Sin stock actual",IF(I500&lt;=0,"Sin ventas desde compra",IF(Q500&lt;=0,"Con stock, sin ventas 365d",IF(S500&lt;0.5,"Rotación baja",IF(S500&lt;1,"Rotación media","Compra absorbida; stock repuesto"))))))</x:f>
        <x:v>Rotación media</x:v>
      </x:c>
    </x:row>
    <x:row r="501">
      <x:c r="A501" s="31" t="str">
        <x:v>MOTS1135</x:v>
      </x:c>
      <x:c r="B501" s="53" t="str">
        <x:v>FUSIBLE MUELA GR 20 AM</x:v>
      </x:c>
      <x:c r="C501" s="32" t="n">
        <x:v>1</x:v>
      </x:c>
      <x:c r="D501" s="38" t="n">
        <x:v>10</x:v>
      </x:c>
      <x:c r="E501" s="44" t="n">
        <x:v>400</x:v>
      </x:c>
      <x:c r="F501" s="44" t="n">
        <x:v>4000</x:v>
      </x:c>
      <x:c r="G501" s="41" t="n">
        <x:v>0</x:v>
      </x:c>
      <x:c r="H501" s="44" t="n">
        <x:f>MAX(G501,0)*E501</x:f>
        <x:v>0</x:v>
      </x:c>
      <x:c r="I501" s="38" t="n">
        <x:v>10</x:v>
      </x:c>
      <x:c r="J501" s="44" t="n">
        <x:v>7000</x:v>
      </x:c>
      <x:c r="K501" s="32" t="n">
        <x:v>6</x:v>
      </x:c>
      <x:c r="L501" s="50" t="n">
        <x:v>45503.820081018515</x:v>
      </x:c>
      <x:c r="M501" s="50" t="n">
        <x:v>45653.912881944445</x:v>
      </x:c>
      <x:c r="N501" s="32" t="n">
        <x:f>IF(M501="","",MAX(0,'Resumen'!$B$3-M501))</x:f>
        <x:v>613.087118055555</x:v>
      </x:c>
      <x:c r="O501" s="38" t="n">
        <x:v>0</x:v>
      </x:c>
      <x:c r="P501" s="38" t="n">
        <x:v>0</x:v>
      </x:c>
      <x:c r="Q501" s="38" t="n">
        <x:v>0</x:v>
      </x:c>
      <x:c r="R501" s="38" t="n">
        <x:f>MIN(D501,I501)</x:f>
        <x:v>10</x:v>
      </x:c>
      <x:c r="S501" s="47" t="n">
        <x:f>IFERROR(R501/D501,0)</x:f>
        <x:v>1</x:v>
      </x:c>
      <x:c r="T501" s="38" t="n">
        <x:f>MIN(MAX(G501,0),MAX(D501-I501,0))</x:f>
        <x:v>0</x:v>
      </x:c>
      <x:c r="U501" s="44" t="n">
        <x:f>T501*E501</x:f>
        <x:v>0</x:v>
      </x:c>
      <x:c r="V501" s="38" t="n">
        <x:v>0</x:v>
      </x:c>
      <x:c r="W501" s="32" t="n">
        <x:v>0</x:v>
      </x:c>
      <x:c r="X501" s="50"/>
      <x:c r="Y501" s="44" t="n">
        <x:v>700</x:v>
      </x:c>
      <x:c r="Z501" s="44" t="n">
        <x:f>IF(I501&gt;0,R501*(J501/I501),0)</x:f>
        <x:v>7000</x:v>
      </x:c>
      <x:c r="AA501" s="44" t="n">
        <x:f>Z501-(R501*E501)</x:f>
        <x:v>3000</x:v>
      </x:c>
      <x:c r="AB501" s="47" t="n">
        <x:f>IFERROR(AA501/Z501,0)</x:f>
        <x:v>0.42857142857142855</x:v>
      </x:c>
      <x:c r="AC501" s="32" t="str">
        <x:f>IF(S501=0,"0%",IF(S501&lt;0.5,"1-49%",IF(S501&lt;0.8,"50-79%",IF(S501&lt;1,"80-99%","100%"))))</x:f>
        <x:v>100%</x:v>
      </x:c>
      <x:c r="AD501" s="33" t="str">
        <x:f>IF(G501&lt;0,"Stock negativo",IF(G501&lt;=0,"Sin stock actual",IF(I501&lt;=0,"Sin ventas desde compra",IF(Q501&lt;=0,"Con stock, sin ventas 365d",IF(S501&lt;0.5,"Rotación baja",IF(S501&lt;1,"Rotación media","Compra absorbida; stock repuesto"))))))</x:f>
        <x:v>Sin stock actual</x:v>
      </x:c>
    </x:row>
    <x:row r="502">
      <x:c r="A502" s="31" t="str">
        <x:v>MOTS1188</x:v>
      </x:c>
      <x:c r="B502" s="53" t="str">
        <x:v>TROMPO STOP TRASERO CON DOBLE TUERCA</x:v>
      </x:c>
      <x:c r="C502" s="32" t="n">
        <x:v>1</x:v>
      </x:c>
      <x:c r="D502" s="38" t="n">
        <x:v>2</x:v>
      </x:c>
      <x:c r="E502" s="44" t="n">
        <x:v>2000</x:v>
      </x:c>
      <x:c r="F502" s="44" t="n">
        <x:v>4000</x:v>
      </x:c>
      <x:c r="G502" s="41" t="n">
        <x:v>0</x:v>
      </x:c>
      <x:c r="H502" s="44" t="n">
        <x:f>MAX(G502,0)*E502</x:f>
        <x:v>0</x:v>
      </x:c>
      <x:c r="I502" s="38" t="n">
        <x:v>2</x:v>
      </x:c>
      <x:c r="J502" s="44" t="n">
        <x:v>7000</x:v>
      </x:c>
      <x:c r="K502" s="32" t="n">
        <x:v>2</x:v>
      </x:c>
      <x:c r="L502" s="50" t="n">
        <x:v>45591.58458333334</x:v>
      </x:c>
      <x:c r="M502" s="50" t="n">
        <x:v>45652.70841435185</x:v>
      </x:c>
      <x:c r="N502" s="32" t="n">
        <x:f>IF(M502="","",MAX(0,'Resumen'!$B$3-M502))</x:f>
        <x:v>614.2915856481486</x:v>
      </x:c>
      <x:c r="O502" s="38" t="n">
        <x:v>0</x:v>
      </x:c>
      <x:c r="P502" s="38" t="n">
        <x:v>0</x:v>
      </x:c>
      <x:c r="Q502" s="38" t="n">
        <x:v>0</x:v>
      </x:c>
      <x:c r="R502" s="38" t="n">
        <x:f>MIN(D502,I502)</x:f>
        <x:v>2</x:v>
      </x:c>
      <x:c r="S502" s="47" t="n">
        <x:f>IFERROR(R502/D502,0)</x:f>
        <x:v>1</x:v>
      </x:c>
      <x:c r="T502" s="38" t="n">
        <x:f>MIN(MAX(G502,0),MAX(D502-I502,0))</x:f>
        <x:v>0</x:v>
      </x:c>
      <x:c r="U502" s="44" t="n">
        <x:f>T502*E502</x:f>
        <x:v>0</x:v>
      </x:c>
      <x:c r="V502" s="38" t="n">
        <x:v>0</x:v>
      </x:c>
      <x:c r="W502" s="32" t="n">
        <x:v>0</x:v>
      </x:c>
      <x:c r="X502" s="50"/>
      <x:c r="Y502" s="44" t="n">
        <x:v>3500</x:v>
      </x:c>
      <x:c r="Z502" s="44" t="n">
        <x:f>IF(I502&gt;0,R502*(J502/I502),0)</x:f>
        <x:v>7000</x:v>
      </x:c>
      <x:c r="AA502" s="44" t="n">
        <x:f>Z502-(R502*E502)</x:f>
        <x:v>3000</x:v>
      </x:c>
      <x:c r="AB502" s="47" t="n">
        <x:f>IFERROR(AA502/Z502,0)</x:f>
        <x:v>0.42857142857142855</x:v>
      </x:c>
      <x:c r="AC502" s="32" t="str">
        <x:f>IF(S502=0,"0%",IF(S502&lt;0.5,"1-49%",IF(S502&lt;0.8,"50-79%",IF(S502&lt;1,"80-99%","100%"))))</x:f>
        <x:v>100%</x:v>
      </x:c>
      <x:c r="AD502" s="33" t="str">
        <x:f>IF(G502&lt;0,"Stock negativo",IF(G502&lt;=0,"Sin stock actual",IF(I502&lt;=0,"Sin ventas desde compra",IF(Q502&lt;=0,"Con stock, sin ventas 365d",IF(S502&lt;0.5,"Rotación baja",IF(S502&lt;1,"Rotación media","Compra absorbida; stock repuesto"))))))</x:f>
        <x:v>Sin stock actual</x:v>
      </x:c>
    </x:row>
    <x:row r="503">
      <x:c r="A503" s="31" t="str">
        <x:v>MOTS1199</x:v>
      </x:c>
      <x:c r="B503" s="53" t="str">
        <x:v>EMPAQUE EXOSTO DT / AX</x:v>
      </x:c>
      <x:c r="C503" s="32" t="n">
        <x:v>1</x:v>
      </x:c>
      <x:c r="D503" s="38" t="n">
        <x:v>4</x:v>
      </x:c>
      <x:c r="E503" s="44" t="n">
        <x:v>1000</x:v>
      </x:c>
      <x:c r="F503" s="44" t="n">
        <x:v>4000</x:v>
      </x:c>
      <x:c r="G503" s="41" t="n">
        <x:v>0</x:v>
      </x:c>
      <x:c r="H503" s="44" t="n">
        <x:f>MAX(G503,0)*E503</x:f>
        <x:v>0</x:v>
      </x:c>
      <x:c r="I503" s="38" t="n">
        <x:v>4</x:v>
      </x:c>
      <x:c r="J503" s="44" t="n">
        <x:v>8000</x:v>
      </x:c>
      <x:c r="K503" s="32" t="n">
        <x:v>2</x:v>
      </x:c>
      <x:c r="L503" s="50" t="n">
        <x:v>45514.73284722222</x:v>
      </x:c>
      <x:c r="M503" s="50" t="n">
        <x:v>45516.646469907406</x:v>
      </x:c>
      <x:c r="N503" s="32" t="n">
        <x:f>IF(M503="","",MAX(0,'Resumen'!$B$3-M503))</x:f>
        <x:v>750.3535300925942</x:v>
      </x:c>
      <x:c r="O503" s="38" t="n">
        <x:v>0</x:v>
      </x:c>
      <x:c r="P503" s="38" t="n">
        <x:v>0</x:v>
      </x:c>
      <x:c r="Q503" s="38" t="n">
        <x:v>0</x:v>
      </x:c>
      <x:c r="R503" s="38" t="n">
        <x:f>MIN(D503,I503)</x:f>
        <x:v>4</x:v>
      </x:c>
      <x:c r="S503" s="47" t="n">
        <x:f>IFERROR(R503/D503,0)</x:f>
        <x:v>1</x:v>
      </x:c>
      <x:c r="T503" s="38" t="n">
        <x:f>MIN(MAX(G503,0),MAX(D503-I503,0))</x:f>
        <x:v>0</x:v>
      </x:c>
      <x:c r="U503" s="44" t="n">
        <x:f>T503*E503</x:f>
        <x:v>0</x:v>
      </x:c>
      <x:c r="V503" s="38" t="n">
        <x:v>0</x:v>
      </x:c>
      <x:c r="W503" s="32" t="n">
        <x:v>0</x:v>
      </x:c>
      <x:c r="X503" s="50"/>
      <x:c r="Y503" s="44" t="n">
        <x:v>2000</x:v>
      </x:c>
      <x:c r="Z503" s="44" t="n">
        <x:f>IF(I503&gt;0,R503*(J503/I503),0)</x:f>
        <x:v>8000</x:v>
      </x:c>
      <x:c r="AA503" s="44" t="n">
        <x:f>Z503-(R503*E503)</x:f>
        <x:v>4000</x:v>
      </x:c>
      <x:c r="AB503" s="47" t="n">
        <x:f>IFERROR(AA503/Z503,0)</x:f>
        <x:v>0.5</x:v>
      </x:c>
      <x:c r="AC503" s="32" t="str">
        <x:f>IF(S503=0,"0%",IF(S503&lt;0.5,"1-49%",IF(S503&lt;0.8,"50-79%",IF(S503&lt;1,"80-99%","100%"))))</x:f>
        <x:v>100%</x:v>
      </x:c>
      <x:c r="AD503" s="33" t="str">
        <x:f>IF(G503&lt;0,"Stock negativo",IF(G503&lt;=0,"Sin stock actual",IF(I503&lt;=0,"Sin ventas desde compra",IF(Q503&lt;=0,"Con stock, sin ventas 365d",IF(S503&lt;0.5,"Rotación baja",IF(S503&lt;1,"Rotación media","Compra absorbida; stock repuesto"))))))</x:f>
        <x:v>Sin stock actual</x:v>
      </x:c>
    </x:row>
    <x:row r="504">
      <x:c r="A504" s="31" t="str">
        <x:v>MOTS1224</x:v>
      </x:c>
      <x:c r="B504" s="53" t="str">
        <x:v>BALINERA 6004 2RS HFK</x:v>
      </x:c>
      <x:c r="C504" s="32" t="n">
        <x:v>1</x:v>
      </x:c>
      <x:c r="D504" s="38" t="n">
        <x:v>1</x:v>
      </x:c>
      <x:c r="E504" s="44" t="n">
        <x:v>4000</x:v>
      </x:c>
      <x:c r="F504" s="44" t="n">
        <x:v>4000</x:v>
      </x:c>
      <x:c r="G504" s="41" t="n">
        <x:v>1</x:v>
      </x:c>
      <x:c r="H504" s="44" t="n">
        <x:f>MAX(G504,0)*E504</x:f>
        <x:v>4000</x:v>
      </x:c>
      <x:c r="I504" s="38" t="n">
        <x:v>0</x:v>
      </x:c>
      <x:c r="J504" s="44" t="n">
        <x:v>0</x:v>
      </x:c>
      <x:c r="K504" s="32" t="n">
        <x:v>0</x:v>
      </x:c>
      <x:c r="L504" s="50"/>
      <x:c r="M504" s="50"/>
      <x:c r="N504" s="32" t="str">
        <x:f>IF(M504="","",MAX(0,'Resumen'!$B$3-M504))</x:f>
      </x:c>
      <x:c r="O504" s="38" t="n">
        <x:v>0</x:v>
      </x:c>
      <x:c r="P504" s="38" t="n">
        <x:v>0</x:v>
      </x:c>
      <x:c r="Q504" s="38" t="n">
        <x:v>0</x:v>
      </x:c>
      <x:c r="R504" s="38" t="n">
        <x:f>MIN(D504,I504)</x:f>
        <x:v>0</x:v>
      </x:c>
      <x:c r="S504" s="47" t="n">
        <x:f>IFERROR(R504/D504,0)</x:f>
        <x:v>0</x:v>
      </x:c>
      <x:c r="T504" s="38" t="n">
        <x:f>MIN(MAX(G504,0),MAX(D504-I504,0))</x:f>
        <x:v>1</x:v>
      </x:c>
      <x:c r="U504" s="44" t="n">
        <x:f>T504*E504</x:f>
        <x:v>4000</x:v>
      </x:c>
      <x:c r="V504" s="38" t="n">
        <x:v>0</x:v>
      </x:c>
      <x:c r="W504" s="32" t="n">
        <x:v>0</x:v>
      </x:c>
      <x:c r="X504" s="50"/>
      <x:c r="Y504" s="44" t="n">
        <x:v>7000</x:v>
      </x:c>
      <x:c r="Z504" s="44" t="n">
        <x:f>IF(I504&gt;0,R504*(J504/I504),0)</x:f>
        <x:v>0</x:v>
      </x:c>
      <x:c r="AA504" s="44" t="n">
        <x:f>Z504-(R504*E504)</x:f>
        <x:v>0</x:v>
      </x:c>
      <x:c r="AB504" s="47" t="n">
        <x:f>IFERROR(AA504/Z504,0)</x:f>
        <x:v>0</x:v>
      </x:c>
      <x:c r="AC504" s="32" t="str">
        <x:f>IF(S504=0,"0%",IF(S504&lt;0.5,"1-49%",IF(S504&lt;0.8,"50-79%",IF(S504&lt;1,"80-99%","100%"))))</x:f>
        <x:v>0%</x:v>
      </x:c>
      <x:c r="AD504" s="33" t="str">
        <x:f>IF(G504&lt;0,"Stock negativo",IF(G504&lt;=0,"Sin stock actual",IF(I504&lt;=0,"Sin ventas desde compra",IF(Q504&lt;=0,"Con stock, sin ventas 365d",IF(S504&lt;0.5,"Rotación baja",IF(S504&lt;1,"Rotación media","Compra absorbida; stock repuesto"))))))</x:f>
        <x:v>Sin ventas desde compra</x:v>
      </x:c>
    </x:row>
    <x:row r="505">
      <x:c r="A505" s="31" t="str">
        <x:v>MOTS1258</x:v>
      </x:c>
      <x:c r="B505" s="53" t="str">
        <x:v>GUAYA FRENO SPLENDOR NX6 CD100 DELUXE</x:v>
      </x:c>
      <x:c r="C505" s="32" t="n">
        <x:v>1</x:v>
      </x:c>
      <x:c r="D505" s="38" t="n">
        <x:v>1</x:v>
      </x:c>
      <x:c r="E505" s="44" t="n">
        <x:v>4000</x:v>
      </x:c>
      <x:c r="F505" s="44" t="n">
        <x:v>4000</x:v>
      </x:c>
      <x:c r="G505" s="41" t="n">
        <x:v>0</x:v>
      </x:c>
      <x:c r="H505" s="44" t="n">
        <x:f>MAX(G505,0)*E505</x:f>
        <x:v>0</x:v>
      </x:c>
      <x:c r="I505" s="38" t="n">
        <x:v>1</x:v>
      </x:c>
      <x:c r="J505" s="44" t="n">
        <x:v>7000</x:v>
      </x:c>
      <x:c r="K505" s="32" t="n">
        <x:v>1</x:v>
      </x:c>
      <x:c r="L505" s="50" t="n">
        <x:v>45568.57150462963</x:v>
      </x:c>
      <x:c r="M505" s="50" t="n">
        <x:v>45568.57150462963</x:v>
      </x:c>
      <x:c r="N505" s="32" t="n">
        <x:f>IF(M505="","",MAX(0,'Resumen'!$B$3-M505))</x:f>
        <x:v>698.4284953703682</x:v>
      </x:c>
      <x:c r="O505" s="38" t="n">
        <x:v>0</x:v>
      </x:c>
      <x:c r="P505" s="38" t="n">
        <x:v>0</x:v>
      </x:c>
      <x:c r="Q505" s="38" t="n">
        <x:v>0</x:v>
      </x:c>
      <x:c r="R505" s="38" t="n">
        <x:f>MIN(D505,I505)</x:f>
        <x:v>1</x:v>
      </x:c>
      <x:c r="S505" s="47" t="n">
        <x:f>IFERROR(R505/D505,0)</x:f>
        <x:v>1</x:v>
      </x:c>
      <x:c r="T505" s="38" t="n">
        <x:f>MIN(MAX(G505,0),MAX(D505-I505,0))</x:f>
        <x:v>0</x:v>
      </x:c>
      <x:c r="U505" s="44" t="n">
        <x:f>T505*E505</x:f>
        <x:v>0</x:v>
      </x:c>
      <x:c r="V505" s="38" t="n">
        <x:v>0</x:v>
      </x:c>
      <x:c r="W505" s="32" t="n">
        <x:v>0</x:v>
      </x:c>
      <x:c r="X505" s="50"/>
      <x:c r="Y505" s="44" t="n">
        <x:v>7000</x:v>
      </x:c>
      <x:c r="Z505" s="44" t="n">
        <x:f>IF(I505&gt;0,R505*(J505/I505),0)</x:f>
        <x:v>7000</x:v>
      </x:c>
      <x:c r="AA505" s="44" t="n">
        <x:f>Z505-(R505*E505)</x:f>
        <x:v>3000</x:v>
      </x:c>
      <x:c r="AB505" s="47" t="n">
        <x:f>IFERROR(AA505/Z505,0)</x:f>
        <x:v>0.42857142857142855</x:v>
      </x:c>
      <x:c r="AC505" s="32" t="str">
        <x:f>IF(S505=0,"0%",IF(S505&lt;0.5,"1-49%",IF(S505&lt;0.8,"50-79%",IF(S505&lt;1,"80-99%","100%"))))</x:f>
        <x:v>100%</x:v>
      </x:c>
      <x:c r="AD505" s="33" t="str">
        <x:f>IF(G505&lt;0,"Stock negativo",IF(G505&lt;=0,"Sin stock actual",IF(I505&lt;=0,"Sin ventas desde compra",IF(Q505&lt;=0,"Con stock, sin ventas 365d",IF(S505&lt;0.5,"Rotación baja",IF(S505&lt;1,"Rotación media","Compra absorbida; stock repuesto"))))))</x:f>
        <x:v>Sin stock actual</x:v>
      </x:c>
    </x:row>
    <x:row r="506">
      <x:c r="A506" s="31" t="str">
        <x:v>MOTS1261</x:v>
      </x:c>
      <x:c r="B506" s="53" t="str">
        <x:v>GUAYA FRENO DT YAMAHA EVERESTT</x:v>
      </x:c>
      <x:c r="C506" s="32" t="n">
        <x:v>1</x:v>
      </x:c>
      <x:c r="D506" s="38" t="n">
        <x:v>1</x:v>
      </x:c>
      <x:c r="E506" s="44" t="n">
        <x:v>4000</x:v>
      </x:c>
      <x:c r="F506" s="44" t="n">
        <x:v>4000</x:v>
      </x:c>
      <x:c r="G506" s="41" t="n">
        <x:v>1</x:v>
      </x:c>
      <x:c r="H506" s="44" t="n">
        <x:f>MAX(G506,0)*E506</x:f>
        <x:v>4000</x:v>
      </x:c>
      <x:c r="I506" s="38" t="n">
        <x:v>0</x:v>
      </x:c>
      <x:c r="J506" s="44" t="n">
        <x:v>0</x:v>
      </x:c>
      <x:c r="K506" s="32" t="n">
        <x:v>0</x:v>
      </x:c>
      <x:c r="L506" s="50"/>
      <x:c r="M506" s="50"/>
      <x:c r="N506" s="32" t="str">
        <x:f>IF(M506="","",MAX(0,'Resumen'!$B$3-M506))</x:f>
      </x:c>
      <x:c r="O506" s="38" t="n">
        <x:v>0</x:v>
      </x:c>
      <x:c r="P506" s="38" t="n">
        <x:v>0</x:v>
      </x:c>
      <x:c r="Q506" s="38" t="n">
        <x:v>0</x:v>
      </x:c>
      <x:c r="R506" s="38" t="n">
        <x:f>MIN(D506,I506)</x:f>
        <x:v>0</x:v>
      </x:c>
      <x:c r="S506" s="47" t="n">
        <x:f>IFERROR(R506/D506,0)</x:f>
        <x:v>0</x:v>
      </x:c>
      <x:c r="T506" s="38" t="n">
        <x:f>MIN(MAX(G506,0),MAX(D506-I506,0))</x:f>
        <x:v>1</x:v>
      </x:c>
      <x:c r="U506" s="44" t="n">
        <x:f>T506*E506</x:f>
        <x:v>4000</x:v>
      </x:c>
      <x:c r="V506" s="38" t="n">
        <x:v>0</x:v>
      </x:c>
      <x:c r="W506" s="32" t="n">
        <x:v>0</x:v>
      </x:c>
      <x:c r="X506" s="50"/>
      <x:c r="Y506" s="44" t="n">
        <x:v>7000</x:v>
      </x:c>
      <x:c r="Z506" s="44" t="n">
        <x:f>IF(I506&gt;0,R506*(J506/I506),0)</x:f>
        <x:v>0</x:v>
      </x:c>
      <x:c r="AA506" s="44" t="n">
        <x:f>Z506-(R506*E506)</x:f>
        <x:v>0</x:v>
      </x:c>
      <x:c r="AB506" s="47" t="n">
        <x:f>IFERROR(AA506/Z506,0)</x:f>
        <x:v>0</x:v>
      </x:c>
      <x:c r="AC506" s="32" t="str">
        <x:f>IF(S506=0,"0%",IF(S506&lt;0.5,"1-49%",IF(S506&lt;0.8,"50-79%",IF(S506&lt;1,"80-99%","100%"))))</x:f>
        <x:v>0%</x:v>
      </x:c>
      <x:c r="AD506" s="33" t="str">
        <x:f>IF(G506&lt;0,"Stock negativo",IF(G506&lt;=0,"Sin stock actual",IF(I506&lt;=0,"Sin ventas desde compra",IF(Q506&lt;=0,"Con stock, sin ventas 365d",IF(S506&lt;0.5,"Rotación baja",IF(S506&lt;1,"Rotación media","Compra absorbida; stock repuesto"))))))</x:f>
        <x:v>Sin ventas desde compra</x:v>
      </x:c>
    </x:row>
    <x:row r="507">
      <x:c r="A507" s="31" t="str">
        <x:v>MOTS1276</x:v>
      </x:c>
      <x:c r="B507" s="53" t="str">
        <x:v>GUAYA CLUCTH AX100 PAI WESH</x:v>
      </x:c>
      <x:c r="C507" s="32" t="n">
        <x:v>1</x:v>
      </x:c>
      <x:c r="D507" s="38" t="n">
        <x:v>1</x:v>
      </x:c>
      <x:c r="E507" s="44" t="n">
        <x:v>4000</x:v>
      </x:c>
      <x:c r="F507" s="44" t="n">
        <x:v>4000</x:v>
      </x:c>
      <x:c r="G507" s="41" t="n">
        <x:v>1</x:v>
      </x:c>
      <x:c r="H507" s="44" t="n">
        <x:f>MAX(G507,0)*E507</x:f>
        <x:v>4000</x:v>
      </x:c>
      <x:c r="I507" s="38" t="n">
        <x:v>0</x:v>
      </x:c>
      <x:c r="J507" s="44" t="n">
        <x:v>0</x:v>
      </x:c>
      <x:c r="K507" s="32" t="n">
        <x:v>0</x:v>
      </x:c>
      <x:c r="L507" s="50"/>
      <x:c r="M507" s="50"/>
      <x:c r="N507" s="32" t="str">
        <x:f>IF(M507="","",MAX(0,'Resumen'!$B$3-M507))</x:f>
      </x:c>
      <x:c r="O507" s="38" t="n">
        <x:v>0</x:v>
      </x:c>
      <x:c r="P507" s="38" t="n">
        <x:v>0</x:v>
      </x:c>
      <x:c r="Q507" s="38" t="n">
        <x:v>0</x:v>
      </x:c>
      <x:c r="R507" s="38" t="n">
        <x:f>MIN(D507,I507)</x:f>
        <x:v>0</x:v>
      </x:c>
      <x:c r="S507" s="47" t="n">
        <x:f>IFERROR(R507/D507,0)</x:f>
        <x:v>0</x:v>
      </x:c>
      <x:c r="T507" s="38" t="n">
        <x:f>MIN(MAX(G507,0),MAX(D507-I507,0))</x:f>
        <x:v>1</x:v>
      </x:c>
      <x:c r="U507" s="44" t="n">
        <x:f>T507*E507</x:f>
        <x:v>4000</x:v>
      </x:c>
      <x:c r="V507" s="38" t="n">
        <x:v>0</x:v>
      </x:c>
      <x:c r="W507" s="32" t="n">
        <x:v>0</x:v>
      </x:c>
      <x:c r="X507" s="50"/>
      <x:c r="Y507" s="44" t="n">
        <x:v>7000</x:v>
      </x:c>
      <x:c r="Z507" s="44" t="n">
        <x:f>IF(I507&gt;0,R507*(J507/I507),0)</x:f>
        <x:v>0</x:v>
      </x:c>
      <x:c r="AA507" s="44" t="n">
        <x:f>Z507-(R507*E507)</x:f>
        <x:v>0</x:v>
      </x:c>
      <x:c r="AB507" s="47" t="n">
        <x:f>IFERROR(AA507/Z507,0)</x:f>
        <x:v>0</x:v>
      </x:c>
      <x:c r="AC507" s="32" t="str">
        <x:f>IF(S507=0,"0%",IF(S507&lt;0.5,"1-49%",IF(S507&lt;0.8,"50-79%",IF(S507&lt;1,"80-99%","100%"))))</x:f>
        <x:v>0%</x:v>
      </x:c>
      <x:c r="AD507" s="33" t="str">
        <x:f>IF(G507&lt;0,"Stock negativo",IF(G507&lt;=0,"Sin stock actual",IF(I507&lt;=0,"Sin ventas desde compra",IF(Q507&lt;=0,"Con stock, sin ventas 365d",IF(S507&lt;0.5,"Rotación baja",IF(S507&lt;1,"Rotación media","Compra absorbida; stock repuesto"))))))</x:f>
        <x:v>Sin ventas desde compra</x:v>
      </x:c>
    </x:row>
    <x:row r="508">
      <x:c r="A508" s="31" t="str">
        <x:v>MOTS1110</x:v>
      </x:c>
      <x:c r="B508" s="53" t="str">
        <x:v>TENSOR GUAYA</x:v>
      </x:c>
      <x:c r="C508" s="32" t="n">
        <x:v>1</x:v>
      </x:c>
      <x:c r="D508" s="38" t="n">
        <x:v>3</x:v>
      </x:c>
      <x:c r="E508" s="44" t="n">
        <x:v>1300</x:v>
      </x:c>
      <x:c r="F508" s="44" t="n">
        <x:v>3900</x:v>
      </x:c>
      <x:c r="G508" s="41" t="n">
        <x:v>0</x:v>
      </x:c>
      <x:c r="H508" s="44" t="n">
        <x:f>MAX(G508,0)*E508</x:f>
        <x:v>0</x:v>
      </x:c>
      <x:c r="I508" s="38" t="n">
        <x:v>3</x:v>
      </x:c>
      <x:c r="J508" s="44" t="n">
        <x:v>7000</x:v>
      </x:c>
      <x:c r="K508" s="32" t="n">
        <x:v>3</x:v>
      </x:c>
      <x:c r="L508" s="50" t="n">
        <x:v>45540.88712962963</x:v>
      </x:c>
      <x:c r="M508" s="50" t="n">
        <x:v>45779.98310185185</x:v>
      </x:c>
      <x:c r="N508" s="32" t="n">
        <x:f>IF(M508="","",MAX(0,'Resumen'!$B$3-M508))</x:f>
        <x:v>487.01689814814745</x:v>
      </x:c>
      <x:c r="O508" s="38" t="n">
        <x:v>0</x:v>
      </x:c>
      <x:c r="P508" s="38" t="n">
        <x:v>0</x:v>
      </x:c>
      <x:c r="Q508" s="38" t="n">
        <x:v>0</x:v>
      </x:c>
      <x:c r="R508" s="38" t="n">
        <x:f>MIN(D508,I508)</x:f>
        <x:v>3</x:v>
      </x:c>
      <x:c r="S508" s="47" t="n">
        <x:f>IFERROR(R508/D508,0)</x:f>
        <x:v>1</x:v>
      </x:c>
      <x:c r="T508" s="38" t="n">
        <x:f>MIN(MAX(G508,0),MAX(D508-I508,0))</x:f>
        <x:v>0</x:v>
      </x:c>
      <x:c r="U508" s="44" t="n">
        <x:f>T508*E508</x:f>
        <x:v>0</x:v>
      </x:c>
      <x:c r="V508" s="38" t="n">
        <x:v>0</x:v>
      </x:c>
      <x:c r="W508" s="32" t="n">
        <x:v>0</x:v>
      </x:c>
      <x:c r="X508" s="50"/>
      <x:c r="Y508" s="44" t="n">
        <x:v>2500</x:v>
      </x:c>
      <x:c r="Z508" s="44" t="n">
        <x:f>IF(I508&gt;0,R508*(J508/I508),0)</x:f>
        <x:v>7000</x:v>
      </x:c>
      <x:c r="AA508" s="44" t="n">
        <x:f>Z508-(R508*E508)</x:f>
        <x:v>3100</x:v>
      </x:c>
      <x:c r="AB508" s="47" t="n">
        <x:f>IFERROR(AA508/Z508,0)</x:f>
        <x:v>0.44285714285714284</x:v>
      </x:c>
      <x:c r="AC508" s="32" t="str">
        <x:f>IF(S508=0,"0%",IF(S508&lt;0.5,"1-49%",IF(S508&lt;0.8,"50-79%",IF(S508&lt;1,"80-99%","100%"))))</x:f>
        <x:v>100%</x:v>
      </x:c>
      <x:c r="AD508" s="33" t="str">
        <x:f>IF(G508&lt;0,"Stock negativo",IF(G508&lt;=0,"Sin stock actual",IF(I508&lt;=0,"Sin ventas desde compra",IF(Q508&lt;=0,"Con stock, sin ventas 365d",IF(S508&lt;0.5,"Rotación baja",IF(S508&lt;1,"Rotación media","Compra absorbida; stock repuesto"))))))</x:f>
        <x:v>Sin stock actual</x:v>
      </x:c>
    </x:row>
    <x:row r="509">
      <x:c r="A509" s="31" t="str">
        <x:v>TOR - 0362</x:v>
      </x:c>
      <x:c r="B509" s="53" t="str">
        <x:v>TORNILLO ESTRELLA 6 X10 TORNIFRENOS</x:v>
      </x:c>
      <x:c r="C509" s="32" t="n">
        <x:v>1</x:v>
      </x:c>
      <x:c r="D509" s="38" t="n">
        <x:v>17</x:v>
      </x:c>
      <x:c r="E509" s="44" t="n">
        <x:v>227</x:v>
      </x:c>
      <x:c r="F509" s="44" t="n">
        <x:v>3859</x:v>
      </x:c>
      <x:c r="G509" s="41" t="n">
        <x:v>12</x:v>
      </x:c>
      <x:c r="H509" s="44" t="n">
        <x:f>MAX(G509,0)*E509</x:f>
        <x:v>2724</x:v>
      </x:c>
      <x:c r="I509" s="38" t="n">
        <x:v>5</x:v>
      </x:c>
      <x:c r="J509" s="44" t="n">
        <x:v>2000</x:v>
      </x:c>
      <x:c r="K509" s="32" t="n">
        <x:v>3</x:v>
      </x:c>
      <x:c r="L509" s="50" t="n">
        <x:v>45550.719988425924</x:v>
      </x:c>
      <x:c r="M509" s="50" t="n">
        <x:v>46052.83446759259</x:v>
      </x:c>
      <x:c r="N509" s="32" t="n">
        <x:f>IF(M509="","",MAX(0,'Resumen'!$B$3-M509))</x:f>
        <x:v>214.16553240740905</x:v>
      </x:c>
      <x:c r="O509" s="38" t="n">
        <x:v>0</x:v>
      </x:c>
      <x:c r="P509" s="38" t="n">
        <x:v>0</x:v>
      </x:c>
      <x:c r="Q509" s="38" t="n">
        <x:v>3</x:v>
      </x:c>
      <x:c r="R509" s="38" t="n">
        <x:f>MIN(D509,I509)</x:f>
        <x:v>5</x:v>
      </x:c>
      <x:c r="S509" s="47" t="n">
        <x:f>IFERROR(R509/D509,0)</x:f>
        <x:v>0.29411764705882354</x:v>
      </x:c>
      <x:c r="T509" s="38" t="n">
        <x:f>MIN(MAX(G509,0),MAX(D509-I509,0))</x:f>
        <x:v>12</x:v>
      </x:c>
      <x:c r="U509" s="44" t="n">
        <x:f>T509*E509</x:f>
        <x:v>2724</x:v>
      </x:c>
      <x:c r="V509" s="38" t="n">
        <x:v>0</x:v>
      </x:c>
      <x:c r="W509" s="32" t="n">
        <x:v>0</x:v>
      </x:c>
      <x:c r="X509" s="50"/>
      <x:c r="Y509" s="44" t="n">
        <x:v>400</x:v>
      </x:c>
      <x:c r="Z509" s="44" t="n">
        <x:f>IF(I509&gt;0,R509*(J509/I509),0)</x:f>
        <x:v>2000</x:v>
      </x:c>
      <x:c r="AA509" s="44" t="n">
        <x:f>Z509-(R509*E509)</x:f>
        <x:v>865</x:v>
      </x:c>
      <x:c r="AB509" s="47" t="n">
        <x:f>IFERROR(AA509/Z509,0)</x:f>
        <x:v>0.4325</x:v>
      </x:c>
      <x:c r="AC509" s="32" t="str">
        <x:f>IF(S509=0,"0%",IF(S509&lt;0.5,"1-49%",IF(S509&lt;0.8,"50-79%",IF(S509&lt;1,"80-99%","100%"))))</x:f>
        <x:v>1-49%</x:v>
      </x:c>
      <x:c r="AD509" s="33" t="str">
        <x:f>IF(G509&lt;0,"Stock negativo",IF(G509&lt;=0,"Sin stock actual",IF(I509&lt;=0,"Sin ventas desde compra",IF(Q509&lt;=0,"Con stock, sin ventas 365d",IF(S509&lt;0.5,"Rotación baja",IF(S509&lt;1,"Rotación media","Compra absorbida; stock repuesto"))))))</x:f>
        <x:v>Rotación baja</x:v>
      </x:c>
    </x:row>
    <x:row r="510">
      <x:c r="A510" s="31" t="str">
        <x:v>619-B</x:v>
      </x:c>
      <x:c r="B510" s="53" t="str">
        <x:v>EMPAQUE TAPA CLUCTH PULSAR 200 GPP</x:v>
      </x:c>
      <x:c r="C510" s="32" t="n">
        <x:v>1</x:v>
      </x:c>
      <x:c r="D510" s="38" t="n">
        <x:v>2</x:v>
      </x:c>
      <x:c r="E510" s="44" t="n">
        <x:v>1800</x:v>
      </x:c>
      <x:c r="F510" s="44" t="n">
        <x:v>3600</x:v>
      </x:c>
      <x:c r="G510" s="41" t="n">
        <x:v>0</x:v>
      </x:c>
      <x:c r="H510" s="44" t="n">
        <x:f>MAX(G510,0)*E510</x:f>
        <x:v>0</x:v>
      </x:c>
      <x:c r="I510" s="38" t="n">
        <x:v>2</x:v>
      </x:c>
      <x:c r="J510" s="44" t="n">
        <x:v>6000</x:v>
      </x:c>
      <x:c r="K510" s="32" t="n">
        <x:v>2</x:v>
      </x:c>
      <x:c r="L510" s="50" t="n">
        <x:v>45646.96528935185</x:v>
      </x:c>
      <x:c r="M510" s="50" t="n">
        <x:v>45745.854421296295</x:v>
      </x:c>
      <x:c r="N510" s="32" t="n">
        <x:f>IF(M510="","",MAX(0,'Resumen'!$B$3-M510))</x:f>
        <x:v>521.1455787037048</x:v>
      </x:c>
      <x:c r="O510" s="38" t="n">
        <x:v>0</x:v>
      </x:c>
      <x:c r="P510" s="38" t="n">
        <x:v>0</x:v>
      </x:c>
      <x:c r="Q510" s="38" t="n">
        <x:v>0</x:v>
      </x:c>
      <x:c r="R510" s="38" t="n">
        <x:f>MIN(D510,I510)</x:f>
        <x:v>2</x:v>
      </x:c>
      <x:c r="S510" s="47" t="n">
        <x:f>IFERROR(R510/D510,0)</x:f>
        <x:v>1</x:v>
      </x:c>
      <x:c r="T510" s="38" t="n">
        <x:f>MIN(MAX(G510,0),MAX(D510-I510,0))</x:f>
        <x:v>0</x:v>
      </x:c>
      <x:c r="U510" s="44" t="n">
        <x:f>T510*E510</x:f>
        <x:v>0</x:v>
      </x:c>
      <x:c r="V510" s="38" t="n">
        <x:v>0</x:v>
      </x:c>
      <x:c r="W510" s="32" t="n">
        <x:v>0</x:v>
      </x:c>
      <x:c r="X510" s="50"/>
      <x:c r="Y510" s="44" t="n">
        <x:v>3000</x:v>
      </x:c>
      <x:c r="Z510" s="44" t="n">
        <x:f>IF(I510&gt;0,R510*(J510/I510),0)</x:f>
        <x:v>6000</x:v>
      </x:c>
      <x:c r="AA510" s="44" t="n">
        <x:f>Z510-(R510*E510)</x:f>
        <x:v>2400</x:v>
      </x:c>
      <x:c r="AB510" s="47" t="n">
        <x:f>IFERROR(AA510/Z510,0)</x:f>
        <x:v>0.4</x:v>
      </x:c>
      <x:c r="AC510" s="32" t="str">
        <x:f>IF(S510=0,"0%",IF(S510&lt;0.5,"1-49%",IF(S510&lt;0.8,"50-79%",IF(S510&lt;1,"80-99%","100%"))))</x:f>
        <x:v>100%</x:v>
      </x:c>
      <x:c r="AD510" s="33" t="str">
        <x:f>IF(G510&lt;0,"Stock negativo",IF(G510&lt;=0,"Sin stock actual",IF(I510&lt;=0,"Sin ventas desde compra",IF(Q510&lt;=0,"Con stock, sin ventas 365d",IF(S510&lt;0.5,"Rotación baja",IF(S510&lt;1,"Rotación media","Compra absorbida; stock repuesto"))))))</x:f>
        <x:v>Sin stock actual</x:v>
      </x:c>
    </x:row>
    <x:row r="511">
      <x:c r="A511" s="31" t="str">
        <x:v>1981</x:v>
      </x:c>
      <x:c r="B511" s="53" t="str">
        <x:v>LEVA FRENO TRA - DJ 125 - 175 MOTOTEC</x:v>
      </x:c>
      <x:c r="C511" s="32" t="n">
        <x:v>1</x:v>
      </x:c>
      <x:c r="D511" s="38" t="n">
        <x:v>1</x:v>
      </x:c>
      <x:c r="E511" s="44" t="n">
        <x:v>3500</x:v>
      </x:c>
      <x:c r="F511" s="44" t="n">
        <x:v>3500</x:v>
      </x:c>
      <x:c r="G511" s="41" t="n">
        <x:v>0</x:v>
      </x:c>
      <x:c r="H511" s="44" t="n">
        <x:f>MAX(G511,0)*E511</x:f>
        <x:v>0</x:v>
      </x:c>
      <x:c r="I511" s="38" t="n">
        <x:v>1</x:v>
      </x:c>
      <x:c r="J511" s="44" t="n">
        <x:v>6000</x:v>
      </x:c>
      <x:c r="K511" s="32" t="n">
        <x:v>1</x:v>
      </x:c>
      <x:c r="L511" s="50" t="n">
        <x:v>45679.64356481482</x:v>
      </x:c>
      <x:c r="M511" s="50" t="n">
        <x:v>45679.64356481482</x:v>
      </x:c>
      <x:c r="N511" s="32" t="n">
        <x:f>IF(M511="","",MAX(0,'Resumen'!$B$3-M511))</x:f>
        <x:v>587.3564351851819</x:v>
      </x:c>
      <x:c r="O511" s="38" t="n">
        <x:v>0</x:v>
      </x:c>
      <x:c r="P511" s="38" t="n">
        <x:v>0</x:v>
      </x:c>
      <x:c r="Q511" s="38" t="n">
        <x:v>0</x:v>
      </x:c>
      <x:c r="R511" s="38" t="n">
        <x:f>MIN(D511,I511)</x:f>
        <x:v>1</x:v>
      </x:c>
      <x:c r="S511" s="47" t="n">
        <x:f>IFERROR(R511/D511,0)</x:f>
        <x:v>1</x:v>
      </x:c>
      <x:c r="T511" s="38" t="n">
        <x:f>MIN(MAX(G511,0),MAX(D511-I511,0))</x:f>
        <x:v>0</x:v>
      </x:c>
      <x:c r="U511" s="44" t="n">
        <x:f>T511*E511</x:f>
        <x:v>0</x:v>
      </x:c>
      <x:c r="V511" s="38" t="n">
        <x:v>0</x:v>
      </x:c>
      <x:c r="W511" s="32" t="n">
        <x:v>0</x:v>
      </x:c>
      <x:c r="X511" s="50"/>
      <x:c r="Y511" s="44" t="n">
        <x:v>6000</x:v>
      </x:c>
      <x:c r="Z511" s="44" t="n">
        <x:f>IF(I511&gt;0,R511*(J511/I511),0)</x:f>
        <x:v>6000</x:v>
      </x:c>
      <x:c r="AA511" s="44" t="n">
        <x:f>Z511-(R511*E511)</x:f>
        <x:v>2500</x:v>
      </x:c>
      <x:c r="AB511" s="47" t="n">
        <x:f>IFERROR(AA511/Z511,0)</x:f>
        <x:v>0.4166666666666667</x:v>
      </x:c>
      <x:c r="AC511" s="32" t="str">
        <x:f>IF(S511=0,"0%",IF(S511&lt;0.5,"1-49%",IF(S511&lt;0.8,"50-79%",IF(S511&lt;1,"80-99%","100%"))))</x:f>
        <x:v>100%</x:v>
      </x:c>
      <x:c r="AD511" s="33" t="str">
        <x:f>IF(G511&lt;0,"Stock negativo",IF(G511&lt;=0,"Sin stock actual",IF(I511&lt;=0,"Sin ventas desde compra",IF(Q511&lt;=0,"Con stock, sin ventas 365d",IF(S511&lt;0.5,"Rotación baja",IF(S511&lt;1,"Rotación media","Compra absorbida; stock repuesto"))))))</x:f>
        <x:v>Sin stock actual</x:v>
      </x:c>
    </x:row>
    <x:row r="512">
      <x:c r="A512" s="31" t="str">
        <x:v>2571</x:v>
      </x:c>
      <x:c r="B512" s="53" t="str">
        <x:v>BALINERA 6300 2RS</x:v>
      </x:c>
      <x:c r="C512" s="32" t="n">
        <x:v>1</x:v>
      </x:c>
      <x:c r="D512" s="38" t="n">
        <x:v>1</x:v>
      </x:c>
      <x:c r="E512" s="44" t="n">
        <x:v>3500</x:v>
      </x:c>
      <x:c r="F512" s="44" t="n">
        <x:v>3500</x:v>
      </x:c>
      <x:c r="G512" s="41" t="n">
        <x:v>0</x:v>
      </x:c>
      <x:c r="H512" s="44" t="n">
        <x:f>MAX(G512,0)*E512</x:f>
        <x:v>0</x:v>
      </x:c>
      <x:c r="I512" s="38" t="n">
        <x:v>1</x:v>
      </x:c>
      <x:c r="J512" s="44" t="n">
        <x:v>6000</x:v>
      </x:c>
      <x:c r="K512" s="32" t="n">
        <x:v>1</x:v>
      </x:c>
      <x:c r="L512" s="50" t="n">
        <x:v>45587.58479166667</x:v>
      </x:c>
      <x:c r="M512" s="50" t="n">
        <x:v>45587.58479166667</x:v>
      </x:c>
      <x:c r="N512" s="32" t="n">
        <x:f>IF(M512="","",MAX(0,'Resumen'!$B$3-M512))</x:f>
        <x:v>679.415208333332</x:v>
      </x:c>
      <x:c r="O512" s="38" t="n">
        <x:v>0</x:v>
      </x:c>
      <x:c r="P512" s="38" t="n">
        <x:v>0</x:v>
      </x:c>
      <x:c r="Q512" s="38" t="n">
        <x:v>0</x:v>
      </x:c>
      <x:c r="R512" s="38" t="n">
        <x:f>MIN(D512,I512)</x:f>
        <x:v>1</x:v>
      </x:c>
      <x:c r="S512" s="47" t="n">
        <x:f>IFERROR(R512/D512,0)</x:f>
        <x:v>1</x:v>
      </x:c>
      <x:c r="T512" s="38" t="n">
        <x:f>MIN(MAX(G512,0),MAX(D512-I512,0))</x:f>
        <x:v>0</x:v>
      </x:c>
      <x:c r="U512" s="44" t="n">
        <x:f>T512*E512</x:f>
        <x:v>0</x:v>
      </x:c>
      <x:c r="V512" s="38" t="n">
        <x:v>0</x:v>
      </x:c>
      <x:c r="W512" s="32" t="n">
        <x:v>0</x:v>
      </x:c>
      <x:c r="X512" s="50"/>
      <x:c r="Y512" s="44" t="n">
        <x:v>6000</x:v>
      </x:c>
      <x:c r="Z512" s="44" t="n">
        <x:f>IF(I512&gt;0,R512*(J512/I512),0)</x:f>
        <x:v>6000</x:v>
      </x:c>
      <x:c r="AA512" s="44" t="n">
        <x:f>Z512-(R512*E512)</x:f>
        <x:v>2500</x:v>
      </x:c>
      <x:c r="AB512" s="47" t="n">
        <x:f>IFERROR(AA512/Z512,0)</x:f>
        <x:v>0.4166666666666667</x:v>
      </x:c>
      <x:c r="AC512" s="32" t="str">
        <x:f>IF(S512=0,"0%",IF(S512&lt;0.5,"1-49%",IF(S512&lt;0.8,"50-79%",IF(S512&lt;1,"80-99%","100%"))))</x:f>
        <x:v>100%</x:v>
      </x:c>
      <x:c r="AD512" s="33" t="str">
        <x:f>IF(G512&lt;0,"Stock negativo",IF(G512&lt;=0,"Sin stock actual",IF(I512&lt;=0,"Sin ventas desde compra",IF(Q512&lt;=0,"Con stock, sin ventas 365d",IF(S512&lt;0.5,"Rotación baja",IF(S512&lt;1,"Rotación media","Compra absorbida; stock repuesto"))))))</x:f>
        <x:v>Sin stock actual</x:v>
      </x:c>
    </x:row>
    <x:row r="513">
      <x:c r="A513" s="31" t="str">
        <x:v>CAP-US1</x:v>
      </x:c>
      <x:c r="B513" s="53" t="str">
        <x:v>CAPUCHON BUJIA ROJO ECO HERO</x:v>
      </x:c>
      <x:c r="C513" s="32" t="n">
        <x:v>1</x:v>
      </x:c>
      <x:c r="D513" s="38" t="n">
        <x:v>1</x:v>
      </x:c>
      <x:c r="E513" s="44" t="n">
        <x:v>3500</x:v>
      </x:c>
      <x:c r="F513" s="44" t="n">
        <x:v>3500</x:v>
      </x:c>
      <x:c r="G513" s="41" t="n">
        <x:v>0</x:v>
      </x:c>
      <x:c r="H513" s="44" t="n">
        <x:f>MAX(G513,0)*E513</x:f>
        <x:v>0</x:v>
      </x:c>
      <x:c r="I513" s="38" t="n">
        <x:v>1</x:v>
      </x:c>
      <x:c r="J513" s="44" t="n">
        <x:v>6000</x:v>
      </x:c>
      <x:c r="K513" s="32" t="n">
        <x:v>1</x:v>
      </x:c>
      <x:c r="L513" s="50" t="n">
        <x:v>45537.97079861111</x:v>
      </x:c>
      <x:c r="M513" s="50" t="n">
        <x:v>45537.97079861111</x:v>
      </x:c>
      <x:c r="N513" s="32" t="n">
        <x:f>IF(M513="","",MAX(0,'Resumen'!$B$3-M513))</x:f>
        <x:v>729.0292013888902</x:v>
      </x:c>
      <x:c r="O513" s="38" t="n">
        <x:v>0</x:v>
      </x:c>
      <x:c r="P513" s="38" t="n">
        <x:v>0</x:v>
      </x:c>
      <x:c r="Q513" s="38" t="n">
        <x:v>0</x:v>
      </x:c>
      <x:c r="R513" s="38" t="n">
        <x:f>MIN(D513,I513)</x:f>
        <x:v>1</x:v>
      </x:c>
      <x:c r="S513" s="47" t="n">
        <x:f>IFERROR(R513/D513,0)</x:f>
        <x:v>1</x:v>
      </x:c>
      <x:c r="T513" s="38" t="n">
        <x:f>MIN(MAX(G513,0),MAX(D513-I513,0))</x:f>
        <x:v>0</x:v>
      </x:c>
      <x:c r="U513" s="44" t="n">
        <x:f>T513*E513</x:f>
        <x:v>0</x:v>
      </x:c>
      <x:c r="V513" s="38" t="n">
        <x:v>0</x:v>
      </x:c>
      <x:c r="W513" s="32" t="n">
        <x:v>0</x:v>
      </x:c>
      <x:c r="X513" s="50"/>
      <x:c r="Y513" s="44" t="n">
        <x:v>6000</x:v>
      </x:c>
      <x:c r="Z513" s="44" t="n">
        <x:f>IF(I513&gt;0,R513*(J513/I513),0)</x:f>
        <x:v>6000</x:v>
      </x:c>
      <x:c r="AA513" s="44" t="n">
        <x:f>Z513-(R513*E513)</x:f>
        <x:v>2500</x:v>
      </x:c>
      <x:c r="AB513" s="47" t="n">
        <x:f>IFERROR(AA513/Z513,0)</x:f>
        <x:v>0.4166666666666667</x:v>
      </x:c>
      <x:c r="AC513" s="32" t="str">
        <x:f>IF(S513=0,"0%",IF(S513&lt;0.5,"1-49%",IF(S513&lt;0.8,"50-79%",IF(S513&lt;1,"80-99%","100%"))))</x:f>
        <x:v>100%</x:v>
      </x:c>
      <x:c r="AD513" s="33" t="str">
        <x:f>IF(G513&lt;0,"Stock negativo",IF(G513&lt;=0,"Sin stock actual",IF(I513&lt;=0,"Sin ventas desde compra",IF(Q513&lt;=0,"Con stock, sin ventas 365d",IF(S513&lt;0.5,"Rotación baja",IF(S513&lt;1,"Rotación media","Compra absorbida; stock repuesto"))))))</x:f>
        <x:v>Sin stock actual</x:v>
      </x:c>
    </x:row>
    <x:row r="514">
      <x:c r="A514" s="31" t="str">
        <x:v>MOTS1140</x:v>
      </x:c>
      <x:c r="B514" s="53" t="str">
        <x:v>COLA GUARDA BARROS DT</x:v>
      </x:c>
      <x:c r="C514" s="32" t="n">
        <x:v>1</x:v>
      </x:c>
      <x:c r="D514" s="38" t="n">
        <x:v>1</x:v>
      </x:c>
      <x:c r="E514" s="44" t="n">
        <x:v>3500</x:v>
      </x:c>
      <x:c r="F514" s="44" t="n">
        <x:v>3500</x:v>
      </x:c>
      <x:c r="G514" s="41" t="n">
        <x:v>0</x:v>
      </x:c>
      <x:c r="H514" s="44" t="n">
        <x:f>MAX(G514,0)*E514</x:f>
        <x:v>0</x:v>
      </x:c>
      <x:c r="I514" s="38" t="n">
        <x:v>1</x:v>
      </x:c>
      <x:c r="J514" s="44" t="n">
        <x:v>9000</x:v>
      </x:c>
      <x:c r="K514" s="32" t="n">
        <x:v>1</x:v>
      </x:c>
      <x:c r="L514" s="50" t="n">
        <x:v>45777.78857638889</x:v>
      </x:c>
      <x:c r="M514" s="50" t="n">
        <x:v>45777.78857638889</x:v>
      </x:c>
      <x:c r="N514" s="32" t="n">
        <x:f>IF(M514="","",MAX(0,'Resumen'!$B$3-M514))</x:f>
        <x:v>489.21142361110833</x:v>
      </x:c>
      <x:c r="O514" s="38" t="n">
        <x:v>0</x:v>
      </x:c>
      <x:c r="P514" s="38" t="n">
        <x:v>0</x:v>
      </x:c>
      <x:c r="Q514" s="38" t="n">
        <x:v>0</x:v>
      </x:c>
      <x:c r="R514" s="38" t="n">
        <x:f>MIN(D514,I514)</x:f>
        <x:v>1</x:v>
      </x:c>
      <x:c r="S514" s="47" t="n">
        <x:f>IFERROR(R514/D514,0)</x:f>
        <x:v>1</x:v>
      </x:c>
      <x:c r="T514" s="38" t="n">
        <x:f>MIN(MAX(G514,0),MAX(D514-I514,0))</x:f>
        <x:v>0</x:v>
      </x:c>
      <x:c r="U514" s="44" t="n">
        <x:f>T514*E514</x:f>
        <x:v>0</x:v>
      </x:c>
      <x:c r="V514" s="38" t="n">
        <x:v>0</x:v>
      </x:c>
      <x:c r="W514" s="32" t="n">
        <x:v>0</x:v>
      </x:c>
      <x:c r="X514" s="50"/>
      <x:c r="Y514" s="44" t="n">
        <x:v>9500</x:v>
      </x:c>
      <x:c r="Z514" s="44" t="n">
        <x:f>IF(I514&gt;0,R514*(J514/I514),0)</x:f>
        <x:v>9000</x:v>
      </x:c>
      <x:c r="AA514" s="44" t="n">
        <x:f>Z514-(R514*E514)</x:f>
        <x:v>5500</x:v>
      </x:c>
      <x:c r="AB514" s="47" t="n">
        <x:f>IFERROR(AA514/Z514,0)</x:f>
        <x:v>0.6111111111111112</x:v>
      </x:c>
      <x:c r="AC514" s="32" t="str">
        <x:f>IF(S514=0,"0%",IF(S514&lt;0.5,"1-49%",IF(S514&lt;0.8,"50-79%",IF(S514&lt;1,"80-99%","100%"))))</x:f>
        <x:v>100%</x:v>
      </x:c>
      <x:c r="AD514" s="33" t="str">
        <x:f>IF(G514&lt;0,"Stock negativo",IF(G514&lt;=0,"Sin stock actual",IF(I514&lt;=0,"Sin ventas desde compra",IF(Q514&lt;=0,"Con stock, sin ventas 365d",IF(S514&lt;0.5,"Rotación baja",IF(S514&lt;1,"Rotación media","Compra absorbida; stock repuesto"))))))</x:f>
        <x:v>Sin stock actual</x:v>
      </x:c>
    </x:row>
    <x:row r="515">
      <x:c r="A515" s="31" t="str">
        <x:v>MOTS1168</x:v>
      </x:c>
      <x:c r="B515" s="53" t="str">
        <x:v>CAUCHO MANZANA YAMAHA V80 RX 115 ALICAUCHOS</x:v>
      </x:c>
      <x:c r="C515" s="32" t="n">
        <x:v>1</x:v>
      </x:c>
      <x:c r="D515" s="38" t="n">
        <x:v>1</x:v>
      </x:c>
      <x:c r="E515" s="44" t="n">
        <x:v>3500</x:v>
      </x:c>
      <x:c r="F515" s="44" t="n">
        <x:v>3500</x:v>
      </x:c>
      <x:c r="G515" s="41" t="n">
        <x:v>1</x:v>
      </x:c>
      <x:c r="H515" s="44" t="n">
        <x:f>MAX(G515,0)*E515</x:f>
        <x:v>3500</x:v>
      </x:c>
      <x:c r="I515" s="38" t="n">
        <x:v>0</x:v>
      </x:c>
      <x:c r="J515" s="44" t="n">
        <x:v>0</x:v>
      </x:c>
      <x:c r="K515" s="32" t="n">
        <x:v>0</x:v>
      </x:c>
      <x:c r="L515" s="50"/>
      <x:c r="M515" s="50"/>
      <x:c r="N515" s="32" t="str">
        <x:f>IF(M515="","",MAX(0,'Resumen'!$B$3-M515))</x:f>
      </x:c>
      <x:c r="O515" s="38" t="n">
        <x:v>0</x:v>
      </x:c>
      <x:c r="P515" s="38" t="n">
        <x:v>0</x:v>
      </x:c>
      <x:c r="Q515" s="38" t="n">
        <x:v>0</x:v>
      </x:c>
      <x:c r="R515" s="38" t="n">
        <x:f>MIN(D515,I515)</x:f>
        <x:v>0</x:v>
      </x:c>
      <x:c r="S515" s="47" t="n">
        <x:f>IFERROR(R515/D515,0)</x:f>
        <x:v>0</x:v>
      </x:c>
      <x:c r="T515" s="38" t="n">
        <x:f>MIN(MAX(G515,0),MAX(D515-I515,0))</x:f>
        <x:v>1</x:v>
      </x:c>
      <x:c r="U515" s="44" t="n">
        <x:f>T515*E515</x:f>
        <x:v>3500</x:v>
      </x:c>
      <x:c r="V515" s="38" t="n">
        <x:v>0</x:v>
      </x:c>
      <x:c r="W515" s="32" t="n">
        <x:v>0</x:v>
      </x:c>
      <x:c r="X515" s="50"/>
      <x:c r="Y515" s="44" t="n">
        <x:v>600</x:v>
      </x:c>
      <x:c r="Z515" s="44" t="n">
        <x:f>IF(I515&gt;0,R515*(J515/I515),0)</x:f>
        <x:v>0</x:v>
      </x:c>
      <x:c r="AA515" s="44" t="n">
        <x:f>Z515-(R515*E515)</x:f>
        <x:v>0</x:v>
      </x:c>
      <x:c r="AB515" s="47" t="n">
        <x:f>IFERROR(AA515/Z515,0)</x:f>
        <x:v>0</x:v>
      </x:c>
      <x:c r="AC515" s="32" t="str">
        <x:f>IF(S515=0,"0%",IF(S515&lt;0.5,"1-49%",IF(S515&lt;0.8,"50-79%",IF(S515&lt;1,"80-99%","100%"))))</x:f>
        <x:v>0%</x:v>
      </x:c>
      <x:c r="AD515" s="33" t="str">
        <x:f>IF(G515&lt;0,"Stock negativo",IF(G515&lt;=0,"Sin stock actual",IF(I515&lt;=0,"Sin ventas desde compra",IF(Q515&lt;=0,"Con stock, sin ventas 365d",IF(S515&lt;0.5,"Rotación baja",IF(S515&lt;1,"Rotación media","Compra absorbida; stock repuesto"))))))</x:f>
        <x:v>Sin ventas desde compra</x:v>
      </x:c>
    </x:row>
    <x:row r="516">
      <x:c r="A516" s="31" t="str">
        <x:v>EMP - 05X141</x:v>
      </x:c>
      <x:c r="B516" s="53" t="str">
        <x:v>EMPAQUE TAPA VOLANTE CB 110 / DRAAM NEO DARROW</x:v>
      </x:c>
      <x:c r="C516" s="32" t="n">
        <x:v>1</x:v>
      </x:c>
      <x:c r="D516" s="38" t="n">
        <x:v>2</x:v>
      </x:c>
      <x:c r="E516" s="44" t="n">
        <x:v>1700</x:v>
      </x:c>
      <x:c r="F516" s="44" t="n">
        <x:v>3400</x:v>
      </x:c>
      <x:c r="G516" s="41" t="n">
        <x:v>0</x:v>
      </x:c>
      <x:c r="H516" s="44" t="n">
        <x:f>MAX(G516,0)*E516</x:f>
        <x:v>0</x:v>
      </x:c>
      <x:c r="I516" s="38" t="n">
        <x:v>2</x:v>
      </x:c>
      <x:c r="J516" s="44" t="n">
        <x:v>6000</x:v>
      </x:c>
      <x:c r="K516" s="32" t="n">
        <x:v>2</x:v>
      </x:c>
      <x:c r="L516" s="50" t="n">
        <x:v>45569.67625</x:v>
      </x:c>
      <x:c r="M516" s="50" t="n">
        <x:v>45776.65408564815</x:v>
      </x:c>
      <x:c r="N516" s="32" t="n">
        <x:f>IF(M516="","",MAX(0,'Resumen'!$B$3-M516))</x:f>
        <x:v>490.3459143518485</x:v>
      </x:c>
      <x:c r="O516" s="38" t="n">
        <x:v>0</x:v>
      </x:c>
      <x:c r="P516" s="38" t="n">
        <x:v>0</x:v>
      </x:c>
      <x:c r="Q516" s="38" t="n">
        <x:v>0</x:v>
      </x:c>
      <x:c r="R516" s="38" t="n">
        <x:f>MIN(D516,I516)</x:f>
        <x:v>2</x:v>
      </x:c>
      <x:c r="S516" s="47" t="n">
        <x:f>IFERROR(R516/D516,0)</x:f>
        <x:v>1</x:v>
      </x:c>
      <x:c r="T516" s="38" t="n">
        <x:f>MIN(MAX(G516,0),MAX(D516-I516,0))</x:f>
        <x:v>0</x:v>
      </x:c>
      <x:c r="U516" s="44" t="n">
        <x:f>T516*E516</x:f>
        <x:v>0</x:v>
      </x:c>
      <x:c r="V516" s="38" t="n">
        <x:v>0</x:v>
      </x:c>
      <x:c r="W516" s="32" t="n">
        <x:v>0</x:v>
      </x:c>
      <x:c r="X516" s="50"/>
      <x:c r="Y516" s="44" t="n">
        <x:v>3000</x:v>
      </x:c>
      <x:c r="Z516" s="44" t="n">
        <x:f>IF(I516&gt;0,R516*(J516/I516),0)</x:f>
        <x:v>6000</x:v>
      </x:c>
      <x:c r="AA516" s="44" t="n">
        <x:f>Z516-(R516*E516)</x:f>
        <x:v>2600</x:v>
      </x:c>
      <x:c r="AB516" s="47" t="n">
        <x:f>IFERROR(AA516/Z516,0)</x:f>
        <x:v>0.43333333333333335</x:v>
      </x:c>
      <x:c r="AC516" s="32" t="str">
        <x:f>IF(S516=0,"0%",IF(S516&lt;0.5,"1-49%",IF(S516&lt;0.8,"50-79%",IF(S516&lt;1,"80-99%","100%"))))</x:f>
        <x:v>100%</x:v>
      </x:c>
      <x:c r="AD516" s="33" t="str">
        <x:f>IF(G516&lt;0,"Stock negativo",IF(G516&lt;=0,"Sin stock actual",IF(I516&lt;=0,"Sin ventas desde compra",IF(Q516&lt;=0,"Con stock, sin ventas 365d",IF(S516&lt;0.5,"Rotación baja",IF(S516&lt;1,"Rotación media","Compra absorbida; stock repuesto"))))))</x:f>
        <x:v>Sin stock actual</x:v>
      </x:c>
    </x:row>
    <x:row r="517">
      <x:c r="A517" s="31" t="str">
        <x:v>OR-010</x:v>
      </x:c>
      <x:c r="B517" s="53" t="str">
        <x:v>ORING 1/4</x:v>
      </x:c>
      <x:c r="C517" s="32" t="n">
        <x:v>1</x:v>
      </x:c>
      <x:c r="D517" s="38" t="n">
        <x:v>10</x:v>
      </x:c>
      <x:c r="E517" s="44" t="n">
        <x:v>335</x:v>
      </x:c>
      <x:c r="F517" s="44" t="n">
        <x:v>3350</x:v>
      </x:c>
      <x:c r="G517" s="41" t="n">
        <x:v>0</x:v>
      </x:c>
      <x:c r="H517" s="44" t="n">
        <x:f>MAX(G517,0)*E517</x:f>
        <x:v>0</x:v>
      </x:c>
      <x:c r="I517" s="38" t="n">
        <x:v>10</x:v>
      </x:c>
      <x:c r="J517" s="44" t="n">
        <x:v>6000</x:v>
      </x:c>
      <x:c r="K517" s="32" t="n">
        <x:v>4</x:v>
      </x:c>
      <x:c r="L517" s="50" t="n">
        <x:v>45629.638333333336</x:v>
      </x:c>
      <x:c r="M517" s="50" t="n">
        <x:v>45877.84100694444</x:v>
      </x:c>
      <x:c r="N517" s="32" t="n">
        <x:f>IF(M517="","",MAX(0,'Resumen'!$B$3-M517))</x:f>
        <x:v>389.1589930555565</x:v>
      </x:c>
      <x:c r="O517" s="38" t="n">
        <x:v>0</x:v>
      </x:c>
      <x:c r="P517" s="38" t="n">
        <x:v>0</x:v>
      </x:c>
      <x:c r="Q517" s="38" t="n">
        <x:v>0</x:v>
      </x:c>
      <x:c r="R517" s="38" t="n">
        <x:f>MIN(D517,I517)</x:f>
        <x:v>10</x:v>
      </x:c>
      <x:c r="S517" s="47" t="n">
        <x:f>IFERROR(R517/D517,0)</x:f>
        <x:v>1</x:v>
      </x:c>
      <x:c r="T517" s="38" t="n">
        <x:f>MIN(MAX(G517,0),MAX(D517-I517,0))</x:f>
        <x:v>0</x:v>
      </x:c>
      <x:c r="U517" s="44" t="n">
        <x:f>T517*E517</x:f>
        <x:v>0</x:v>
      </x:c>
      <x:c r="V517" s="38" t="n">
        <x:v>0</x:v>
      </x:c>
      <x:c r="W517" s="32" t="n">
        <x:v>0</x:v>
      </x:c>
      <x:c r="X517" s="50"/>
      <x:c r="Y517" s="44" t="n">
        <x:v>600</x:v>
      </x:c>
      <x:c r="Z517" s="44" t="n">
        <x:f>IF(I517&gt;0,R517*(J517/I517),0)</x:f>
        <x:v>6000</x:v>
      </x:c>
      <x:c r="AA517" s="44" t="n">
        <x:f>Z517-(R517*E517)</x:f>
        <x:v>2650</x:v>
      </x:c>
      <x:c r="AB517" s="47" t="n">
        <x:f>IFERROR(AA517/Z517,0)</x:f>
        <x:v>0.44166666666666665</x:v>
      </x:c>
      <x:c r="AC517" s="32" t="str">
        <x:f>IF(S517=0,"0%",IF(S517&lt;0.5,"1-49%",IF(S517&lt;0.8,"50-79%",IF(S517&lt;1,"80-99%","100%"))))</x:f>
        <x:v>100%</x:v>
      </x:c>
      <x:c r="AD517" s="33" t="str">
        <x:f>IF(G517&lt;0,"Stock negativo",IF(G517&lt;=0,"Sin stock actual",IF(I517&lt;=0,"Sin ventas desde compra",IF(Q517&lt;=0,"Con stock, sin ventas 365d",IF(S517&lt;0.5,"Rotación baja",IF(S517&lt;1,"Rotación media","Compra absorbida; stock repuesto"))))))</x:f>
        <x:v>Sin stock actual</x:v>
      </x:c>
    </x:row>
    <x:row r="518">
      <x:c r="A518" s="31" t="str">
        <x:v>OR-213</x:v>
      </x:c>
      <x:c r="B518" s="53" t="str">
        <x:v>ORING 1</x:v>
      </x:c>
      <x:c r="C518" s="32" t="n">
        <x:v>1</x:v>
      </x:c>
      <x:c r="D518" s="38" t="n">
        <x:v>10</x:v>
      </x:c>
      <x:c r="E518" s="44" t="n">
        <x:v>335</x:v>
      </x:c>
      <x:c r="F518" s="44" t="n">
        <x:v>3350</x:v>
      </x:c>
      <x:c r="G518" s="41" t="n">
        <x:v>7</x:v>
      </x:c>
      <x:c r="H518" s="44" t="n">
        <x:f>MAX(G518,0)*E518</x:f>
        <x:v>2345</x:v>
      </x:c>
      <x:c r="I518" s="38" t="n">
        <x:v>3</x:v>
      </x:c>
      <x:c r="J518" s="44" t="n">
        <x:v>1800</x:v>
      </x:c>
      <x:c r="K518" s="32" t="n">
        <x:v>3</x:v>
      </x:c>
      <x:c r="L518" s="50" t="n">
        <x:v>45558.705347222225</x:v>
      </x:c>
      <x:c r="M518" s="50" t="n">
        <x:v>45706.555555555555</x:v>
      </x:c>
      <x:c r="N518" s="32" t="n">
        <x:f>IF(M518="","",MAX(0,'Resumen'!$B$3-M518))</x:f>
        <x:v>560.4444444444453</x:v>
      </x:c>
      <x:c r="O518" s="38" t="n">
        <x:v>0</x:v>
      </x:c>
      <x:c r="P518" s="38" t="n">
        <x:v>0</x:v>
      </x:c>
      <x:c r="Q518" s="38" t="n">
        <x:v>0</x:v>
      </x:c>
      <x:c r="R518" s="38" t="n">
        <x:f>MIN(D518,I518)</x:f>
        <x:v>3</x:v>
      </x:c>
      <x:c r="S518" s="47" t="n">
        <x:f>IFERROR(R518/D518,0)</x:f>
        <x:v>0.3</x:v>
      </x:c>
      <x:c r="T518" s="38" t="n">
        <x:f>MIN(MAX(G518,0),MAX(D518-I518,0))</x:f>
        <x:v>7</x:v>
      </x:c>
      <x:c r="U518" s="44" t="n">
        <x:f>T518*E518</x:f>
        <x:v>2345</x:v>
      </x:c>
      <x:c r="V518" s="38" t="n">
        <x:v>0</x:v>
      </x:c>
      <x:c r="W518" s="32" t="n">
        <x:v>0</x:v>
      </x:c>
      <x:c r="X518" s="50"/>
      <x:c r="Y518" s="44" t="n">
        <x:v>600</x:v>
      </x:c>
      <x:c r="Z518" s="44" t="n">
        <x:f>IF(I518&gt;0,R518*(J518/I518),0)</x:f>
        <x:v>1800</x:v>
      </x:c>
      <x:c r="AA518" s="44" t="n">
        <x:f>Z518-(R518*E518)</x:f>
        <x:v>795</x:v>
      </x:c>
      <x:c r="AB518" s="47" t="n">
        <x:f>IFERROR(AA518/Z518,0)</x:f>
        <x:v>0.44166666666666665</x:v>
      </x:c>
      <x:c r="AC518" s="32" t="str">
        <x:f>IF(S518=0,"0%",IF(S518&lt;0.5,"1-49%",IF(S518&lt;0.8,"50-79%",IF(S518&lt;1,"80-99%","100%"))))</x:f>
        <x:v>1-49%</x:v>
      </x:c>
      <x:c r="AD518" s="33" t="str">
        <x:f>IF(G518&lt;0,"Stock negativo",IF(G518&lt;=0,"Sin stock actual",IF(I518&lt;=0,"Sin ventas desde compra",IF(Q518&lt;=0,"Con stock, sin ventas 365d",IF(S518&lt;0.5,"Rotación baja",IF(S518&lt;1,"Rotación media","Compra absorbida; stock repuesto"))))))</x:f>
        <x:v>Con stock, sin ventas 365d</x:v>
      </x:c>
    </x:row>
    <x:row r="519">
      <x:c r="A519" s="31" t="str">
        <x:v>4210</x:v>
      </x:c>
      <x:c r="B519" s="53" t="str">
        <x:v>TORNILLO FLANGE 6X 50 LLAVE 8 TORNIFRENOS</x:v>
      </x:c>
      <x:c r="C519" s="32" t="n">
        <x:v>1</x:v>
      </x:c>
      <x:c r="D519" s="38" t="n">
        <x:v>6</x:v>
      </x:c>
      <x:c r="E519" s="44" t="n">
        <x:v>551</x:v>
      </x:c>
      <x:c r="F519" s="44" t="n">
        <x:v>3306</x:v>
      </x:c>
      <x:c r="G519" s="41" t="n">
        <x:v>4</x:v>
      </x:c>
      <x:c r="H519" s="44" t="n">
        <x:f>MAX(G519,0)*E519</x:f>
        <x:v>2204</x:v>
      </x:c>
      <x:c r="I519" s="38" t="n">
        <x:v>2</x:v>
      </x:c>
      <x:c r="J519" s="44" t="n">
        <x:v>2000</x:v>
      </x:c>
      <x:c r="K519" s="32" t="n">
        <x:v>1</x:v>
      </x:c>
      <x:c r="L519" s="50" t="n">
        <x:v>45529.65269675926</x:v>
      </x:c>
      <x:c r="M519" s="50" t="n">
        <x:v>45529.65269675926</x:v>
      </x:c>
      <x:c r="N519" s="32" t="n">
        <x:f>IF(M519="","",MAX(0,'Resumen'!$B$3-M519))</x:f>
        <x:v>737.3473032407419</x:v>
      </x:c>
      <x:c r="O519" s="38" t="n">
        <x:v>0</x:v>
      </x:c>
      <x:c r="P519" s="38" t="n">
        <x:v>0</x:v>
      </x:c>
      <x:c r="Q519" s="38" t="n">
        <x:v>0</x:v>
      </x:c>
      <x:c r="R519" s="38" t="n">
        <x:f>MIN(D519,I519)</x:f>
        <x:v>2</x:v>
      </x:c>
      <x:c r="S519" s="47" t="n">
        <x:f>IFERROR(R519/D519,0)</x:f>
        <x:v>0.3333333333333333</x:v>
      </x:c>
      <x:c r="T519" s="38" t="n">
        <x:f>MIN(MAX(G519,0),MAX(D519-I519,0))</x:f>
        <x:v>4</x:v>
      </x:c>
      <x:c r="U519" s="44" t="n">
        <x:f>T519*E519</x:f>
        <x:v>2204</x:v>
      </x:c>
      <x:c r="V519" s="38" t="n">
        <x:v>0</x:v>
      </x:c>
      <x:c r="W519" s="32" t="n">
        <x:v>0</x:v>
      </x:c>
      <x:c r="X519" s="50"/>
      <x:c r="Y519" s="44" t="n">
        <x:v>1000</x:v>
      </x:c>
      <x:c r="Z519" s="44" t="n">
        <x:f>IF(I519&gt;0,R519*(J519/I519),0)</x:f>
        <x:v>2000</x:v>
      </x:c>
      <x:c r="AA519" s="44" t="n">
        <x:f>Z519-(R519*E519)</x:f>
        <x:v>898</x:v>
      </x:c>
      <x:c r="AB519" s="47" t="n">
        <x:f>IFERROR(AA519/Z519,0)</x:f>
        <x:v>0.449</x:v>
      </x:c>
      <x:c r="AC519" s="32" t="str">
        <x:f>IF(S519=0,"0%",IF(S519&lt;0.5,"1-49%",IF(S519&lt;0.8,"50-79%",IF(S519&lt;1,"80-99%","100%"))))</x:f>
        <x:v>1-49%</x:v>
      </x:c>
      <x:c r="AD519" s="33" t="str">
        <x:f>IF(G519&lt;0,"Stock negativo",IF(G519&lt;=0,"Sin stock actual",IF(I519&lt;=0,"Sin ventas desde compra",IF(Q519&lt;=0,"Con stock, sin ventas 365d",IF(S519&lt;0.5,"Rotación baja",IF(S519&lt;1,"Rotación media","Compra absorbida; stock repuesto"))))))</x:f>
        <x:v>Con stock, sin ventas 365d</x:v>
      </x:c>
    </x:row>
    <x:row r="520">
      <x:c r="A520" s="31" t="str">
        <x:v>MOTS1035</x:v>
      </x:c>
      <x:c r="B520" s="53" t="str">
        <x:v>BOMBILLO TABLERO CON SURE 12 V</x:v>
      </x:c>
      <x:c r="C520" s="32" t="n">
        <x:v>1</x:v>
      </x:c>
      <x:c r="D520" s="38" t="n">
        <x:v>11</x:v>
      </x:c>
      <x:c r="E520" s="44" t="n">
        <x:v>300</x:v>
      </x:c>
      <x:c r="F520" s="44" t="n">
        <x:v>3300</x:v>
      </x:c>
      <x:c r="G520" s="41" t="n">
        <x:v>6</x:v>
      </x:c>
      <x:c r="H520" s="44" t="n">
        <x:f>MAX(G520,0)*E520</x:f>
        <x:v>1800</x:v>
      </x:c>
      <x:c r="I520" s="38" t="n">
        <x:v>5</x:v>
      </x:c>
      <x:c r="J520" s="44" t="n">
        <x:v>2500</x:v>
      </x:c>
      <x:c r="K520" s="32" t="n">
        <x:v>4</x:v>
      </x:c>
      <x:c r="L520" s="50" t="n">
        <x:v>45829.91446759259</x:v>
      </x:c>
      <x:c r="M520" s="50" t="n">
        <x:v>46061.67302083333</x:v>
      </x:c>
      <x:c r="N520" s="32" t="n">
        <x:f>IF(M520="","",MAX(0,'Resumen'!$B$3-M520))</x:f>
        <x:v>205.32697916666802</x:v>
      </x:c>
      <x:c r="O520" s="38" t="n">
        <x:v>0</x:v>
      </x:c>
      <x:c r="P520" s="38" t="n">
        <x:v>0</x:v>
      </x:c>
      <x:c r="Q520" s="38" t="n">
        <x:v>4</x:v>
      </x:c>
      <x:c r="R520" s="38" t="n">
        <x:f>MIN(D520,I520)</x:f>
        <x:v>5</x:v>
      </x:c>
      <x:c r="S520" s="47" t="n">
        <x:f>IFERROR(R520/D520,0)</x:f>
        <x:v>0.45454545454545453</x:v>
      </x:c>
      <x:c r="T520" s="38" t="n">
        <x:f>MIN(MAX(G520,0),MAX(D520-I520,0))</x:f>
        <x:v>6</x:v>
      </x:c>
      <x:c r="U520" s="44" t="n">
        <x:f>T520*E520</x:f>
        <x:v>1800</x:v>
      </x:c>
      <x:c r="V520" s="38" t="n">
        <x:v>0</x:v>
      </x:c>
      <x:c r="W520" s="32" t="n">
        <x:v>0</x:v>
      </x:c>
      <x:c r="X520" s="50"/>
      <x:c r="Y520" s="44" t="n">
        <x:v>500</x:v>
      </x:c>
      <x:c r="Z520" s="44" t="n">
        <x:f>IF(I520&gt;0,R520*(J520/I520),0)</x:f>
        <x:v>2500</x:v>
      </x:c>
      <x:c r="AA520" s="44" t="n">
        <x:f>Z520-(R520*E520)</x:f>
        <x:v>1000</x:v>
      </x:c>
      <x:c r="AB520" s="47" t="n">
        <x:f>IFERROR(AA520/Z520,0)</x:f>
        <x:v>0.4</x:v>
      </x:c>
      <x:c r="AC520" s="32" t="str">
        <x:f>IF(S520=0,"0%",IF(S520&lt;0.5,"1-49%",IF(S520&lt;0.8,"50-79%",IF(S520&lt;1,"80-99%","100%"))))</x:f>
        <x:v>1-49%</x:v>
      </x:c>
      <x:c r="AD520" s="33" t="str">
        <x:f>IF(G520&lt;0,"Stock negativo",IF(G520&lt;=0,"Sin stock actual",IF(I520&lt;=0,"Sin ventas desde compra",IF(Q520&lt;=0,"Con stock, sin ventas 365d",IF(S520&lt;0.5,"Rotación baja",IF(S520&lt;1,"Rotación media","Compra absorbida; stock repuesto"))))))</x:f>
        <x:v>Rotación baja</x:v>
      </x:c>
    </x:row>
    <x:row r="521">
      <x:c r="A521" s="31" t="str">
        <x:v>MOTS1117</x:v>
      </x:c>
      <x:c r="B521" s="53" t="str">
        <x:v>AMARRA PLASTICA LUS 322 4.8  X 30CM NEGRA</x:v>
      </x:c>
      <x:c r="C521" s="32" t="n">
        <x:v>1</x:v>
      </x:c>
      <x:c r="D521" s="38" t="n">
        <x:v>78</x:v>
      </x:c>
      <x:c r="E521" s="44" t="n">
        <x:v>40</x:v>
      </x:c>
      <x:c r="F521" s="44" t="n">
        <x:v>3120</x:v>
      </x:c>
      <x:c r="G521" s="41" t="n">
        <x:v>0</x:v>
      </x:c>
      <x:c r="H521" s="44" t="n">
        <x:f>MAX(G521,0)*E521</x:f>
        <x:v>0</x:v>
      </x:c>
      <x:c r="I521" s="38" t="n">
        <x:v>78</x:v>
      </x:c>
      <x:c r="J521" s="44" t="n">
        <x:v>7800</x:v>
      </x:c>
      <x:c r="K521" s="32" t="n">
        <x:v>11</x:v>
      </x:c>
      <x:c r="L521" s="50" t="n">
        <x:v>45500.90010416666</x:v>
      </x:c>
      <x:c r="M521" s="50" t="n">
        <x:v>45526.73657407407</x:v>
      </x:c>
      <x:c r="N521" s="32" t="n">
        <x:f>IF(M521="","",MAX(0,'Resumen'!$B$3-M521))</x:f>
        <x:v>740.2634259259285</x:v>
      </x:c>
      <x:c r="O521" s="38" t="n">
        <x:v>0</x:v>
      </x:c>
      <x:c r="P521" s="38" t="n">
        <x:v>0</x:v>
      </x:c>
      <x:c r="Q521" s="38" t="n">
        <x:v>0</x:v>
      </x:c>
      <x:c r="R521" s="38" t="n">
        <x:f>MIN(D521,I521)</x:f>
        <x:v>78</x:v>
      </x:c>
      <x:c r="S521" s="47" t="n">
        <x:f>IFERROR(R521/D521,0)</x:f>
        <x:v>1</x:v>
      </x:c>
      <x:c r="T521" s="38" t="n">
        <x:f>MIN(MAX(G521,0),MAX(D521-I521,0))</x:f>
        <x:v>0</x:v>
      </x:c>
      <x:c r="U521" s="44" t="n">
        <x:f>T521*E521</x:f>
        <x:v>0</x:v>
      </x:c>
      <x:c r="V521" s="38" t="n">
        <x:v>0</x:v>
      </x:c>
      <x:c r="W521" s="32" t="n">
        <x:v>0</x:v>
      </x:c>
      <x:c r="X521" s="50"/>
      <x:c r="Y521" s="44" t="n">
        <x:v>300</x:v>
      </x:c>
      <x:c r="Z521" s="44" t="n">
        <x:f>IF(I521&gt;0,R521*(J521/I521),0)</x:f>
        <x:v>7800</x:v>
      </x:c>
      <x:c r="AA521" s="44" t="n">
        <x:f>Z521-(R521*E521)</x:f>
        <x:v>4680</x:v>
      </x:c>
      <x:c r="AB521" s="47" t="n">
        <x:f>IFERROR(AA521/Z521,0)</x:f>
        <x:v>0.6</x:v>
      </x:c>
      <x:c r="AC521" s="32" t="str">
        <x:f>IF(S521=0,"0%",IF(S521&lt;0.5,"1-49%",IF(S521&lt;0.8,"50-79%",IF(S521&lt;1,"80-99%","100%"))))</x:f>
        <x:v>100%</x:v>
      </x:c>
      <x:c r="AD521" s="33" t="str">
        <x:f>IF(G521&lt;0,"Stock negativo",IF(G521&lt;=0,"Sin stock actual",IF(I521&lt;=0,"Sin ventas desde compra",IF(Q521&lt;=0,"Con stock, sin ventas 365d",IF(S521&lt;0.5,"Rotación baja",IF(S521&lt;1,"Rotación media","Compra absorbida; stock repuesto"))))))</x:f>
        <x:v>Sin stock actual</x:v>
      </x:c>
    </x:row>
    <x:row r="522">
      <x:c r="A522" s="31" t="str">
        <x:v>ESC - 041573</x:v>
      </x:c>
      <x:c r="B522" s="53" t="str">
        <x:v>ESCOBILLASARRANQUE CR 110 / FZ 16 SYK</x:v>
      </x:c>
      <x:c r="C522" s="32" t="n">
        <x:v>1</x:v>
      </x:c>
      <x:c r="D522" s="38" t="n">
        <x:v>2</x:v>
      </x:c>
      <x:c r="E522" s="44" t="n">
        <x:v>1550</x:v>
      </x:c>
      <x:c r="F522" s="44" t="n">
        <x:v>3100</x:v>
      </x:c>
      <x:c r="G522" s="41" t="n">
        <x:v>0</x:v>
      </x:c>
      <x:c r="H522" s="44" t="n">
        <x:f>MAX(G522,0)*E522</x:f>
        <x:v>0</x:v>
      </x:c>
      <x:c r="I522" s="38" t="n">
        <x:v>2</x:v>
      </x:c>
      <x:c r="J522" s="44" t="n">
        <x:v>6000</x:v>
      </x:c>
      <x:c r="K522" s="32" t="n">
        <x:v>2</x:v>
      </x:c>
      <x:c r="L522" s="50" t="n">
        <x:v>45828.88486111111</x:v>
      </x:c>
      <x:c r="M522" s="50" t="n">
        <x:v>45840.71368055556</x:v>
      </x:c>
      <x:c r="N522" s="32" t="n">
        <x:f>IF(M522="","",MAX(0,'Resumen'!$B$3-M522))</x:f>
        <x:v>426.2863194444435</x:v>
      </x:c>
      <x:c r="O522" s="38" t="n">
        <x:v>0</x:v>
      </x:c>
      <x:c r="P522" s="38" t="n">
        <x:v>0</x:v>
      </x:c>
      <x:c r="Q522" s="38" t="n">
        <x:v>0</x:v>
      </x:c>
      <x:c r="R522" s="38" t="n">
        <x:f>MIN(D522,I522)</x:f>
        <x:v>2</x:v>
      </x:c>
      <x:c r="S522" s="47" t="n">
        <x:f>IFERROR(R522/D522,0)</x:f>
        <x:v>1</x:v>
      </x:c>
      <x:c r="T522" s="38" t="n">
        <x:f>MIN(MAX(G522,0),MAX(D522-I522,0))</x:f>
        <x:v>0</x:v>
      </x:c>
      <x:c r="U522" s="44" t="n">
        <x:f>T522*E522</x:f>
        <x:v>0</x:v>
      </x:c>
      <x:c r="V522" s="38" t="n">
        <x:v>0</x:v>
      </x:c>
      <x:c r="W522" s="32" t="n">
        <x:v>0</x:v>
      </x:c>
      <x:c r="X522" s="50"/>
      <x:c r="Y522" s="44" t="n">
        <x:v>3000</x:v>
      </x:c>
      <x:c r="Z522" s="44" t="n">
        <x:f>IF(I522&gt;0,R522*(J522/I522),0)</x:f>
        <x:v>6000</x:v>
      </x:c>
      <x:c r="AA522" s="44" t="n">
        <x:f>Z522-(R522*E522)</x:f>
        <x:v>2900</x:v>
      </x:c>
      <x:c r="AB522" s="47" t="n">
        <x:f>IFERROR(AA522/Z522,0)</x:f>
        <x:v>0.48333333333333334</x:v>
      </x:c>
      <x:c r="AC522" s="32" t="str">
        <x:f>IF(S522=0,"0%",IF(S522&lt;0.5,"1-49%",IF(S522&lt;0.8,"50-79%",IF(S522&lt;1,"80-99%","100%"))))</x:f>
        <x:v>100%</x:v>
      </x:c>
      <x:c r="AD522" s="33" t="str">
        <x:f>IF(G522&lt;0,"Stock negativo",IF(G522&lt;=0,"Sin stock actual",IF(I522&lt;=0,"Sin ventas desde compra",IF(Q522&lt;=0,"Con stock, sin ventas 365d",IF(S522&lt;0.5,"Rotación baja",IF(S522&lt;1,"Rotación media","Compra absorbida; stock repuesto"))))))</x:f>
        <x:v>Sin stock actual</x:v>
      </x:c>
    </x:row>
    <x:row r="523">
      <x:c r="A523" s="31" t="str">
        <x:v>TOR - 0361</x:v>
      </x:c>
      <x:c r="B523" s="53" t="str">
        <x:v>TORNILLO ESTRELLA 6 X35 TORNIFRENOS</x:v>
      </x:c>
      <x:c r="C523" s="32" t="n">
        <x:v>1</x:v>
      </x:c>
      <x:c r="D523" s="38" t="n">
        <x:v>19</x:v>
      </x:c>
      <x:c r="E523" s="44" t="n">
        <x:v>163</x:v>
      </x:c>
      <x:c r="F523" s="44" t="n">
        <x:v>3097</x:v>
      </x:c>
      <x:c r="G523" s="41" t="n">
        <x:v>14</x:v>
      </x:c>
      <x:c r="H523" s="44" t="n">
        <x:f>MAX(G523,0)*E523</x:f>
        <x:v>2282</x:v>
      </x:c>
      <x:c r="I523" s="38" t="n">
        <x:v>5</x:v>
      </x:c>
      <x:c r="J523" s="44" t="n">
        <x:v>2500</x:v>
      </x:c>
      <x:c r="K523" s="32" t="n">
        <x:v>3</x:v>
      </x:c>
      <x:c r="L523" s="50" t="n">
        <x:v>45531.611759259256</x:v>
      </x:c>
      <x:c r="M523" s="50" t="n">
        <x:v>45793.735613425924</x:v>
      </x:c>
      <x:c r="N523" s="32" t="n">
        <x:f>IF(M523="","",MAX(0,'Resumen'!$B$3-M523))</x:f>
        <x:v>473.2643865740756</x:v>
      </x:c>
      <x:c r="O523" s="38" t="n">
        <x:v>0</x:v>
      </x:c>
      <x:c r="P523" s="38" t="n">
        <x:v>0</x:v>
      </x:c>
      <x:c r="Q523" s="38" t="n">
        <x:v>0</x:v>
      </x:c>
      <x:c r="R523" s="38" t="n">
        <x:f>MIN(D523,I523)</x:f>
        <x:v>5</x:v>
      </x:c>
      <x:c r="S523" s="47" t="n">
        <x:f>IFERROR(R523/D523,0)</x:f>
        <x:v>0.2631578947368421</x:v>
      </x:c>
      <x:c r="T523" s="38" t="n">
        <x:f>MIN(MAX(G523,0),MAX(D523-I523,0))</x:f>
        <x:v>14</x:v>
      </x:c>
      <x:c r="U523" s="44" t="n">
        <x:f>T523*E523</x:f>
        <x:v>2282</x:v>
      </x:c>
      <x:c r="V523" s="38" t="n">
        <x:v>0</x:v>
      </x:c>
      <x:c r="W523" s="32" t="n">
        <x:v>0</x:v>
      </x:c>
      <x:c r="X523" s="50"/>
      <x:c r="Y523" s="44" t="n">
        <x:v>500</x:v>
      </x:c>
      <x:c r="Z523" s="44" t="n">
        <x:f>IF(I523&gt;0,R523*(J523/I523),0)</x:f>
        <x:v>2500</x:v>
      </x:c>
      <x:c r="AA523" s="44" t="n">
        <x:f>Z523-(R523*E523)</x:f>
        <x:v>1685</x:v>
      </x:c>
      <x:c r="AB523" s="47" t="n">
        <x:f>IFERROR(AA523/Z523,0)</x:f>
        <x:v>0.674</x:v>
      </x:c>
      <x:c r="AC523" s="32" t="str">
        <x:f>IF(S523=0,"0%",IF(S523&lt;0.5,"1-49%",IF(S523&lt;0.8,"50-79%",IF(S523&lt;1,"80-99%","100%"))))</x:f>
        <x:v>1-49%</x:v>
      </x:c>
      <x:c r="AD523" s="33" t="str">
        <x:f>IF(G523&lt;0,"Stock negativo",IF(G523&lt;=0,"Sin stock actual",IF(I523&lt;=0,"Sin ventas desde compra",IF(Q523&lt;=0,"Con stock, sin ventas 365d",IF(S523&lt;0.5,"Rotación baja",IF(S523&lt;1,"Rotación media","Compra absorbida; stock repuesto"))))))</x:f>
        <x:v>Con stock, sin ventas 365d</x:v>
      </x:c>
    </x:row>
    <x:row r="524">
      <x:c r="A524" s="31" t="str">
        <x:v>OR-214</x:v>
      </x:c>
      <x:c r="B524" s="53" t="str">
        <x:v>ORING 11/16</x:v>
      </x:c>
      <x:c r="C524" s="32" t="n">
        <x:v>1</x:v>
      </x:c>
      <x:c r="D524" s="38" t="n">
        <x:v>9</x:v>
      </x:c>
      <x:c r="E524" s="44" t="n">
        <x:v>335</x:v>
      </x:c>
      <x:c r="F524" s="44" t="n">
        <x:v>3015</x:v>
      </x:c>
      <x:c r="G524" s="41" t="n">
        <x:v>6</x:v>
      </x:c>
      <x:c r="H524" s="44" t="n">
        <x:f>MAX(G524,0)*E524</x:f>
        <x:v>2010</x:v>
      </x:c>
      <x:c r="I524" s="38" t="n">
        <x:v>4</x:v>
      </x:c>
      <x:c r="J524" s="44" t="n">
        <x:v>2400</x:v>
      </x:c>
      <x:c r="K524" s="32" t="n">
        <x:v>4</x:v>
      </x:c>
      <x:c r="L524" s="50" t="n">
        <x:v>45594.81116898148</x:v>
      </x:c>
      <x:c r="M524" s="50" t="n">
        <x:v>45736.596967592595</x:v>
      </x:c>
      <x:c r="N524" s="32" t="n">
        <x:f>IF(M524="","",MAX(0,'Resumen'!$B$3-M524))</x:f>
        <x:v>530.4030324074047</x:v>
      </x:c>
      <x:c r="O524" s="38" t="n">
        <x:v>0</x:v>
      </x:c>
      <x:c r="P524" s="38" t="n">
        <x:v>0</x:v>
      </x:c>
      <x:c r="Q524" s="38" t="n">
        <x:v>0</x:v>
      </x:c>
      <x:c r="R524" s="38" t="n">
        <x:f>MIN(D524,I524)</x:f>
        <x:v>4</x:v>
      </x:c>
      <x:c r="S524" s="47" t="n">
        <x:f>IFERROR(R524/D524,0)</x:f>
        <x:v>0.4444444444444444</x:v>
      </x:c>
      <x:c r="T524" s="38" t="n">
        <x:f>MIN(MAX(G524,0),MAX(D524-I524,0))</x:f>
        <x:v>5</x:v>
      </x:c>
      <x:c r="U524" s="44" t="n">
        <x:f>T524*E524</x:f>
        <x:v>1675</x:v>
      </x:c>
      <x:c r="V524" s="38" t="n">
        <x:v>1</x:v>
      </x:c>
      <x:c r="W524" s="32" t="n">
        <x:v>1</x:v>
      </x:c>
      <x:c r="X524" s="50" t="n">
        <x:v>45735</x:v>
      </x:c>
      <x:c r="Y524" s="44" t="n">
        <x:v>600</x:v>
      </x:c>
      <x:c r="Z524" s="44" t="n">
        <x:f>IF(I524&gt;0,R524*(J524/I524),0)</x:f>
        <x:v>2400</x:v>
      </x:c>
      <x:c r="AA524" s="44" t="n">
        <x:f>Z524-(R524*E524)</x:f>
        <x:v>1060</x:v>
      </x:c>
      <x:c r="AB524" s="47" t="n">
        <x:f>IFERROR(AA524/Z524,0)</x:f>
        <x:v>0.44166666666666665</x:v>
      </x:c>
      <x:c r="AC524" s="32" t="str">
        <x:f>IF(S524=0,"0%",IF(S524&lt;0.5,"1-49%",IF(S524&lt;0.8,"50-79%",IF(S524&lt;1,"80-99%","100%"))))</x:f>
        <x:v>1-49%</x:v>
      </x:c>
      <x:c r="AD524" s="33" t="str">
        <x:f>IF(G524&lt;0,"Stock negativo",IF(G524&lt;=0,"Sin stock actual",IF(I524&lt;=0,"Sin ventas desde compra",IF(Q524&lt;=0,"Con stock, sin ventas 365d",IF(S524&lt;0.5,"Rotación baja",IF(S524&lt;1,"Rotación media","Compra absorbida; stock repuesto"))))))</x:f>
        <x:v>Con stock, sin ventas 365d</x:v>
      </x:c>
    </x:row>
    <x:row r="525">
      <x:c r="A525" s="31" t="str">
        <x:v>OR-219</x:v>
      </x:c>
      <x:c r="B525" s="53" t="str">
        <x:v>ORING 1.3/8</x:v>
      </x:c>
      <x:c r="C525" s="32" t="n">
        <x:v>1</x:v>
      </x:c>
      <x:c r="D525" s="38" t="n">
        <x:v>9</x:v>
      </x:c>
      <x:c r="E525" s="44" t="n">
        <x:v>335</x:v>
      </x:c>
      <x:c r="F525" s="44" t="n">
        <x:v>3015</x:v>
      </x:c>
      <x:c r="G525" s="41" t="n">
        <x:v>4</x:v>
      </x:c>
      <x:c r="H525" s="44" t="n">
        <x:f>MAX(G525,0)*E525</x:f>
        <x:v>1340</x:v>
      </x:c>
      <x:c r="I525" s="38" t="n">
        <x:v>5</x:v>
      </x:c>
      <x:c r="J525" s="44" t="n">
        <x:v>2800</x:v>
      </x:c>
      <x:c r="K525" s="32" t="n">
        <x:v>2</x:v>
      </x:c>
      <x:c r="L525" s="50" t="n">
        <x:v>45594.81116898148</x:v>
      </x:c>
      <x:c r="M525" s="50" t="n">
        <x:v>45777.9528587963</x:v>
      </x:c>
      <x:c r="N525" s="32" t="n">
        <x:f>IF(M525="","",MAX(0,'Resumen'!$B$3-M525))</x:f>
        <x:v>489.04714120370045</x:v>
      </x:c>
      <x:c r="O525" s="38" t="n">
        <x:v>0</x:v>
      </x:c>
      <x:c r="P525" s="38" t="n">
        <x:v>0</x:v>
      </x:c>
      <x:c r="Q525" s="38" t="n">
        <x:v>0</x:v>
      </x:c>
      <x:c r="R525" s="38" t="n">
        <x:f>MIN(D525,I525)</x:f>
        <x:v>5</x:v>
      </x:c>
      <x:c r="S525" s="47" t="n">
        <x:f>IFERROR(R525/D525,0)</x:f>
        <x:v>0.5555555555555556</x:v>
      </x:c>
      <x:c r="T525" s="38" t="n">
        <x:f>MIN(MAX(G525,0),MAX(D525-I525,0))</x:f>
        <x:v>4</x:v>
      </x:c>
      <x:c r="U525" s="44" t="n">
        <x:f>T525*E525</x:f>
        <x:v>1340</x:v>
      </x:c>
      <x:c r="V525" s="38" t="n">
        <x:v>0</x:v>
      </x:c>
      <x:c r="W525" s="32" t="n">
        <x:v>0</x:v>
      </x:c>
      <x:c r="X525" s="50"/>
      <x:c r="Y525" s="44" t="n">
        <x:v>600</x:v>
      </x:c>
      <x:c r="Z525" s="44" t="n">
        <x:f>IF(I525&gt;0,R525*(J525/I525),0)</x:f>
        <x:v>2800</x:v>
      </x:c>
      <x:c r="AA525" s="44" t="n">
        <x:f>Z525-(R525*E525)</x:f>
        <x:v>1125</x:v>
      </x:c>
      <x:c r="AB525" s="47" t="n">
        <x:f>IFERROR(AA525/Z525,0)</x:f>
        <x:v>0.4017857142857143</x:v>
      </x:c>
      <x:c r="AC525" s="32" t="str">
        <x:f>IF(S525=0,"0%",IF(S525&lt;0.5,"1-49%",IF(S525&lt;0.8,"50-79%",IF(S525&lt;1,"80-99%","100%"))))</x:f>
        <x:v>50-79%</x:v>
      </x:c>
      <x:c r="AD525" s="33" t="str">
        <x:f>IF(G525&lt;0,"Stock negativo",IF(G525&lt;=0,"Sin stock actual",IF(I525&lt;=0,"Sin ventas desde compra",IF(Q525&lt;=0,"Con stock, sin ventas 365d",IF(S525&lt;0.5,"Rotación baja",IF(S525&lt;1,"Rotación media","Compra absorbida; stock repuesto"))))))</x:f>
        <x:v>Con stock, sin ventas 365d</x:v>
      </x:c>
    </x:row>
    <x:row r="526">
      <x:c r="A526" s="31" t="str">
        <x:v>OR-221</x:v>
      </x:c>
      <x:c r="B526" s="53" t="str">
        <x:v>ORING 1.7/16</x:v>
      </x:c>
      <x:c r="C526" s="32" t="n">
        <x:v>1</x:v>
      </x:c>
      <x:c r="D526" s="38" t="n">
        <x:v>9</x:v>
      </x:c>
      <x:c r="E526" s="44" t="n">
        <x:v>335</x:v>
      </x:c>
      <x:c r="F526" s="44" t="n">
        <x:v>3015</x:v>
      </x:c>
      <x:c r="G526" s="41" t="n">
        <x:v>3</x:v>
      </x:c>
      <x:c r="H526" s="44" t="n">
        <x:f>MAX(G526,0)*E526</x:f>
        <x:v>1005</x:v>
      </x:c>
      <x:c r="I526" s="38" t="n">
        <x:v>6</x:v>
      </x:c>
      <x:c r="J526" s="44" t="n">
        <x:v>3600</x:v>
      </x:c>
      <x:c r="K526" s="32" t="n">
        <x:v>1</x:v>
      </x:c>
      <x:c r="L526" s="50" t="n">
        <x:v>45589.71157407408</x:v>
      </x:c>
      <x:c r="M526" s="50" t="n">
        <x:v>45589.71157407408</x:v>
      </x:c>
      <x:c r="N526" s="32" t="n">
        <x:f>IF(M526="","",MAX(0,'Resumen'!$B$3-M526))</x:f>
        <x:v>677.2884259259226</x:v>
      </x:c>
      <x:c r="O526" s="38" t="n">
        <x:v>0</x:v>
      </x:c>
      <x:c r="P526" s="38" t="n">
        <x:v>0</x:v>
      </x:c>
      <x:c r="Q526" s="38" t="n">
        <x:v>0</x:v>
      </x:c>
      <x:c r="R526" s="38" t="n">
        <x:f>MIN(D526,I526)</x:f>
        <x:v>6</x:v>
      </x:c>
      <x:c r="S526" s="47" t="n">
        <x:f>IFERROR(R526/D526,0)</x:f>
        <x:v>0.6666666666666666</x:v>
      </x:c>
      <x:c r="T526" s="38" t="n">
        <x:f>MIN(MAX(G526,0),MAX(D526-I526,0))</x:f>
        <x:v>3</x:v>
      </x:c>
      <x:c r="U526" s="44" t="n">
        <x:f>T526*E526</x:f>
        <x:v>1005</x:v>
      </x:c>
      <x:c r="V526" s="38" t="n">
        <x:v>0</x:v>
      </x:c>
      <x:c r="W526" s="32" t="n">
        <x:v>0</x:v>
      </x:c>
      <x:c r="X526" s="50"/>
      <x:c r="Y526" s="44" t="n">
        <x:v>600</x:v>
      </x:c>
      <x:c r="Z526" s="44" t="n">
        <x:f>IF(I526&gt;0,R526*(J526/I526),0)</x:f>
        <x:v>3600</x:v>
      </x:c>
      <x:c r="AA526" s="44" t="n">
        <x:f>Z526-(R526*E526)</x:f>
        <x:v>1590</x:v>
      </x:c>
      <x:c r="AB526" s="47" t="n">
        <x:f>IFERROR(AA526/Z526,0)</x:f>
        <x:v>0.44166666666666665</x:v>
      </x:c>
      <x:c r="AC526" s="32" t="str">
        <x:f>IF(S526=0,"0%",IF(S526&lt;0.5,"1-49%",IF(S526&lt;0.8,"50-79%",IF(S526&lt;1,"80-99%","100%"))))</x:f>
        <x:v>50-79%</x:v>
      </x:c>
      <x:c r="AD526" s="33" t="str">
        <x:f>IF(G526&lt;0,"Stock negativo",IF(G526&lt;=0,"Sin stock actual",IF(I526&lt;=0,"Sin ventas desde compra",IF(Q526&lt;=0,"Con stock, sin ventas 365d",IF(S526&lt;0.5,"Rotación baja",IF(S526&lt;1,"Rotación media","Compra absorbida; stock repuesto"))))))</x:f>
        <x:v>Con stock, sin ventas 365d</x:v>
      </x:c>
    </x:row>
    <x:row r="527">
      <x:c r="A527" s="31" t="str">
        <x:v>203162</x:v>
      </x:c>
      <x:c r="B527" s="53" t="str">
        <x:v>GUAYA ACELERADOR NXR BROS EVERESTTI</x:v>
      </x:c>
      <x:c r="C527" s="32" t="n">
        <x:v>1</x:v>
      </x:c>
      <x:c r="D527" s="38" t="n">
        <x:v>1</x:v>
      </x:c>
      <x:c r="E527" s="44" t="n">
        <x:v>3000</x:v>
      </x:c>
      <x:c r="F527" s="44" t="n">
        <x:v>3000</x:v>
      </x:c>
      <x:c r="G527" s="41" t="n">
        <x:v>0</x:v>
      </x:c>
      <x:c r="H527" s="44" t="n">
        <x:f>MAX(G527,0)*E527</x:f>
        <x:v>0</x:v>
      </x:c>
      <x:c r="I527" s="38" t="n">
        <x:v>1</x:v>
      </x:c>
      <x:c r="J527" s="44" t="n">
        <x:v>5000</x:v>
      </x:c>
      <x:c r="K527" s="32" t="n">
        <x:v>1</x:v>
      </x:c>
      <x:c r="L527" s="50" t="n">
        <x:v>45532.921944444446</x:v>
      </x:c>
      <x:c r="M527" s="50" t="n">
        <x:v>45532.921944444446</x:v>
      </x:c>
      <x:c r="N527" s="32" t="n">
        <x:f>IF(M527="","",MAX(0,'Resumen'!$B$3-M527))</x:f>
        <x:v>734.0780555555539</x:v>
      </x:c>
      <x:c r="O527" s="38" t="n">
        <x:v>0</x:v>
      </x:c>
      <x:c r="P527" s="38" t="n">
        <x:v>0</x:v>
      </x:c>
      <x:c r="Q527" s="38" t="n">
        <x:v>0</x:v>
      </x:c>
      <x:c r="R527" s="38" t="n">
        <x:f>MIN(D527,I527)</x:f>
        <x:v>1</x:v>
      </x:c>
      <x:c r="S527" s="47" t="n">
        <x:f>IFERROR(R527/D527,0)</x:f>
        <x:v>1</x:v>
      </x:c>
      <x:c r="T527" s="38" t="n">
        <x:f>MIN(MAX(G527,0),MAX(D527-I527,0))</x:f>
        <x:v>0</x:v>
      </x:c>
      <x:c r="U527" s="44" t="n">
        <x:f>T527*E527</x:f>
        <x:v>0</x:v>
      </x:c>
      <x:c r="V527" s="38" t="n">
        <x:v>0</x:v>
      </x:c>
      <x:c r="W527" s="32" t="n">
        <x:v>0</x:v>
      </x:c>
      <x:c r="X527" s="50"/>
      <x:c r="Y527" s="44" t="n">
        <x:v>5000</x:v>
      </x:c>
      <x:c r="Z527" s="44" t="n">
        <x:f>IF(I527&gt;0,R527*(J527/I527),0)</x:f>
        <x:v>5000</x:v>
      </x:c>
      <x:c r="AA527" s="44" t="n">
        <x:f>Z527-(R527*E527)</x:f>
        <x:v>2000</x:v>
      </x:c>
      <x:c r="AB527" s="47" t="n">
        <x:f>IFERROR(AA527/Z527,0)</x:f>
        <x:v>0.4</x:v>
      </x:c>
      <x:c r="AC527" s="32" t="str">
        <x:f>IF(S527=0,"0%",IF(S527&lt;0.5,"1-49%",IF(S527&lt;0.8,"50-79%",IF(S527&lt;1,"80-99%","100%"))))</x:f>
        <x:v>100%</x:v>
      </x:c>
      <x:c r="AD527" s="33" t="str">
        <x:f>IF(G527&lt;0,"Stock negativo",IF(G527&lt;=0,"Sin stock actual",IF(I527&lt;=0,"Sin ventas desde compra",IF(Q527&lt;=0,"Con stock, sin ventas 365d",IF(S527&lt;0.5,"Rotación baja",IF(S527&lt;1,"Rotación media","Compra absorbida; stock repuesto"))))))</x:f>
        <x:v>Sin stock actual</x:v>
      </x:c>
    </x:row>
    <x:row r="528">
      <x:c r="A528" s="31" t="str">
        <x:v>H17910</x:v>
      </x:c>
      <x:c r="B528" s="53" t="str">
        <x:v>GUAYA ACELERADOR HONDA CBF 150 SYK</x:v>
      </x:c>
      <x:c r="C528" s="32" t="n">
        <x:v>1</x:v>
      </x:c>
      <x:c r="D528" s="38" t="n">
        <x:v>1</x:v>
      </x:c>
      <x:c r="E528" s="44" t="n">
        <x:v>3000</x:v>
      </x:c>
      <x:c r="F528" s="44" t="n">
        <x:v>3000</x:v>
      </x:c>
      <x:c r="G528" s="41" t="n">
        <x:v>1</x:v>
      </x:c>
      <x:c r="H528" s="44" t="n">
        <x:f>MAX(G528,0)*E528</x:f>
        <x:v>3000</x:v>
      </x:c>
      <x:c r="I528" s="38" t="n">
        <x:v>0</x:v>
      </x:c>
      <x:c r="J528" s="44" t="n">
        <x:v>0</x:v>
      </x:c>
      <x:c r="K528" s="32" t="n">
        <x:v>0</x:v>
      </x:c>
      <x:c r="L528" s="50"/>
      <x:c r="M528" s="50"/>
      <x:c r="N528" s="32" t="str">
        <x:f>IF(M528="","",MAX(0,'Resumen'!$B$3-M528))</x:f>
      </x:c>
      <x:c r="O528" s="38" t="n">
        <x:v>0</x:v>
      </x:c>
      <x:c r="P528" s="38" t="n">
        <x:v>0</x:v>
      </x:c>
      <x:c r="Q528" s="38" t="n">
        <x:v>0</x:v>
      </x:c>
      <x:c r="R528" s="38" t="n">
        <x:f>MIN(D528,I528)</x:f>
        <x:v>0</x:v>
      </x:c>
      <x:c r="S528" s="47" t="n">
        <x:f>IFERROR(R528/D528,0)</x:f>
        <x:v>0</x:v>
      </x:c>
      <x:c r="T528" s="38" t="n">
        <x:f>MIN(MAX(G528,0),MAX(D528-I528,0))</x:f>
        <x:v>1</x:v>
      </x:c>
      <x:c r="U528" s="44" t="n">
        <x:f>T528*E528</x:f>
        <x:v>3000</x:v>
      </x:c>
      <x:c r="V528" s="38" t="n">
        <x:v>0</x:v>
      </x:c>
      <x:c r="W528" s="32" t="n">
        <x:v>0</x:v>
      </x:c>
      <x:c r="X528" s="50"/>
      <x:c r="Y528" s="44" t="n">
        <x:v>5000</x:v>
      </x:c>
      <x:c r="Z528" s="44" t="n">
        <x:f>IF(I528&gt;0,R528*(J528/I528),0)</x:f>
        <x:v>0</x:v>
      </x:c>
      <x:c r="AA528" s="44" t="n">
        <x:f>Z528-(R528*E528)</x:f>
        <x:v>0</x:v>
      </x:c>
      <x:c r="AB528" s="47" t="n">
        <x:f>IFERROR(AA528/Z528,0)</x:f>
        <x:v>0</x:v>
      </x:c>
      <x:c r="AC528" s="32" t="str">
        <x:f>IF(S528=0,"0%",IF(S528&lt;0.5,"1-49%",IF(S528&lt;0.8,"50-79%",IF(S528&lt;1,"80-99%","100%"))))</x:f>
        <x:v>0%</x:v>
      </x:c>
      <x:c r="AD528" s="33" t="str">
        <x:f>IF(G528&lt;0,"Stock negativo",IF(G528&lt;=0,"Sin stock actual",IF(I528&lt;=0,"Sin ventas desde compra",IF(Q528&lt;=0,"Con stock, sin ventas 365d",IF(S528&lt;0.5,"Rotación baja",IF(S528&lt;1,"Rotación media","Compra absorbida; stock repuesto"))))))</x:f>
        <x:v>Sin ventas desde compra</x:v>
      </x:c>
    </x:row>
    <x:row r="529">
      <x:c r="A529" s="31" t="str">
        <x:v>MOTS1100</x:v>
      </x:c>
      <x:c r="B529" s="53" t="str">
        <x:v>RETEN 22-32-5-5</x:v>
      </x:c>
      <x:c r="C529" s="32" t="n">
        <x:v>1</x:v>
      </x:c>
      <x:c r="D529" s="38" t="n">
        <x:v>2</x:v>
      </x:c>
      <x:c r="E529" s="44" t="n">
        <x:v>1500</x:v>
      </x:c>
      <x:c r="F529" s="44" t="n">
        <x:v>3000</x:v>
      </x:c>
      <x:c r="G529" s="41" t="n">
        <x:v>0</x:v>
      </x:c>
      <x:c r="H529" s="44" t="n">
        <x:f>MAX(G529,0)*E529</x:f>
        <x:v>0</x:v>
      </x:c>
      <x:c r="I529" s="38" t="n">
        <x:v>2</x:v>
      </x:c>
      <x:c r="J529" s="44" t="n">
        <x:v>5000</x:v>
      </x:c>
      <x:c r="K529" s="32" t="n">
        <x:v>2</x:v>
      </x:c>
      <x:c r="L529" s="50" t="n">
        <x:v>45509.94179398148</x:v>
      </x:c>
      <x:c r="M529" s="50" t="n">
        <x:v>45586.72980324074</x:v>
      </x:c>
      <x:c r="N529" s="32" t="n">
        <x:f>IF(M529="","",MAX(0,'Resumen'!$B$3-M529))</x:f>
        <x:v>680.2701967592584</x:v>
      </x:c>
      <x:c r="O529" s="38" t="n">
        <x:v>0</x:v>
      </x:c>
      <x:c r="P529" s="38" t="n">
        <x:v>0</x:v>
      </x:c>
      <x:c r="Q529" s="38" t="n">
        <x:v>0</x:v>
      </x:c>
      <x:c r="R529" s="38" t="n">
        <x:f>MIN(D529,I529)</x:f>
        <x:v>2</x:v>
      </x:c>
      <x:c r="S529" s="47" t="n">
        <x:f>IFERROR(R529/D529,0)</x:f>
        <x:v>1</x:v>
      </x:c>
      <x:c r="T529" s="38" t="n">
        <x:f>MIN(MAX(G529,0),MAX(D529-I529,0))</x:f>
        <x:v>0</x:v>
      </x:c>
      <x:c r="U529" s="44" t="n">
        <x:f>T529*E529</x:f>
        <x:v>0</x:v>
      </x:c>
      <x:c r="V529" s="38" t="n">
        <x:v>0</x:v>
      </x:c>
      <x:c r="W529" s="32" t="n">
        <x:v>0</x:v>
      </x:c>
      <x:c r="X529" s="50"/>
      <x:c r="Y529" s="44" t="n">
        <x:v>2500</x:v>
      </x:c>
      <x:c r="Z529" s="44" t="n">
        <x:f>IF(I529&gt;0,R529*(J529/I529),0)</x:f>
        <x:v>5000</x:v>
      </x:c>
      <x:c r="AA529" s="44" t="n">
        <x:f>Z529-(R529*E529)</x:f>
        <x:v>2000</x:v>
      </x:c>
      <x:c r="AB529" s="47" t="n">
        <x:f>IFERROR(AA529/Z529,0)</x:f>
        <x:v>0.4</x:v>
      </x:c>
      <x:c r="AC529" s="32" t="str">
        <x:f>IF(S529=0,"0%",IF(S529&lt;0.5,"1-49%",IF(S529&lt;0.8,"50-79%",IF(S529&lt;1,"80-99%","100%"))))</x:f>
        <x:v>100%</x:v>
      </x:c>
      <x:c r="AD529" s="33" t="str">
        <x:f>IF(G529&lt;0,"Stock negativo",IF(G529&lt;=0,"Sin stock actual",IF(I529&lt;=0,"Sin ventas desde compra",IF(Q529&lt;=0,"Con stock, sin ventas 365d",IF(S529&lt;0.5,"Rotación baja",IF(S529&lt;1,"Rotación media","Compra absorbida; stock repuesto"))))))</x:f>
        <x:v>Sin stock actual</x:v>
      </x:c>
    </x:row>
    <x:row r="530">
      <x:c r="A530" s="31" t="str">
        <x:v>MOTS1127</x:v>
      </x:c>
      <x:c r="B530" s="53" t="str">
        <x:v>TAPA VALVULA CURVA</x:v>
      </x:c>
      <x:c r="C530" s="32" t="n">
        <x:v>1</x:v>
      </x:c>
      <x:c r="D530" s="38" t="n">
        <x:v>3</x:v>
      </x:c>
      <x:c r="E530" s="44" t="n">
        <x:v>1000</x:v>
      </x:c>
      <x:c r="F530" s="44" t="n">
        <x:v>3000</x:v>
      </x:c>
      <x:c r="G530" s="41" t="n">
        <x:v>0</x:v>
      </x:c>
      <x:c r="H530" s="44" t="n">
        <x:f>MAX(G530,0)*E530</x:f>
        <x:v>0</x:v>
      </x:c>
      <x:c r="I530" s="38" t="n">
        <x:v>3</x:v>
      </x:c>
      <x:c r="J530" s="44" t="n">
        <x:v>10000</x:v>
      </x:c>
      <x:c r="K530" s="32" t="n">
        <x:v>3</x:v>
      </x:c>
      <x:c r="L530" s="50" t="n">
        <x:v>45506.99949074074</x:v>
      </x:c>
      <x:c r="M530" s="50" t="n">
        <x:v>45706.56859953704</x:v>
      </x:c>
      <x:c r="N530" s="32" t="n">
        <x:f>IF(M530="","",MAX(0,'Resumen'!$B$3-M530))</x:f>
        <x:v>560.4314004629632</x:v>
      </x:c>
      <x:c r="O530" s="38" t="n">
        <x:v>0</x:v>
      </x:c>
      <x:c r="P530" s="38" t="n">
        <x:v>0</x:v>
      </x:c>
      <x:c r="Q530" s="38" t="n">
        <x:v>0</x:v>
      </x:c>
      <x:c r="R530" s="38" t="n">
        <x:f>MIN(D530,I530)</x:f>
        <x:v>3</x:v>
      </x:c>
      <x:c r="S530" s="47" t="n">
        <x:f>IFERROR(R530/D530,0)</x:f>
        <x:v>1</x:v>
      </x:c>
      <x:c r="T530" s="38" t="n">
        <x:f>MIN(MAX(G530,0),MAX(D530-I530,0))</x:f>
        <x:v>0</x:v>
      </x:c>
      <x:c r="U530" s="44" t="n">
        <x:f>T530*E530</x:f>
        <x:v>0</x:v>
      </x:c>
      <x:c r="V530" s="38" t="n">
        <x:v>0</x:v>
      </x:c>
      <x:c r="W530" s="32" t="n">
        <x:v>0</x:v>
      </x:c>
      <x:c r="X530" s="50"/>
      <x:c r="Y530" s="44" t="n">
        <x:v>4000</x:v>
      </x:c>
      <x:c r="Z530" s="44" t="n">
        <x:f>IF(I530&gt;0,R530*(J530/I530),0)</x:f>
        <x:v>10000</x:v>
      </x:c>
      <x:c r="AA530" s="44" t="n">
        <x:f>Z530-(R530*E530)</x:f>
        <x:v>7000</x:v>
      </x:c>
      <x:c r="AB530" s="47" t="n">
        <x:f>IFERROR(AA530/Z530,0)</x:f>
        <x:v>0.7</x:v>
      </x:c>
      <x:c r="AC530" s="32" t="str">
        <x:f>IF(S530=0,"0%",IF(S530&lt;0.5,"1-49%",IF(S530&lt;0.8,"50-79%",IF(S530&lt;1,"80-99%","100%"))))</x:f>
        <x:v>100%</x:v>
      </x:c>
      <x:c r="AD530" s="33" t="str">
        <x:f>IF(G530&lt;0,"Stock negativo",IF(G530&lt;=0,"Sin stock actual",IF(I530&lt;=0,"Sin ventas desde compra",IF(Q530&lt;=0,"Con stock, sin ventas 365d",IF(S530&lt;0.5,"Rotación baja",IF(S530&lt;1,"Rotación media","Compra absorbida; stock repuesto"))))))</x:f>
        <x:v>Sin stock actual</x:v>
      </x:c>
    </x:row>
    <x:row r="531">
      <x:c r="A531" s="31" t="str">
        <x:v>MOTS1158</x:v>
      </x:c>
      <x:c r="B531" s="53" t="str">
        <x:v>CAUCHO POSA PIE TRA- ECO 100 EVEREST</x:v>
      </x:c>
      <x:c r="C531" s="32" t="n">
        <x:v>1</x:v>
      </x:c>
      <x:c r="D531" s="38" t="n">
        <x:v>1</x:v>
      </x:c>
      <x:c r="E531" s="44" t="n">
        <x:v>3000</x:v>
      </x:c>
      <x:c r="F531" s="44" t="n">
        <x:v>3000</x:v>
      </x:c>
      <x:c r="G531" s="41" t="n">
        <x:v>0</x:v>
      </x:c>
      <x:c r="H531" s="44" t="n">
        <x:f>MAX(G531,0)*E531</x:f>
        <x:v>0</x:v>
      </x:c>
      <x:c r="I531" s="38" t="n">
        <x:v>1</x:v>
      </x:c>
      <x:c r="J531" s="44" t="n">
        <x:v>5000</x:v>
      </x:c>
      <x:c r="K531" s="32" t="n">
        <x:v>1</x:v>
      </x:c>
      <x:c r="L531" s="50" t="n">
        <x:v>45694.71570601852</x:v>
      </x:c>
      <x:c r="M531" s="50" t="n">
        <x:v>45694.71570601852</x:v>
      </x:c>
      <x:c r="N531" s="32" t="n">
        <x:f>IF(M531="","",MAX(0,'Resumen'!$B$3-M531))</x:f>
        <x:v>572.28429398148</x:v>
      </x:c>
      <x:c r="O531" s="38" t="n">
        <x:v>0</x:v>
      </x:c>
      <x:c r="P531" s="38" t="n">
        <x:v>0</x:v>
      </x:c>
      <x:c r="Q531" s="38" t="n">
        <x:v>0</x:v>
      </x:c>
      <x:c r="R531" s="38" t="n">
        <x:f>MIN(D531,I531)</x:f>
        <x:v>1</x:v>
      </x:c>
      <x:c r="S531" s="47" t="n">
        <x:f>IFERROR(R531/D531,0)</x:f>
        <x:v>1</x:v>
      </x:c>
      <x:c r="T531" s="38" t="n">
        <x:f>MIN(MAX(G531,0),MAX(D531-I531,0))</x:f>
        <x:v>0</x:v>
      </x:c>
      <x:c r="U531" s="44" t="n">
        <x:f>T531*E531</x:f>
        <x:v>0</x:v>
      </x:c>
      <x:c r="V531" s="38" t="n">
        <x:v>0</x:v>
      </x:c>
      <x:c r="W531" s="32" t="n">
        <x:v>0</x:v>
      </x:c>
      <x:c r="X531" s="50"/>
      <x:c r="Y531" s="44" t="n">
        <x:v>5000</x:v>
      </x:c>
      <x:c r="Z531" s="44" t="n">
        <x:f>IF(I531&gt;0,R531*(J531/I531),0)</x:f>
        <x:v>5000</x:v>
      </x:c>
      <x:c r="AA531" s="44" t="n">
        <x:f>Z531-(R531*E531)</x:f>
        <x:v>2000</x:v>
      </x:c>
      <x:c r="AB531" s="47" t="n">
        <x:f>IFERROR(AA531/Z531,0)</x:f>
        <x:v>0.4</x:v>
      </x:c>
      <x:c r="AC531" s="32" t="str">
        <x:f>IF(S531=0,"0%",IF(S531&lt;0.5,"1-49%",IF(S531&lt;0.8,"50-79%",IF(S531&lt;1,"80-99%","100%"))))</x:f>
        <x:v>100%</x:v>
      </x:c>
      <x:c r="AD531" s="33" t="str">
        <x:f>IF(G531&lt;0,"Stock negativo",IF(G531&lt;=0,"Sin stock actual",IF(I531&lt;=0,"Sin ventas desde compra",IF(Q531&lt;=0,"Con stock, sin ventas 365d",IF(S531&lt;0.5,"Rotación baja",IF(S531&lt;1,"Rotación media","Compra absorbida; stock repuesto"))))))</x:f>
        <x:v>Sin stock actual</x:v>
      </x:c>
    </x:row>
    <x:row r="532">
      <x:c r="A532" s="31" t="str">
        <x:v>MOTS1166</x:v>
      </x:c>
      <x:c r="B532" s="53" t="str">
        <x:v>CAUCHO MANZANA RX YAMAHA / CRIPTON T 80</x:v>
      </x:c>
      <x:c r="C532" s="32" t="n">
        <x:v>1</x:v>
      </x:c>
      <x:c r="D532" s="38" t="n">
        <x:v>1</x:v>
      </x:c>
      <x:c r="E532" s="44" t="n">
        <x:v>3000</x:v>
      </x:c>
      <x:c r="F532" s="44" t="n">
        <x:v>3000</x:v>
      </x:c>
      <x:c r="G532" s="41" t="n">
        <x:v>0</x:v>
      </x:c>
      <x:c r="H532" s="44" t="n">
        <x:f>MAX(G532,0)*E532</x:f>
        <x:v>0</x:v>
      </x:c>
      <x:c r="I532" s="38" t="n">
        <x:v>1</x:v>
      </x:c>
      <x:c r="J532" s="44" t="n">
        <x:v>5000</x:v>
      </x:c>
      <x:c r="K532" s="32" t="n">
        <x:v>1</x:v>
      </x:c>
      <x:c r="L532" s="50" t="n">
        <x:v>45515.6496875</x:v>
      </x:c>
      <x:c r="M532" s="50" t="n">
        <x:v>45515.6496875</x:v>
      </x:c>
      <x:c r="N532" s="32" t="n">
        <x:f>IF(M532="","",MAX(0,'Resumen'!$B$3-M532))</x:f>
        <x:v>751.3503124999988</x:v>
      </x:c>
      <x:c r="O532" s="38" t="n">
        <x:v>0</x:v>
      </x:c>
      <x:c r="P532" s="38" t="n">
        <x:v>0</x:v>
      </x:c>
      <x:c r="Q532" s="38" t="n">
        <x:v>0</x:v>
      </x:c>
      <x:c r="R532" s="38" t="n">
        <x:f>MIN(D532,I532)</x:f>
        <x:v>1</x:v>
      </x:c>
      <x:c r="S532" s="47" t="n">
        <x:f>IFERROR(R532/D532,0)</x:f>
        <x:v>1</x:v>
      </x:c>
      <x:c r="T532" s="38" t="n">
        <x:f>MIN(MAX(G532,0),MAX(D532-I532,0))</x:f>
        <x:v>0</x:v>
      </x:c>
      <x:c r="U532" s="44" t="n">
        <x:f>T532*E532</x:f>
        <x:v>0</x:v>
      </x:c>
      <x:c r="V532" s="38" t="n">
        <x:v>0</x:v>
      </x:c>
      <x:c r="W532" s="32" t="n">
        <x:v>0</x:v>
      </x:c>
      <x:c r="X532" s="50"/>
      <x:c r="Y532" s="44" t="n">
        <x:v>5000</x:v>
      </x:c>
      <x:c r="Z532" s="44" t="n">
        <x:f>IF(I532&gt;0,R532*(J532/I532),0)</x:f>
        <x:v>5000</x:v>
      </x:c>
      <x:c r="AA532" s="44" t="n">
        <x:f>Z532-(R532*E532)</x:f>
        <x:v>2000</x:v>
      </x:c>
      <x:c r="AB532" s="47" t="n">
        <x:f>IFERROR(AA532/Z532,0)</x:f>
        <x:v>0.4</x:v>
      </x:c>
      <x:c r="AC532" s="32" t="str">
        <x:f>IF(S532=0,"0%",IF(S532&lt;0.5,"1-49%",IF(S532&lt;0.8,"50-79%",IF(S532&lt;1,"80-99%","100%"))))</x:f>
        <x:v>100%</x:v>
      </x:c>
      <x:c r="AD532" s="33" t="str">
        <x:f>IF(G532&lt;0,"Stock negativo",IF(G532&lt;=0,"Sin stock actual",IF(I532&lt;=0,"Sin ventas desde compra",IF(Q532&lt;=0,"Con stock, sin ventas 365d",IF(S532&lt;0.5,"Rotación baja",IF(S532&lt;1,"Rotación media","Compra absorbida; stock repuesto"))))))</x:f>
        <x:v>Sin stock actual</x:v>
      </x:c>
    </x:row>
    <x:row r="533">
      <x:c r="A533" s="31" t="str">
        <x:v>MOTS1268</x:v>
      </x:c>
      <x:c r="B533" s="53" t="str">
        <x:v>GUAYA ACELERADOR NXR BROS SYK</x:v>
      </x:c>
      <x:c r="C533" s="32" t="n">
        <x:v>1</x:v>
      </x:c>
      <x:c r="D533" s="38" t="n">
        <x:v>1</x:v>
      </x:c>
      <x:c r="E533" s="44" t="n">
        <x:v>3000</x:v>
      </x:c>
      <x:c r="F533" s="44" t="n">
        <x:v>3000</x:v>
      </x:c>
      <x:c r="G533" s="41" t="n">
        <x:v>1</x:v>
      </x:c>
      <x:c r="H533" s="44" t="n">
        <x:f>MAX(G533,0)*E533</x:f>
        <x:v>3000</x:v>
      </x:c>
      <x:c r="I533" s="38" t="n">
        <x:v>0</x:v>
      </x:c>
      <x:c r="J533" s="44" t="n">
        <x:v>0</x:v>
      </x:c>
      <x:c r="K533" s="32" t="n">
        <x:v>0</x:v>
      </x:c>
      <x:c r="L533" s="50"/>
      <x:c r="M533" s="50"/>
      <x:c r="N533" s="32" t="str">
        <x:f>IF(M533="","",MAX(0,'Resumen'!$B$3-M533))</x:f>
      </x:c>
      <x:c r="O533" s="38" t="n">
        <x:v>0</x:v>
      </x:c>
      <x:c r="P533" s="38" t="n">
        <x:v>0</x:v>
      </x:c>
      <x:c r="Q533" s="38" t="n">
        <x:v>0</x:v>
      </x:c>
      <x:c r="R533" s="38" t="n">
        <x:f>MIN(D533,I533)</x:f>
        <x:v>0</x:v>
      </x:c>
      <x:c r="S533" s="47" t="n">
        <x:f>IFERROR(R533/D533,0)</x:f>
        <x:v>0</x:v>
      </x:c>
      <x:c r="T533" s="38" t="n">
        <x:f>MIN(MAX(G533,0),MAX(D533-I533,0))</x:f>
        <x:v>1</x:v>
      </x:c>
      <x:c r="U533" s="44" t="n">
        <x:f>T533*E533</x:f>
        <x:v>3000</x:v>
      </x:c>
      <x:c r="V533" s="38" t="n">
        <x:v>0</x:v>
      </x:c>
      <x:c r="W533" s="32" t="n">
        <x:v>0</x:v>
      </x:c>
      <x:c r="X533" s="50"/>
      <x:c r="Y533" s="44" t="n">
        <x:v>5000</x:v>
      </x:c>
      <x:c r="Z533" s="44" t="n">
        <x:f>IF(I533&gt;0,R533*(J533/I533),0)</x:f>
        <x:v>0</x:v>
      </x:c>
      <x:c r="AA533" s="44" t="n">
        <x:f>Z533-(R533*E533)</x:f>
        <x:v>0</x:v>
      </x:c>
      <x:c r="AB533" s="47" t="n">
        <x:f>IFERROR(AA533/Z533,0)</x:f>
        <x:v>0</x:v>
      </x:c>
      <x:c r="AC533" s="32" t="str">
        <x:f>IF(S533=0,"0%",IF(S533&lt;0.5,"1-49%",IF(S533&lt;0.8,"50-79%",IF(S533&lt;1,"80-99%","100%"))))</x:f>
        <x:v>0%</x:v>
      </x:c>
      <x:c r="AD533" s="33" t="str">
        <x:f>IF(G533&lt;0,"Stock negativo",IF(G533&lt;=0,"Sin stock actual",IF(I533&lt;=0,"Sin ventas desde compra",IF(Q533&lt;=0,"Con stock, sin ventas 365d",IF(S533&lt;0.5,"Rotación baja",IF(S533&lt;1,"Rotación media","Compra absorbida; stock repuesto"))))))</x:f>
        <x:v>Sin ventas desde compra</x:v>
      </x:c>
    </x:row>
    <x:row r="534">
      <x:c r="A534" s="31" t="str">
        <x:v>MOTS1275</x:v>
      </x:c>
      <x:c r="B534" s="53" t="str">
        <x:v>GUAYA CLUCTH CB 110 GUALITY</x:v>
      </x:c>
      <x:c r="C534" s="32" t="n">
        <x:v>1</x:v>
      </x:c>
      <x:c r="D534" s="38" t="n">
        <x:v>1</x:v>
      </x:c>
      <x:c r="E534" s="44" t="n">
        <x:v>3000</x:v>
      </x:c>
      <x:c r="F534" s="44" t="n">
        <x:v>3000</x:v>
      </x:c>
      <x:c r="G534" s="41" t="n">
        <x:v>1</x:v>
      </x:c>
      <x:c r="H534" s="44" t="n">
        <x:f>MAX(G534,0)*E534</x:f>
        <x:v>3000</x:v>
      </x:c>
      <x:c r="I534" s="38" t="n">
        <x:v>0</x:v>
      </x:c>
      <x:c r="J534" s="44" t="n">
        <x:v>0</x:v>
      </x:c>
      <x:c r="K534" s="32" t="n">
        <x:v>0</x:v>
      </x:c>
      <x:c r="L534" s="50"/>
      <x:c r="M534" s="50"/>
      <x:c r="N534" s="32" t="str">
        <x:f>IF(M534="","",MAX(0,'Resumen'!$B$3-M534))</x:f>
      </x:c>
      <x:c r="O534" s="38" t="n">
        <x:v>0</x:v>
      </x:c>
      <x:c r="P534" s="38" t="n">
        <x:v>0</x:v>
      </x:c>
      <x:c r="Q534" s="38" t="n">
        <x:v>0</x:v>
      </x:c>
      <x:c r="R534" s="38" t="n">
        <x:f>MIN(D534,I534)</x:f>
        <x:v>0</x:v>
      </x:c>
      <x:c r="S534" s="47" t="n">
        <x:f>IFERROR(R534/D534,0)</x:f>
        <x:v>0</x:v>
      </x:c>
      <x:c r="T534" s="38" t="n">
        <x:f>MIN(MAX(G534,0),MAX(D534-I534,0))</x:f>
        <x:v>1</x:v>
      </x:c>
      <x:c r="U534" s="44" t="n">
        <x:f>T534*E534</x:f>
        <x:v>3000</x:v>
      </x:c>
      <x:c r="V534" s="38" t="n">
        <x:v>0</x:v>
      </x:c>
      <x:c r="W534" s="32" t="n">
        <x:v>0</x:v>
      </x:c>
      <x:c r="X534" s="50"/>
      <x:c r="Y534" s="44" t="n">
        <x:v>9000</x:v>
      </x:c>
      <x:c r="Z534" s="44" t="n">
        <x:f>IF(I534&gt;0,R534*(J534/I534),0)</x:f>
        <x:v>0</x:v>
      </x:c>
      <x:c r="AA534" s="44" t="n">
        <x:f>Z534-(R534*E534)</x:f>
        <x:v>0</x:v>
      </x:c>
      <x:c r="AB534" s="47" t="n">
        <x:f>IFERROR(AA534/Z534,0)</x:f>
        <x:v>0</x:v>
      </x:c>
      <x:c r="AC534" s="32" t="str">
        <x:f>IF(S534=0,"0%",IF(S534&lt;0.5,"1-49%",IF(S534&lt;0.8,"50-79%",IF(S534&lt;1,"80-99%","100%"))))</x:f>
        <x:v>0%</x:v>
      </x:c>
      <x:c r="AD534" s="33" t="str">
        <x:f>IF(G534&lt;0,"Stock negativo",IF(G534&lt;=0,"Sin stock actual",IF(I534&lt;=0,"Sin ventas desde compra",IF(Q534&lt;=0,"Con stock, sin ventas 365d",IF(S534&lt;0.5,"Rotación baja",IF(S534&lt;1,"Rotación media","Compra absorbida; stock repuesto"))))))</x:f>
        <x:v>Sin ventas desde compra</x:v>
      </x:c>
    </x:row>
    <x:row r="535">
      <x:c r="A535" s="31" t="str">
        <x:v>MOTS1132</x:v>
      </x:c>
      <x:c r="B535" s="53" t="str">
        <x:v>WASA PRESION 70MM TORNIFRENOS</x:v>
      </x:c>
      <x:c r="C535" s="32" t="n">
        <x:v>1</x:v>
      </x:c>
      <x:c r="D535" s="38" t="n">
        <x:v>63</x:v>
      </x:c>
      <x:c r="E535" s="44" t="n">
        <x:v>42</x:v>
      </x:c>
      <x:c r="F535" s="44" t="n">
        <x:v>2646</x:v>
      </x:c>
      <x:c r="G535" s="41" t="n">
        <x:v>59</x:v>
      </x:c>
      <x:c r="H535" s="44" t="n">
        <x:f>MAX(G535,0)*E535</x:f>
        <x:v>2478</x:v>
      </x:c>
      <x:c r="I535" s="38" t="n">
        <x:v>7</x:v>
      </x:c>
      <x:c r="J535" s="44" t="n">
        <x:v>700</x:v>
      </x:c>
      <x:c r="K535" s="32" t="n">
        <x:v>4</x:v>
      </x:c>
      <x:c r="L535" s="50" t="n">
        <x:v>45587.58479166667</x:v>
      </x:c>
      <x:c r="M535" s="50" t="n">
        <x:v>46266.70725694444</x:v>
      </x:c>
      <x:c r="N535" s="32" t="n">
        <x:f>IF(M535="","",MAX(0,'Resumen'!$B$3-M535))</x:f>
        <x:v>0.29274305555736646</x:v>
      </x:c>
      <x:c r="O535" s="38" t="n">
        <x:v>1</x:v>
      </x:c>
      <x:c r="P535" s="38" t="n">
        <x:v>1</x:v>
      </x:c>
      <x:c r="Q535" s="38" t="n">
        <x:v>2</x:v>
      </x:c>
      <x:c r="R535" s="38" t="n">
        <x:f>MIN(D535,I535)</x:f>
        <x:v>7</x:v>
      </x:c>
      <x:c r="S535" s="47" t="n">
        <x:f>IFERROR(R535/D535,0)</x:f>
        <x:v>0.1111111111111111</x:v>
      </x:c>
      <x:c r="T535" s="38" t="n">
        <x:f>MIN(MAX(G535,0),MAX(D535-I535,0))</x:f>
        <x:v>56</x:v>
      </x:c>
      <x:c r="U535" s="44" t="n">
        <x:f>T535*E535</x:f>
        <x:v>2352</x:v>
      </x:c>
      <x:c r="V535" s="38" t="n">
        <x:v>3</x:v>
      </x:c>
      <x:c r="W535" s="32" t="n">
        <x:v>3</x:v>
      </x:c>
      <x:c r="X535" s="50" t="n">
        <x:v>45849</x:v>
      </x:c>
      <x:c r="Y535" s="44" t="n">
        <x:v>100</x:v>
      </x:c>
      <x:c r="Z535" s="44" t="n">
        <x:f>IF(I535&gt;0,R535*(J535/I535),0)</x:f>
        <x:v>700</x:v>
      </x:c>
      <x:c r="AA535" s="44" t="n">
        <x:f>Z535-(R535*E535)</x:f>
        <x:v>406</x:v>
      </x:c>
      <x:c r="AB535" s="47" t="n">
        <x:f>IFERROR(AA535/Z535,0)</x:f>
        <x:v>0.58</x:v>
      </x:c>
      <x:c r="AC535" s="32" t="str">
        <x:f>IF(S535=0,"0%",IF(S535&lt;0.5,"1-49%",IF(S535&lt;0.8,"50-79%",IF(S535&lt;1,"80-99%","100%"))))</x:f>
        <x:v>1-49%</x:v>
      </x:c>
      <x:c r="AD535" s="33" t="str">
        <x:f>IF(G535&lt;0,"Stock negativo",IF(G535&lt;=0,"Sin stock actual",IF(I535&lt;=0,"Sin ventas desde compra",IF(Q535&lt;=0,"Con stock, sin ventas 365d",IF(S535&lt;0.5,"Rotación baja",IF(S535&lt;1,"Rotación media","Compra absorbida; stock repuesto"))))))</x:f>
        <x:v>Rotación baja</x:v>
      </x:c>
    </x:row>
    <x:row r="536">
      <x:c r="A536" s="31" t="str">
        <x:v>60289</x:v>
      </x:c>
      <x:c r="B536" s="53" t="str">
        <x:v>GUAYA ACELERADOR BEST 125 GUAYAS Y PARTES</x:v>
      </x:c>
      <x:c r="C536" s="32" t="n">
        <x:v>1</x:v>
      </x:c>
      <x:c r="D536" s="38" t="n">
        <x:v>1</x:v>
      </x:c>
      <x:c r="E536" s="44" t="n">
        <x:v>2500</x:v>
      </x:c>
      <x:c r="F536" s="44" t="n">
        <x:v>2500</x:v>
      </x:c>
      <x:c r="G536" s="41" t="n">
        <x:v>0</x:v>
      </x:c>
      <x:c r="H536" s="44" t="n">
        <x:f>MAX(G536,0)*E536</x:f>
        <x:v>0</x:v>
      </x:c>
      <x:c r="I536" s="38" t="n">
        <x:v>1</x:v>
      </x:c>
      <x:c r="J536" s="44" t="n">
        <x:v>4500</x:v>
      </x:c>
      <x:c r="K536" s="32" t="n">
        <x:v>1</x:v>
      </x:c>
      <x:c r="L536" s="50" t="n">
        <x:v>45524.851331018515</x:v>
      </x:c>
      <x:c r="M536" s="50" t="n">
        <x:v>45524.851331018515</x:v>
      </x:c>
      <x:c r="N536" s="32" t="n">
        <x:f>IF(M536="","",MAX(0,'Resumen'!$B$3-M536))</x:f>
        <x:v>742.1486689814847</x:v>
      </x:c>
      <x:c r="O536" s="38" t="n">
        <x:v>0</x:v>
      </x:c>
      <x:c r="P536" s="38" t="n">
        <x:v>0</x:v>
      </x:c>
      <x:c r="Q536" s="38" t="n">
        <x:v>0</x:v>
      </x:c>
      <x:c r="R536" s="38" t="n">
        <x:f>MIN(D536,I536)</x:f>
        <x:v>1</x:v>
      </x:c>
      <x:c r="S536" s="47" t="n">
        <x:f>IFERROR(R536/D536,0)</x:f>
        <x:v>1</x:v>
      </x:c>
      <x:c r="T536" s="38" t="n">
        <x:f>MIN(MAX(G536,0),MAX(D536-I536,0))</x:f>
        <x:v>0</x:v>
      </x:c>
      <x:c r="U536" s="44" t="n">
        <x:f>T536*E536</x:f>
        <x:v>0</x:v>
      </x:c>
      <x:c r="V536" s="38" t="n">
        <x:v>0</x:v>
      </x:c>
      <x:c r="W536" s="32" t="n">
        <x:v>0</x:v>
      </x:c>
      <x:c r="X536" s="50"/>
      <x:c r="Y536" s="44" t="n">
        <x:v>4500</x:v>
      </x:c>
      <x:c r="Z536" s="44" t="n">
        <x:f>IF(I536&gt;0,R536*(J536/I536),0)</x:f>
        <x:v>4500</x:v>
      </x:c>
      <x:c r="AA536" s="44" t="n">
        <x:f>Z536-(R536*E536)</x:f>
        <x:v>2000</x:v>
      </x:c>
      <x:c r="AB536" s="47" t="n">
        <x:f>IFERROR(AA536/Z536,0)</x:f>
        <x:v>0.4444444444444444</x:v>
      </x:c>
      <x:c r="AC536" s="32" t="str">
        <x:f>IF(S536=0,"0%",IF(S536&lt;0.5,"1-49%",IF(S536&lt;0.8,"50-79%",IF(S536&lt;1,"80-99%","100%"))))</x:f>
        <x:v>100%</x:v>
      </x:c>
      <x:c r="AD536" s="33" t="str">
        <x:f>IF(G536&lt;0,"Stock negativo",IF(G536&lt;=0,"Sin stock actual",IF(I536&lt;=0,"Sin ventas desde compra",IF(Q536&lt;=0,"Con stock, sin ventas 365d",IF(S536&lt;0.5,"Rotación baja",IF(S536&lt;1,"Rotación media","Compra absorbida; stock repuesto"))))))</x:f>
        <x:v>Sin stock actual</x:v>
      </x:c>
    </x:row>
    <x:row r="537">
      <x:c r="A537" s="31" t="str">
        <x:v>EMP - 01P192</x:v>
      </x:c>
      <x:c r="B537" s="53" t="str">
        <x:v>EMPAQUE TAPA CLUCTH PULSAR 200 NS  AS200 DARROW</x:v>
      </x:c>
      <x:c r="C537" s="32" t="n">
        <x:v>1</x:v>
      </x:c>
      <x:c r="D537" s="38" t="n">
        <x:v>1</x:v>
      </x:c>
      <x:c r="E537" s="44" t="n">
        <x:v>2500</x:v>
      </x:c>
      <x:c r="F537" s="44" t="n">
        <x:v>2500</x:v>
      </x:c>
      <x:c r="G537" s="41" t="n">
        <x:v>0</x:v>
      </x:c>
      <x:c r="H537" s="44" t="n">
        <x:f>MAX(G537,0)*E537</x:f>
        <x:v>0</x:v>
      </x:c>
      <x:c r="I537" s="38" t="n">
        <x:v>1</x:v>
      </x:c>
      <x:c r="J537" s="44" t="n">
        <x:v>4500</x:v>
      </x:c>
      <x:c r="K537" s="32" t="n">
        <x:v>1</x:v>
      </x:c>
      <x:c r="L537" s="50" t="n">
        <x:v>45518.56767361111</x:v>
      </x:c>
      <x:c r="M537" s="50" t="n">
        <x:v>45518.56767361111</x:v>
      </x:c>
      <x:c r="N537" s="32" t="n">
        <x:f>IF(M537="","",MAX(0,'Resumen'!$B$3-M537))</x:f>
        <x:v>748.4323263888873</x:v>
      </x:c>
      <x:c r="O537" s="38" t="n">
        <x:v>0</x:v>
      </x:c>
      <x:c r="P537" s="38" t="n">
        <x:v>0</x:v>
      </x:c>
      <x:c r="Q537" s="38" t="n">
        <x:v>0</x:v>
      </x:c>
      <x:c r="R537" s="38" t="n">
        <x:f>MIN(D537,I537)</x:f>
        <x:v>1</x:v>
      </x:c>
      <x:c r="S537" s="47" t="n">
        <x:f>IFERROR(R537/D537,0)</x:f>
        <x:v>1</x:v>
      </x:c>
      <x:c r="T537" s="38" t="n">
        <x:f>MIN(MAX(G537,0),MAX(D537-I537,0))</x:f>
        <x:v>0</x:v>
      </x:c>
      <x:c r="U537" s="44" t="n">
        <x:f>T537*E537</x:f>
        <x:v>0</x:v>
      </x:c>
      <x:c r="V537" s="38" t="n">
        <x:v>0</x:v>
      </x:c>
      <x:c r="W537" s="32" t="n">
        <x:v>0</x:v>
      </x:c>
      <x:c r="X537" s="50"/>
      <x:c r="Y537" s="44" t="n">
        <x:v>4500</x:v>
      </x:c>
      <x:c r="Z537" s="44" t="n">
        <x:f>IF(I537&gt;0,R537*(J537/I537),0)</x:f>
        <x:v>4500</x:v>
      </x:c>
      <x:c r="AA537" s="44" t="n">
        <x:f>Z537-(R537*E537)</x:f>
        <x:v>2000</x:v>
      </x:c>
      <x:c r="AB537" s="47" t="n">
        <x:f>IFERROR(AA537/Z537,0)</x:f>
        <x:v>0.4444444444444444</x:v>
      </x:c>
      <x:c r="AC537" s="32" t="str">
        <x:f>IF(S537=0,"0%",IF(S537&lt;0.5,"1-49%",IF(S537&lt;0.8,"50-79%",IF(S537&lt;1,"80-99%","100%"))))</x:f>
        <x:v>100%</x:v>
      </x:c>
      <x:c r="AD537" s="33" t="str">
        <x:f>IF(G537&lt;0,"Stock negativo",IF(G537&lt;=0,"Sin stock actual",IF(I537&lt;=0,"Sin ventas desde compra",IF(Q537&lt;=0,"Con stock, sin ventas 365d",IF(S537&lt;0.5,"Rotación baja",IF(S537&lt;1,"Rotación media","Compra absorbida; stock repuesto"))))))</x:f>
        <x:v>Sin stock actual</x:v>
      </x:c>
    </x:row>
    <x:row r="538">
      <x:c r="A538" s="31" t="str">
        <x:v>EMP - 05X060</x:v>
      </x:c>
      <x:c r="B538" s="53" t="str">
        <x:v>EMP TAPA VOLANTE AKT 110/ ATK 125 FLEX/BIZ WAVE/ ECO DARROW</x:v>
      </x:c>
      <x:c r="C538" s="32" t="n">
        <x:v>1</x:v>
      </x:c>
      <x:c r="D538" s="38" t="n">
        <x:v>2</x:v>
      </x:c>
      <x:c r="E538" s="44" t="n">
        <x:v>1250</x:v>
      </x:c>
      <x:c r="F538" s="44" t="n">
        <x:v>2500</x:v>
      </x:c>
      <x:c r="G538" s="41" t="n">
        <x:v>1</x:v>
      </x:c>
      <x:c r="H538" s="44" t="n">
        <x:f>MAX(G538,0)*E538</x:f>
        <x:v>1250</x:v>
      </x:c>
      <x:c r="I538" s="38" t="n">
        <x:v>2</x:v>
      </x:c>
      <x:c r="J538" s="44" t="n">
        <x:v>5000</x:v>
      </x:c>
      <x:c r="K538" s="32" t="n">
        <x:v>2</x:v>
      </x:c>
      <x:c r="L538" s="50" t="n">
        <x:v>45635.674166666664</x:v>
      </x:c>
      <x:c r="M538" s="50" t="n">
        <x:v>45756.857511574075</x:v>
      </x:c>
      <x:c r="N538" s="32" t="n">
        <x:f>IF(M538="","",MAX(0,'Resumen'!$B$3-M538))</x:f>
        <x:v>510.14248842592497</x:v>
      </x:c>
      <x:c r="O538" s="38" t="n">
        <x:v>0</x:v>
      </x:c>
      <x:c r="P538" s="38" t="n">
        <x:v>0</x:v>
      </x:c>
      <x:c r="Q538" s="38" t="n">
        <x:v>0</x:v>
      </x:c>
      <x:c r="R538" s="38" t="n">
        <x:f>MIN(D538,I538)</x:f>
        <x:v>2</x:v>
      </x:c>
      <x:c r="S538" s="47" t="n">
        <x:f>IFERROR(R538/D538,0)</x:f>
        <x:v>1</x:v>
      </x:c>
      <x:c r="T538" s="38" t="n">
        <x:f>MIN(MAX(G538,0),MAX(D538-I538,0))</x:f>
        <x:v>0</x:v>
      </x:c>
      <x:c r="U538" s="44" t="n">
        <x:f>T538*E538</x:f>
        <x:v>0</x:v>
      </x:c>
      <x:c r="V538" s="38" t="n">
        <x:v>1</x:v>
      </x:c>
      <x:c r="W538" s="32" t="n">
        <x:v>1</x:v>
      </x:c>
      <x:c r="X538" s="50" t="n">
        <x:v>45715</x:v>
      </x:c>
      <x:c r="Y538" s="44" t="n">
        <x:v>2500</x:v>
      </x:c>
      <x:c r="Z538" s="44" t="n">
        <x:f>IF(I538&gt;0,R538*(J538/I538),0)</x:f>
        <x:v>5000</x:v>
      </x:c>
      <x:c r="AA538" s="44" t="n">
        <x:f>Z538-(R538*E538)</x:f>
        <x:v>2500</x:v>
      </x:c>
      <x:c r="AB538" s="47" t="n">
        <x:f>IFERROR(AA538/Z538,0)</x:f>
        <x:v>0.5</x:v>
      </x:c>
      <x:c r="AC538" s="32" t="str">
        <x:f>IF(S538=0,"0%",IF(S538&lt;0.5,"1-49%",IF(S538&lt;0.8,"50-79%",IF(S538&lt;1,"80-99%","100%"))))</x:f>
        <x:v>100%</x:v>
      </x:c>
      <x:c r="AD538" s="33" t="str">
        <x:f>IF(G538&lt;0,"Stock negativo",IF(G538&lt;=0,"Sin stock actual",IF(I538&lt;=0,"Sin ventas desde compra",IF(Q538&lt;=0,"Con stock, sin ventas 365d",IF(S538&lt;0.5,"Rotación baja",IF(S538&lt;1,"Rotación media","Compra absorbida; stock repuesto"))))))</x:f>
        <x:v>Con stock, sin ventas 365d</x:v>
      </x:c>
    </x:row>
    <x:row r="539">
      <x:c r="A539" s="31" t="str">
        <x:v>MOTS1069</x:v>
      </x:c>
      <x:c r="B539" s="53" t="str">
        <x:v>RETEN 30-42-10-5</x:v>
      </x:c>
      <x:c r="C539" s="32" t="n">
        <x:v>1</x:v>
      </x:c>
      <x:c r="D539" s="38" t="n">
        <x:v>1</x:v>
      </x:c>
      <x:c r="E539" s="44" t="n">
        <x:v>2500</x:v>
      </x:c>
      <x:c r="F539" s="44" t="n">
        <x:v>2500</x:v>
      </x:c>
      <x:c r="G539" s="41" t="n">
        <x:v>2</x:v>
      </x:c>
      <x:c r="H539" s="44" t="n">
        <x:f>MAX(G539,0)*E539</x:f>
        <x:v>5000</x:v>
      </x:c>
      <x:c r="I539" s="38" t="n">
        <x:v>1</x:v>
      </x:c>
      <x:c r="J539" s="44" t="n">
        <x:v>4500</x:v>
      </x:c>
      <x:c r="K539" s="32" t="n">
        <x:v>1</x:v>
      </x:c>
      <x:c r="L539" s="50" t="n">
        <x:v>45573.745416666665</x:v>
      </x:c>
      <x:c r="M539" s="50" t="n">
        <x:v>45573.745416666665</x:v>
      </x:c>
      <x:c r="N539" s="32" t="n">
        <x:f>IF(M539="","",MAX(0,'Resumen'!$B$3-M539))</x:f>
        <x:v>693.2545833333352</x:v>
      </x:c>
      <x:c r="O539" s="38" t="n">
        <x:v>0</x:v>
      </x:c>
      <x:c r="P539" s="38" t="n">
        <x:v>0</x:v>
      </x:c>
      <x:c r="Q539" s="38" t="n">
        <x:v>0</x:v>
      </x:c>
      <x:c r="R539" s="38" t="n">
        <x:f>MIN(D539,I539)</x:f>
        <x:v>1</x:v>
      </x:c>
      <x:c r="S539" s="47" t="n">
        <x:f>IFERROR(R539/D539,0)</x:f>
        <x:v>1</x:v>
      </x:c>
      <x:c r="T539" s="38" t="n">
        <x:f>MIN(MAX(G539,0),MAX(D539-I539,0))</x:f>
        <x:v>0</x:v>
      </x:c>
      <x:c r="U539" s="44" t="n">
        <x:f>T539*E539</x:f>
        <x:v>0</x:v>
      </x:c>
      <x:c r="V539" s="38" t="n">
        <x:v>2</x:v>
      </x:c>
      <x:c r="W539" s="32" t="n">
        <x:v>1</x:v>
      </x:c>
      <x:c r="X539" s="50" t="n">
        <x:v>45617</x:v>
      </x:c>
      <x:c r="Y539" s="44" t="n">
        <x:v>4500</x:v>
      </x:c>
      <x:c r="Z539" s="44" t="n">
        <x:f>IF(I539&gt;0,R539*(J539/I539),0)</x:f>
        <x:v>4500</x:v>
      </x:c>
      <x:c r="AA539" s="44" t="n">
        <x:f>Z539-(R539*E539)</x:f>
        <x:v>2000</x:v>
      </x:c>
      <x:c r="AB539" s="47" t="n">
        <x:f>IFERROR(AA539/Z539,0)</x:f>
        <x:v>0.4444444444444444</x:v>
      </x:c>
      <x:c r="AC539" s="32" t="str">
        <x:f>IF(S539=0,"0%",IF(S539&lt;0.5,"1-49%",IF(S539&lt;0.8,"50-79%",IF(S539&lt;1,"80-99%","100%"))))</x:f>
        <x:v>100%</x:v>
      </x:c>
      <x:c r="AD539" s="33" t="str">
        <x:f>IF(G539&lt;0,"Stock negativo",IF(G539&lt;=0,"Sin stock actual",IF(I539&lt;=0,"Sin ventas desde compra",IF(Q539&lt;=0,"Con stock, sin ventas 365d",IF(S539&lt;0.5,"Rotación baja",IF(S539&lt;1,"Rotación media","Compra absorbida; stock repuesto"))))))</x:f>
        <x:v>Con stock, sin ventas 365d</x:v>
      </x:c>
    </x:row>
    <x:row r="540">
      <x:c r="A540" s="31" t="str">
        <x:v>MOTS1271</x:v>
      </x:c>
      <x:c r="B540" s="53" t="str">
        <x:v>GUAYA ACELERADOR BEST 125 REINF</x:v>
      </x:c>
      <x:c r="C540" s="32" t="n">
        <x:v>1</x:v>
      </x:c>
      <x:c r="D540" s="38" t="n">
        <x:v>1</x:v>
      </x:c>
      <x:c r="E540" s="44" t="n">
        <x:v>2500</x:v>
      </x:c>
      <x:c r="F540" s="44" t="n">
        <x:v>2500</x:v>
      </x:c>
      <x:c r="G540" s="41" t="n">
        <x:v>0</x:v>
      </x:c>
      <x:c r="H540" s="44" t="n">
        <x:f>MAX(G540,0)*E540</x:f>
        <x:v>0</x:v>
      </x:c>
      <x:c r="I540" s="38" t="n">
        <x:v>1</x:v>
      </x:c>
      <x:c r="J540" s="44" t="n">
        <x:v>5000</x:v>
      </x:c>
      <x:c r="K540" s="32" t="n">
        <x:v>1</x:v>
      </x:c>
      <x:c r="L540" s="50" t="n">
        <x:v>45771.91237268518</x:v>
      </x:c>
      <x:c r="M540" s="50" t="n">
        <x:v>45771.91237268518</x:v>
      </x:c>
      <x:c r="N540" s="32" t="n">
        <x:f>IF(M540="","",MAX(0,'Resumen'!$B$3-M540))</x:f>
        <x:v>495.0876273148169</x:v>
      </x:c>
      <x:c r="O540" s="38" t="n">
        <x:v>0</x:v>
      </x:c>
      <x:c r="P540" s="38" t="n">
        <x:v>0</x:v>
      </x:c>
      <x:c r="Q540" s="38" t="n">
        <x:v>0</x:v>
      </x:c>
      <x:c r="R540" s="38" t="n">
        <x:f>MIN(D540,I540)</x:f>
        <x:v>1</x:v>
      </x:c>
      <x:c r="S540" s="47" t="n">
        <x:f>IFERROR(R540/D540,0)</x:f>
        <x:v>1</x:v>
      </x:c>
      <x:c r="T540" s="38" t="n">
        <x:f>MIN(MAX(G540,0),MAX(D540-I540,0))</x:f>
        <x:v>0</x:v>
      </x:c>
      <x:c r="U540" s="44" t="n">
        <x:f>T540*E540</x:f>
        <x:v>0</x:v>
      </x:c>
      <x:c r="V540" s="38" t="n">
        <x:v>0</x:v>
      </x:c>
      <x:c r="W540" s="32" t="n">
        <x:v>0</x:v>
      </x:c>
      <x:c r="X540" s="50"/>
      <x:c r="Y540" s="44" t="n">
        <x:v>4500</x:v>
      </x:c>
      <x:c r="Z540" s="44" t="n">
        <x:f>IF(I540&gt;0,R540*(J540/I540),0)</x:f>
        <x:v>5000</x:v>
      </x:c>
      <x:c r="AA540" s="44" t="n">
        <x:f>Z540-(R540*E540)</x:f>
        <x:v>2500</x:v>
      </x:c>
      <x:c r="AB540" s="47" t="n">
        <x:f>IFERROR(AA540/Z540,0)</x:f>
        <x:v>0.5</x:v>
      </x:c>
      <x:c r="AC540" s="32" t="str">
        <x:f>IF(S540=0,"0%",IF(S540&lt;0.5,"1-49%",IF(S540&lt;0.8,"50-79%",IF(S540&lt;1,"80-99%","100%"))))</x:f>
        <x:v>100%</x:v>
      </x:c>
      <x:c r="AD540" s="33" t="str">
        <x:f>IF(G540&lt;0,"Stock negativo",IF(G540&lt;=0,"Sin stock actual",IF(I540&lt;=0,"Sin ventas desde compra",IF(Q540&lt;=0,"Con stock, sin ventas 365d",IF(S540&lt;0.5,"Rotación baja",IF(S540&lt;1,"Rotación media","Compra absorbida; stock repuesto"))))))</x:f>
        <x:v>Sin stock actual</x:v>
      </x:c>
    </x:row>
    <x:row r="541">
      <x:c r="A541" s="31" t="str">
        <x:v>MOTS1314</x:v>
      </x:c>
      <x:c r="B541" s="53" t="str">
        <x:v>RESORTE VARILLA FRENO UNIVERSAL</x:v>
      </x:c>
      <x:c r="C541" s="32" t="n">
        <x:v>1</x:v>
      </x:c>
      <x:c r="D541" s="38" t="n">
        <x:v>5</x:v>
      </x:c>
      <x:c r="E541" s="44" t="n">
        <x:v>500</x:v>
      </x:c>
      <x:c r="F541" s="44" t="n">
        <x:v>2500</x:v>
      </x:c>
      <x:c r="G541" s="41" t="n">
        <x:v>0</x:v>
      </x:c>
      <x:c r="H541" s="44" t="n">
        <x:f>MAX(G541,0)*E541</x:f>
        <x:v>0</x:v>
      </x:c>
      <x:c r="I541" s="38" t="n">
        <x:v>5</x:v>
      </x:c>
      <x:c r="J541" s="44" t="n">
        <x:v>12500</x:v>
      </x:c>
      <x:c r="K541" s="32" t="n">
        <x:v>5</x:v>
      </x:c>
      <x:c r="L541" s="50" t="n">
        <x:v>45508.780543981484</x:v>
      </x:c>
      <x:c r="M541" s="50" t="n">
        <x:v>45550.60165509259</x:v>
      </x:c>
      <x:c r="N541" s="32" t="n">
        <x:f>IF(M541="","",MAX(0,'Resumen'!$B$3-M541))</x:f>
        <x:v>716.3983449074076</x:v>
      </x:c>
      <x:c r="O541" s="38" t="n">
        <x:v>0</x:v>
      </x:c>
      <x:c r="P541" s="38" t="n">
        <x:v>0</x:v>
      </x:c>
      <x:c r="Q541" s="38" t="n">
        <x:v>0</x:v>
      </x:c>
      <x:c r="R541" s="38" t="n">
        <x:f>MIN(D541,I541)</x:f>
        <x:v>5</x:v>
      </x:c>
      <x:c r="S541" s="47" t="n">
        <x:f>IFERROR(R541/D541,0)</x:f>
        <x:v>1</x:v>
      </x:c>
      <x:c r="T541" s="38" t="n">
        <x:f>MIN(MAX(G541,0),MAX(D541-I541,0))</x:f>
        <x:v>0</x:v>
      </x:c>
      <x:c r="U541" s="44" t="n">
        <x:f>T541*E541</x:f>
        <x:v>0</x:v>
      </x:c>
      <x:c r="V541" s="38" t="n">
        <x:v>0</x:v>
      </x:c>
      <x:c r="W541" s="32" t="n">
        <x:v>0</x:v>
      </x:c>
      <x:c r="X541" s="50"/>
      <x:c r="Y541" s="44" t="n">
        <x:v>2000</x:v>
      </x:c>
      <x:c r="Z541" s="44" t="n">
        <x:f>IF(I541&gt;0,R541*(J541/I541),0)</x:f>
        <x:v>12500</x:v>
      </x:c>
      <x:c r="AA541" s="44" t="n">
        <x:f>Z541-(R541*E541)</x:f>
        <x:v>10000</x:v>
      </x:c>
      <x:c r="AB541" s="47" t="n">
        <x:f>IFERROR(AA541/Z541,0)</x:f>
        <x:v>0.8</x:v>
      </x:c>
      <x:c r="AC541" s="32" t="str">
        <x:f>IF(S541=0,"0%",IF(S541&lt;0.5,"1-49%",IF(S541&lt;0.8,"50-79%",IF(S541&lt;1,"80-99%","100%"))))</x:f>
        <x:v>100%</x:v>
      </x:c>
      <x:c r="AD541" s="33" t="str">
        <x:f>IF(G541&lt;0,"Stock negativo",IF(G541&lt;=0,"Sin stock actual",IF(I541&lt;=0,"Sin ventas desde compra",IF(Q541&lt;=0,"Con stock, sin ventas 365d",IF(S541&lt;0.5,"Rotación baja",IF(S541&lt;1,"Rotación media","Compra absorbida; stock repuesto"))))))</x:f>
        <x:v>Sin stock actual</x:v>
      </x:c>
    </x:row>
    <x:row r="542">
      <x:c r="A542" s="31" t="str">
        <x:v>OR-212</x:v>
      </x:c>
      <x:c r="B542" s="53" t="str">
        <x:v>ORING 16/16</x:v>
      </x:c>
      <x:c r="C542" s="32" t="n">
        <x:v>1</x:v>
      </x:c>
      <x:c r="D542" s="38" t="n">
        <x:v>7</x:v>
      </x:c>
      <x:c r="E542" s="44" t="n">
        <x:v>335</x:v>
      </x:c>
      <x:c r="F542" s="44" t="n">
        <x:v>2345</x:v>
      </x:c>
      <x:c r="G542" s="41" t="n">
        <x:v>4</x:v>
      </x:c>
      <x:c r="H542" s="44" t="n">
        <x:f>MAX(G542,0)*E542</x:f>
        <x:v>1340</x:v>
      </x:c>
      <x:c r="I542" s="38" t="n">
        <x:v>4</x:v>
      </x:c>
      <x:c r="J542" s="44" t="n">
        <x:v>2400</x:v>
      </x:c>
      <x:c r="K542" s="32" t="n">
        <x:v>4</x:v>
      </x:c>
      <x:c r="L542" s="50" t="n">
        <x:v>45594.81116898148</x:v>
      </x:c>
      <x:c r="M542" s="50" t="n">
        <x:v>45919.75232638889</x:v>
      </x:c>
      <x:c r="N542" s="32" t="n">
        <x:f>IF(M542="","",MAX(0,'Resumen'!$B$3-M542))</x:f>
        <x:v>347.247673611113</x:v>
      </x:c>
      <x:c r="O542" s="38" t="n">
        <x:v>0</x:v>
      </x:c>
      <x:c r="P542" s="38" t="n">
        <x:v>0</x:v>
      </x:c>
      <x:c r="Q542" s="38" t="n">
        <x:v>1</x:v>
      </x:c>
      <x:c r="R542" s="38" t="n">
        <x:f>MIN(D542,I542)</x:f>
        <x:v>4</x:v>
      </x:c>
      <x:c r="S542" s="47" t="n">
        <x:f>IFERROR(R542/D542,0)</x:f>
        <x:v>0.5714285714285714</x:v>
      </x:c>
      <x:c r="T542" s="38" t="n">
        <x:f>MIN(MAX(G542,0),MAX(D542-I542,0))</x:f>
        <x:v>3</x:v>
      </x:c>
      <x:c r="U542" s="44" t="n">
        <x:f>T542*E542</x:f>
        <x:v>1005</x:v>
      </x:c>
      <x:c r="V542" s="38" t="n">
        <x:v>1</x:v>
      </x:c>
      <x:c r="W542" s="32" t="n">
        <x:v>1</x:v>
      </x:c>
      <x:c r="X542" s="50" t="n">
        <x:v>45724</x:v>
      </x:c>
      <x:c r="Y542" s="44" t="n">
        <x:v>600</x:v>
      </x:c>
      <x:c r="Z542" s="44" t="n">
        <x:f>IF(I542&gt;0,R542*(J542/I542),0)</x:f>
        <x:v>2400</x:v>
      </x:c>
      <x:c r="AA542" s="44" t="n">
        <x:f>Z542-(R542*E542)</x:f>
        <x:v>1060</x:v>
      </x:c>
      <x:c r="AB542" s="47" t="n">
        <x:f>IFERROR(AA542/Z542,0)</x:f>
        <x:v>0.44166666666666665</x:v>
      </x:c>
      <x:c r="AC542" s="32" t="str">
        <x:f>IF(S542=0,"0%",IF(S542&lt;0.5,"1-49%",IF(S542&lt;0.8,"50-79%",IF(S542&lt;1,"80-99%","100%"))))</x:f>
        <x:v>50-79%</x:v>
      </x:c>
      <x:c r="AD542" s="33" t="str">
        <x:f>IF(G542&lt;0,"Stock negativo",IF(G542&lt;=0,"Sin stock actual",IF(I542&lt;=0,"Sin ventas desde compra",IF(Q542&lt;=0,"Con stock, sin ventas 365d",IF(S542&lt;0.5,"Rotación baja",IF(S542&lt;1,"Rotación media","Compra absorbida; stock repuesto"))))))</x:f>
        <x:v>Rotación media</x:v>
      </x:c>
    </x:row>
    <x:row r="543">
      <x:c r="A543" s="31" t="str">
        <x:v>OR-222</x:v>
      </x:c>
      <x:c r="B543" s="53" t="str">
        <x:v>ORING 1.1/2</x:v>
      </x:c>
      <x:c r="C543" s="32" t="n">
        <x:v>1</x:v>
      </x:c>
      <x:c r="D543" s="38" t="n">
        <x:v>7</x:v>
      </x:c>
      <x:c r="E543" s="44" t="n">
        <x:v>335</x:v>
      </x:c>
      <x:c r="F543" s="44" t="n">
        <x:v>2345</x:v>
      </x:c>
      <x:c r="G543" s="41" t="n">
        <x:v>6</x:v>
      </x:c>
      <x:c r="H543" s="44" t="n">
        <x:f>MAX(G543,0)*E543</x:f>
        <x:v>2010</x:v>
      </x:c>
      <x:c r="I543" s="38" t="n">
        <x:v>1</x:v>
      </x:c>
      <x:c r="J543" s="44" t="n">
        <x:v>600</x:v>
      </x:c>
      <x:c r="K543" s="32" t="n">
        <x:v>1</x:v>
      </x:c>
      <x:c r="L543" s="50" t="n">
        <x:v>45689.55519675926</x:v>
      </x:c>
      <x:c r="M543" s="50" t="n">
        <x:v>45689.55519675926</x:v>
      </x:c>
      <x:c r="N543" s="32" t="n">
        <x:f>IF(M543="","",MAX(0,'Resumen'!$B$3-M543))</x:f>
        <x:v>577.4448032407381</x:v>
      </x:c>
      <x:c r="O543" s="38" t="n">
        <x:v>0</x:v>
      </x:c>
      <x:c r="P543" s="38" t="n">
        <x:v>0</x:v>
      </x:c>
      <x:c r="Q543" s="38" t="n">
        <x:v>0</x:v>
      </x:c>
      <x:c r="R543" s="38" t="n">
        <x:f>MIN(D543,I543)</x:f>
        <x:v>1</x:v>
      </x:c>
      <x:c r="S543" s="47" t="n">
        <x:f>IFERROR(R543/D543,0)</x:f>
        <x:v>0.14285714285714285</x:v>
      </x:c>
      <x:c r="T543" s="38" t="n">
        <x:f>MIN(MAX(G543,0),MAX(D543-I543,0))</x:f>
        <x:v>6</x:v>
      </x:c>
      <x:c r="U543" s="44" t="n">
        <x:f>T543*E543</x:f>
        <x:v>2010</x:v>
      </x:c>
      <x:c r="V543" s="38" t="n">
        <x:v>0</x:v>
      </x:c>
      <x:c r="W543" s="32" t="n">
        <x:v>0</x:v>
      </x:c>
      <x:c r="X543" s="50"/>
      <x:c r="Y543" s="44" t="n">
        <x:v>600</x:v>
      </x:c>
      <x:c r="Z543" s="44" t="n">
        <x:f>IF(I543&gt;0,R543*(J543/I543),0)</x:f>
        <x:v>600</x:v>
      </x:c>
      <x:c r="AA543" s="44" t="n">
        <x:f>Z543-(R543*E543)</x:f>
        <x:v>265</x:v>
      </x:c>
      <x:c r="AB543" s="47" t="n">
        <x:f>IFERROR(AA543/Z543,0)</x:f>
        <x:v>0.44166666666666665</x:v>
      </x:c>
      <x:c r="AC543" s="32" t="str">
        <x:f>IF(S543=0,"0%",IF(S543&lt;0.5,"1-49%",IF(S543&lt;0.8,"50-79%",IF(S543&lt;1,"80-99%","100%"))))</x:f>
        <x:v>1-49%</x:v>
      </x:c>
      <x:c r="AD543" s="33" t="str">
        <x:f>IF(G543&lt;0,"Stock negativo",IF(G543&lt;=0,"Sin stock actual",IF(I543&lt;=0,"Sin ventas desde compra",IF(Q543&lt;=0,"Con stock, sin ventas 365d",IF(S543&lt;0.5,"Rotación baja",IF(S543&lt;1,"Rotación media","Compra absorbida; stock repuesto"))))))</x:f>
        <x:v>Con stock, sin ventas 365d</x:v>
      </x:c>
    </x:row>
    <x:row r="544">
      <x:c r="A544" s="31" t="str">
        <x:v>OR-327</x:v>
      </x:c>
      <x:c r="B544" s="53" t="str">
        <x:v>ORING 1.3/4</x:v>
      </x:c>
      <x:c r="C544" s="32" t="n">
        <x:v>1</x:v>
      </x:c>
      <x:c r="D544" s="38" t="n">
        <x:v>7</x:v>
      </x:c>
      <x:c r="E544" s="44" t="n">
        <x:v>335</x:v>
      </x:c>
      <x:c r="F544" s="44" t="n">
        <x:v>2345</x:v>
      </x:c>
      <x:c r="G544" s="41" t="n">
        <x:v>7</x:v>
      </x:c>
      <x:c r="H544" s="44" t="n">
        <x:f>MAX(G544,0)*E544</x:f>
        <x:v>2345</x:v>
      </x:c>
      <x:c r="I544" s="38" t="n">
        <x:v>0</x:v>
      </x:c>
      <x:c r="J544" s="44" t="n">
        <x:v>0</x:v>
      </x:c>
      <x:c r="K544" s="32" t="n">
        <x:v>0</x:v>
      </x:c>
      <x:c r="L544" s="50"/>
      <x:c r="M544" s="50"/>
      <x:c r="N544" s="32" t="str">
        <x:f>IF(M544="","",MAX(0,'Resumen'!$B$3-M544))</x:f>
      </x:c>
      <x:c r="O544" s="38" t="n">
        <x:v>0</x:v>
      </x:c>
      <x:c r="P544" s="38" t="n">
        <x:v>0</x:v>
      </x:c>
      <x:c r="Q544" s="38" t="n">
        <x:v>0</x:v>
      </x:c>
      <x:c r="R544" s="38" t="n">
        <x:f>MIN(D544,I544)</x:f>
        <x:v>0</x:v>
      </x:c>
      <x:c r="S544" s="47" t="n">
        <x:f>IFERROR(R544/D544,0)</x:f>
        <x:v>0</x:v>
      </x:c>
      <x:c r="T544" s="38" t="n">
        <x:f>MIN(MAX(G544,0),MAX(D544-I544,0))</x:f>
        <x:v>7</x:v>
      </x:c>
      <x:c r="U544" s="44" t="n">
        <x:f>T544*E544</x:f>
        <x:v>2345</x:v>
      </x:c>
      <x:c r="V544" s="38" t="n">
        <x:v>0</x:v>
      </x:c>
      <x:c r="W544" s="32" t="n">
        <x:v>0</x:v>
      </x:c>
      <x:c r="X544" s="50"/>
      <x:c r="Y544" s="44" t="n">
        <x:v>600</x:v>
      </x:c>
      <x:c r="Z544" s="44" t="n">
        <x:f>IF(I544&gt;0,R544*(J544/I544),0)</x:f>
        <x:v>0</x:v>
      </x:c>
      <x:c r="AA544" s="44" t="n">
        <x:f>Z544-(R544*E544)</x:f>
        <x:v>0</x:v>
      </x:c>
      <x:c r="AB544" s="47" t="n">
        <x:f>IFERROR(AA544/Z544,0)</x:f>
        <x:v>0</x:v>
      </x:c>
      <x:c r="AC544" s="32" t="str">
        <x:f>IF(S544=0,"0%",IF(S544&lt;0.5,"1-49%",IF(S544&lt;0.8,"50-79%",IF(S544&lt;1,"80-99%","100%"))))</x:f>
        <x:v>0%</x:v>
      </x:c>
      <x:c r="AD544" s="33" t="str">
        <x:f>IF(G544&lt;0,"Stock negativo",IF(G544&lt;=0,"Sin stock actual",IF(I544&lt;=0,"Sin ventas desde compra",IF(Q544&lt;=0,"Con stock, sin ventas 365d",IF(S544&lt;0.5,"Rotación baja",IF(S544&lt;1,"Rotación media","Compra absorbida; stock repuesto"))))))</x:f>
        <x:v>Sin ventas desde compra</x:v>
      </x:c>
    </x:row>
    <x:row r="545">
      <x:c r="A545" s="31" t="str">
        <x:v>EMP - 026398</x:v>
      </x:c>
      <x:c r="B545" s="53" t="str">
        <x:v>EMPAQUE TAPA CLUCTH PULSAR 180 / 200 SYK</x:v>
      </x:c>
      <x:c r="C545" s="32" t="n">
        <x:v>1</x:v>
      </x:c>
      <x:c r="D545" s="38" t="n">
        <x:v>1</x:v>
      </x:c>
      <x:c r="E545" s="44" t="n">
        <x:v>2192</x:v>
      </x:c>
      <x:c r="F545" s="44" t="n">
        <x:v>2192</x:v>
      </x:c>
      <x:c r="G545" s="41" t="n">
        <x:v>1</x:v>
      </x:c>
      <x:c r="H545" s="44" t="n">
        <x:f>MAX(G545,0)*E545</x:f>
        <x:v>2192</x:v>
      </x:c>
      <x:c r="I545" s="38" t="n">
        <x:v>1</x:v>
      </x:c>
      <x:c r="J545" s="44" t="n">
        <x:v>4000</x:v>
      </x:c>
      <x:c r="K545" s="32" t="n">
        <x:v>1</x:v>
      </x:c>
      <x:c r="L545" s="50" t="n">
        <x:v>45788.030381944445</x:v>
      </x:c>
      <x:c r="M545" s="50" t="n">
        <x:v>45788.030381944445</x:v>
      </x:c>
      <x:c r="N545" s="32" t="n">
        <x:f>IF(M545="","",MAX(0,'Resumen'!$B$3-M545))</x:f>
        <x:v>478.96961805555475</x:v>
      </x:c>
      <x:c r="O545" s="38" t="n">
        <x:v>0</x:v>
      </x:c>
      <x:c r="P545" s="38" t="n">
        <x:v>0</x:v>
      </x:c>
      <x:c r="Q545" s="38" t="n">
        <x:v>0</x:v>
      </x:c>
      <x:c r="R545" s="38" t="n">
        <x:f>MIN(D545,I545)</x:f>
        <x:v>1</x:v>
      </x:c>
      <x:c r="S545" s="47" t="n">
        <x:f>IFERROR(R545/D545,0)</x:f>
        <x:v>1</x:v>
      </x:c>
      <x:c r="T545" s="38" t="n">
        <x:f>MIN(MAX(G545,0),MAX(D545-I545,0))</x:f>
        <x:v>0</x:v>
      </x:c>
      <x:c r="U545" s="44" t="n">
        <x:f>T545*E545</x:f>
        <x:v>0</x:v>
      </x:c>
      <x:c r="V545" s="38" t="n">
        <x:v>1</x:v>
      </x:c>
      <x:c r="W545" s="32" t="n">
        <x:v>1</x:v>
      </x:c>
      <x:c r="X545" s="50" t="n">
        <x:v>45787</x:v>
      </x:c>
      <x:c r="Y545" s="44" t="n">
        <x:v>4000</x:v>
      </x:c>
      <x:c r="Z545" s="44" t="n">
        <x:f>IF(I545&gt;0,R545*(J545/I545),0)</x:f>
        <x:v>4000</x:v>
      </x:c>
      <x:c r="AA545" s="44" t="n">
        <x:f>Z545-(R545*E545)</x:f>
        <x:v>1808</x:v>
      </x:c>
      <x:c r="AB545" s="47" t="n">
        <x:f>IFERROR(AA545/Z545,0)</x:f>
        <x:v>0.452</x:v>
      </x:c>
      <x:c r="AC545" s="32" t="str">
        <x:f>IF(S545=0,"0%",IF(S545&lt;0.5,"1-49%",IF(S545&lt;0.8,"50-79%",IF(S545&lt;1,"80-99%","100%"))))</x:f>
        <x:v>100%</x:v>
      </x:c>
      <x:c r="AD545" s="33" t="str">
        <x:f>IF(G545&lt;0,"Stock negativo",IF(G545&lt;=0,"Sin stock actual",IF(I545&lt;=0,"Sin ventas desde compra",IF(Q545&lt;=0,"Con stock, sin ventas 365d",IF(S545&lt;0.5,"Rotación baja",IF(S545&lt;1,"Rotación media","Compra absorbida; stock repuesto"))))))</x:f>
        <x:v>Con stock, sin ventas 365d</x:v>
      </x:c>
    </x:row>
    <x:row r="546">
      <x:c r="A546" s="31" t="str">
        <x:v>EMP - 01P174</x:v>
      </x:c>
      <x:c r="B546" s="53" t="str">
        <x:v>EMPAQUE TAPA CLUCTH XTZ 250 - YBR 250 DARROW</x:v>
      </x:c>
      <x:c r="C546" s="32" t="n">
        <x:v>1</x:v>
      </x:c>
      <x:c r="D546" s="38" t="n">
        <x:v>1</x:v>
      </x:c>
      <x:c r="E546" s="44" t="n">
        <x:v>2150</x:v>
      </x:c>
      <x:c r="F546" s="44" t="n">
        <x:v>2150</x:v>
      </x:c>
      <x:c r="G546" s="41" t="n">
        <x:v>0</x:v>
      </x:c>
      <x:c r="H546" s="44" t="n">
        <x:f>MAX(G546,0)*E546</x:f>
        <x:v>0</x:v>
      </x:c>
      <x:c r="I546" s="38" t="n">
        <x:v>1</x:v>
      </x:c>
      <x:c r="J546" s="44" t="n">
        <x:v>4000</x:v>
      </x:c>
      <x:c r="K546" s="32" t="n">
        <x:v>1</x:v>
      </x:c>
      <x:c r="L546" s="50" t="n">
        <x:v>45825.97238425926</x:v>
      </x:c>
      <x:c r="M546" s="50" t="n">
        <x:v>45825.97238425926</x:v>
      </x:c>
      <x:c r="N546" s="32" t="n">
        <x:f>IF(M546="","",MAX(0,'Resumen'!$B$3-M546))</x:f>
        <x:v>441.0276157407425</x:v>
      </x:c>
      <x:c r="O546" s="38" t="n">
        <x:v>0</x:v>
      </x:c>
      <x:c r="P546" s="38" t="n">
        <x:v>0</x:v>
      </x:c>
      <x:c r="Q546" s="38" t="n">
        <x:v>0</x:v>
      </x:c>
      <x:c r="R546" s="38" t="n">
        <x:f>MIN(D546,I546)</x:f>
        <x:v>1</x:v>
      </x:c>
      <x:c r="S546" s="47" t="n">
        <x:f>IFERROR(R546/D546,0)</x:f>
        <x:v>1</x:v>
      </x:c>
      <x:c r="T546" s="38" t="n">
        <x:f>MIN(MAX(G546,0),MAX(D546-I546,0))</x:f>
        <x:v>0</x:v>
      </x:c>
      <x:c r="U546" s="44" t="n">
        <x:f>T546*E546</x:f>
        <x:v>0</x:v>
      </x:c>
      <x:c r="V546" s="38" t="n">
        <x:v>0</x:v>
      </x:c>
      <x:c r="W546" s="32" t="n">
        <x:v>0</x:v>
      </x:c>
      <x:c r="X546" s="50"/>
      <x:c r="Y546" s="44" t="n">
        <x:v>4000</x:v>
      </x:c>
      <x:c r="Z546" s="44" t="n">
        <x:f>IF(I546&gt;0,R546*(J546/I546),0)</x:f>
        <x:v>4000</x:v>
      </x:c>
      <x:c r="AA546" s="44" t="n">
        <x:f>Z546-(R546*E546)</x:f>
        <x:v>1850</x:v>
      </x:c>
      <x:c r="AB546" s="47" t="n">
        <x:f>IFERROR(AA546/Z546,0)</x:f>
        <x:v>0.4625</x:v>
      </x:c>
      <x:c r="AC546" s="32" t="str">
        <x:f>IF(S546=0,"0%",IF(S546&lt;0.5,"1-49%",IF(S546&lt;0.8,"50-79%",IF(S546&lt;1,"80-99%","100%"))))</x:f>
        <x:v>100%</x:v>
      </x:c>
      <x:c r="AD546" s="33" t="str">
        <x:f>IF(G546&lt;0,"Stock negativo",IF(G546&lt;=0,"Sin stock actual",IF(I546&lt;=0,"Sin ventas desde compra",IF(Q546&lt;=0,"Con stock, sin ventas 365d",IF(S546&lt;0.5,"Rotación baja",IF(S546&lt;1,"Rotación media","Compra absorbida; stock repuesto"))))))</x:f>
        <x:v>Sin stock actual</x:v>
      </x:c>
    </x:row>
    <x:row r="547">
      <x:c r="A547" s="31" t="str">
        <x:v>OR-210</x:v>
      </x:c>
      <x:c r="B547" s="53" t="str">
        <x:v>ORING 13/16</x:v>
      </x:c>
      <x:c r="C547" s="32" t="n">
        <x:v>1</x:v>
      </x:c>
      <x:c r="D547" s="38" t="n">
        <x:v>6</x:v>
      </x:c>
      <x:c r="E547" s="44" t="n">
        <x:v>335</x:v>
      </x:c>
      <x:c r="F547" s="44" t="n">
        <x:v>2010</x:v>
      </x:c>
      <x:c r="G547" s="41" t="n">
        <x:v>1</x:v>
      </x:c>
      <x:c r="H547" s="44" t="n">
        <x:f>MAX(G547,0)*E547</x:f>
        <x:v>335</x:v>
      </x:c>
      <x:c r="I547" s="38" t="n">
        <x:v>5</x:v>
      </x:c>
      <x:c r="J547" s="44" t="n">
        <x:v>3000</x:v>
      </x:c>
      <x:c r="K547" s="32" t="n">
        <x:v>1</x:v>
      </x:c>
      <x:c r="L547" s="50" t="n">
        <x:v>45594.81116898148</x:v>
      </x:c>
      <x:c r="M547" s="50" t="n">
        <x:v>45594.81116898148</x:v>
      </x:c>
      <x:c r="N547" s="32" t="n">
        <x:f>IF(M547="","",MAX(0,'Resumen'!$B$3-M547))</x:f>
        <x:v>672.1888310185168</x:v>
      </x:c>
      <x:c r="O547" s="38" t="n">
        <x:v>0</x:v>
      </x:c>
      <x:c r="P547" s="38" t="n">
        <x:v>0</x:v>
      </x:c>
      <x:c r="Q547" s="38" t="n">
        <x:v>0</x:v>
      </x:c>
      <x:c r="R547" s="38" t="n">
        <x:f>MIN(D547,I547)</x:f>
        <x:v>5</x:v>
      </x:c>
      <x:c r="S547" s="47" t="n">
        <x:f>IFERROR(R547/D547,0)</x:f>
        <x:v>0.8333333333333334</x:v>
      </x:c>
      <x:c r="T547" s="38" t="n">
        <x:f>MIN(MAX(G547,0),MAX(D547-I547,0))</x:f>
        <x:v>1</x:v>
      </x:c>
      <x:c r="U547" s="44" t="n">
        <x:f>T547*E547</x:f>
        <x:v>335</x:v>
      </x:c>
      <x:c r="V547" s="38" t="n">
        <x:v>0</x:v>
      </x:c>
      <x:c r="W547" s="32" t="n">
        <x:v>0</x:v>
      </x:c>
      <x:c r="X547" s="50"/>
      <x:c r="Y547" s="44" t="n">
        <x:v>600</x:v>
      </x:c>
      <x:c r="Z547" s="44" t="n">
        <x:f>IF(I547&gt;0,R547*(J547/I547),0)</x:f>
        <x:v>3000</x:v>
      </x:c>
      <x:c r="AA547" s="44" t="n">
        <x:f>Z547-(R547*E547)</x:f>
        <x:v>1325</x:v>
      </x:c>
      <x:c r="AB547" s="47" t="n">
        <x:f>IFERROR(AA547/Z547,0)</x:f>
        <x:v>0.44166666666666665</x:v>
      </x:c>
      <x:c r="AC547" s="32" t="str">
        <x:f>IF(S547=0,"0%",IF(S547&lt;0.5,"1-49%",IF(S547&lt;0.8,"50-79%",IF(S547&lt;1,"80-99%","100%"))))</x:f>
        <x:v>80-99%</x:v>
      </x:c>
      <x:c r="AD547" s="33" t="str">
        <x:f>IF(G547&lt;0,"Stock negativo",IF(G547&lt;=0,"Sin stock actual",IF(I547&lt;=0,"Sin ventas desde compra",IF(Q547&lt;=0,"Con stock, sin ventas 365d",IF(S547&lt;0.5,"Rotación baja",IF(S547&lt;1,"Rotación media","Compra absorbida; stock repuesto"))))))</x:f>
        <x:v>Con stock, sin ventas 365d</x:v>
      </x:c>
    </x:row>
    <x:row r="548">
      <x:c r="A548" s="31" t="str">
        <x:v>OR-211</x:v>
      </x:c>
      <x:c r="B548" s="53" t="str">
        <x:v>ORING 7/8</x:v>
      </x:c>
      <x:c r="C548" s="32" t="n">
        <x:v>1</x:v>
      </x:c>
      <x:c r="D548" s="38" t="n">
        <x:v>6</x:v>
      </x:c>
      <x:c r="E548" s="44" t="n">
        <x:v>335</x:v>
      </x:c>
      <x:c r="F548" s="44" t="n">
        <x:v>2010</x:v>
      </x:c>
      <x:c r="G548" s="41" t="n">
        <x:v>4</x:v>
      </x:c>
      <x:c r="H548" s="44" t="n">
        <x:f>MAX(G548,0)*E548</x:f>
        <x:v>1340</x:v>
      </x:c>
      <x:c r="I548" s="38" t="n">
        <x:v>2</x:v>
      </x:c>
      <x:c r="J548" s="44" t="n">
        <x:v>1200</x:v>
      </x:c>
      <x:c r="K548" s="32" t="n">
        <x:v>2</x:v>
      </x:c>
      <x:c r="L548" s="50" t="n">
        <x:v>45684.89362268519</x:v>
      </x:c>
      <x:c r="M548" s="50" t="n">
        <x:v>45706.555555555555</x:v>
      </x:c>
      <x:c r="N548" s="32" t="n">
        <x:f>IF(M548="","",MAX(0,'Resumen'!$B$3-M548))</x:f>
        <x:v>560.4444444444453</x:v>
      </x:c>
      <x:c r="O548" s="38" t="n">
        <x:v>0</x:v>
      </x:c>
      <x:c r="P548" s="38" t="n">
        <x:v>0</x:v>
      </x:c>
      <x:c r="Q548" s="38" t="n">
        <x:v>0</x:v>
      </x:c>
      <x:c r="R548" s="38" t="n">
        <x:f>MIN(D548,I548)</x:f>
        <x:v>2</x:v>
      </x:c>
      <x:c r="S548" s="47" t="n">
        <x:f>IFERROR(R548/D548,0)</x:f>
        <x:v>0.3333333333333333</x:v>
      </x:c>
      <x:c r="T548" s="38" t="n">
        <x:f>MIN(MAX(G548,0),MAX(D548-I548,0))</x:f>
        <x:v>4</x:v>
      </x:c>
      <x:c r="U548" s="44" t="n">
        <x:f>T548*E548</x:f>
        <x:v>1340</x:v>
      </x:c>
      <x:c r="V548" s="38" t="n">
        <x:v>0</x:v>
      </x:c>
      <x:c r="W548" s="32" t="n">
        <x:v>0</x:v>
      </x:c>
      <x:c r="X548" s="50"/>
      <x:c r="Y548" s="44" t="n">
        <x:v>600</x:v>
      </x:c>
      <x:c r="Z548" s="44" t="n">
        <x:f>IF(I548&gt;0,R548*(J548/I548),0)</x:f>
        <x:v>1200</x:v>
      </x:c>
      <x:c r="AA548" s="44" t="n">
        <x:f>Z548-(R548*E548)</x:f>
        <x:v>530</x:v>
      </x:c>
      <x:c r="AB548" s="47" t="n">
        <x:f>IFERROR(AA548/Z548,0)</x:f>
        <x:v>0.44166666666666665</x:v>
      </x:c>
      <x:c r="AC548" s="32" t="str">
        <x:f>IF(S548=0,"0%",IF(S548&lt;0.5,"1-49%",IF(S548&lt;0.8,"50-79%",IF(S548&lt;1,"80-99%","100%"))))</x:f>
        <x:v>1-49%</x:v>
      </x:c>
      <x:c r="AD548" s="33" t="str">
        <x:f>IF(G548&lt;0,"Stock negativo",IF(G548&lt;=0,"Sin stock actual",IF(I548&lt;=0,"Sin ventas desde compra",IF(Q548&lt;=0,"Con stock, sin ventas 365d",IF(S548&lt;0.5,"Rotación baja",IF(S548&lt;1,"Rotación media","Compra absorbida; stock repuesto"))))))</x:f>
        <x:v>Con stock, sin ventas 365d</x:v>
      </x:c>
    </x:row>
    <x:row r="549">
      <x:c r="A549" s="31" t="str">
        <x:v>OR-218</x:v>
      </x:c>
      <x:c r="B549" s="53" t="str">
        <x:v>ORING 1.5/16</x:v>
      </x:c>
      <x:c r="C549" s="32" t="n">
        <x:v>1</x:v>
      </x:c>
      <x:c r="D549" s="38" t="n">
        <x:v>6</x:v>
      </x:c>
      <x:c r="E549" s="44" t="n">
        <x:v>335</x:v>
      </x:c>
      <x:c r="F549" s="44" t="n">
        <x:v>2010</x:v>
      </x:c>
      <x:c r="G549" s="41" t="n">
        <x:v>6</x:v>
      </x:c>
      <x:c r="H549" s="44" t="n">
        <x:f>MAX(G549,0)*E549</x:f>
        <x:v>2010</x:v>
      </x:c>
      <x:c r="I549" s="38" t="n">
        <x:v>0</x:v>
      </x:c>
      <x:c r="J549" s="44" t="n">
        <x:v>0</x:v>
      </x:c>
      <x:c r="K549" s="32" t="n">
        <x:v>0</x:v>
      </x:c>
      <x:c r="L549" s="50"/>
      <x:c r="M549" s="50"/>
      <x:c r="N549" s="32" t="str">
        <x:f>IF(M549="","",MAX(0,'Resumen'!$B$3-M549))</x:f>
      </x:c>
      <x:c r="O549" s="38" t="n">
        <x:v>0</x:v>
      </x:c>
      <x:c r="P549" s="38" t="n">
        <x:v>0</x:v>
      </x:c>
      <x:c r="Q549" s="38" t="n">
        <x:v>0</x:v>
      </x:c>
      <x:c r="R549" s="38" t="n">
        <x:f>MIN(D549,I549)</x:f>
        <x:v>0</x:v>
      </x:c>
      <x:c r="S549" s="47" t="n">
        <x:f>IFERROR(R549/D549,0)</x:f>
        <x:v>0</x:v>
      </x:c>
      <x:c r="T549" s="38" t="n">
        <x:f>MIN(MAX(G549,0),MAX(D549-I549,0))</x:f>
        <x:v>6</x:v>
      </x:c>
      <x:c r="U549" s="44" t="n">
        <x:f>T549*E549</x:f>
        <x:v>2010</x:v>
      </x:c>
      <x:c r="V549" s="38" t="n">
        <x:v>0</x:v>
      </x:c>
      <x:c r="W549" s="32" t="n">
        <x:v>0</x:v>
      </x:c>
      <x:c r="X549" s="50"/>
      <x:c r="Y549" s="44" t="n">
        <x:v>600</x:v>
      </x:c>
      <x:c r="Z549" s="44" t="n">
        <x:f>IF(I549&gt;0,R549*(J549/I549),0)</x:f>
        <x:v>0</x:v>
      </x:c>
      <x:c r="AA549" s="44" t="n">
        <x:f>Z549-(R549*E549)</x:f>
        <x:v>0</x:v>
      </x:c>
      <x:c r="AB549" s="47" t="n">
        <x:f>IFERROR(AA549/Z549,0)</x:f>
        <x:v>0</x:v>
      </x:c>
      <x:c r="AC549" s="32" t="str">
        <x:f>IF(S549=0,"0%",IF(S549&lt;0.5,"1-49%",IF(S549&lt;0.8,"50-79%",IF(S549&lt;1,"80-99%","100%"))))</x:f>
        <x:v>0%</x:v>
      </x:c>
      <x:c r="AD549" s="33" t="str">
        <x:f>IF(G549&lt;0,"Stock negativo",IF(G549&lt;=0,"Sin stock actual",IF(I549&lt;=0,"Sin ventas desde compra",IF(Q549&lt;=0,"Con stock, sin ventas 365d",IF(S549&lt;0.5,"Rotación baja",IF(S549&lt;1,"Rotación media","Compra absorbida; stock repuesto"))))))</x:f>
        <x:v>Sin ventas desde compra</x:v>
      </x:c>
    </x:row>
    <x:row r="550">
      <x:c r="A550" s="31" t="str">
        <x:v>OR-326</x:v>
      </x:c>
      <x:c r="B550" s="53" t="str">
        <x:v>ORING 1.5/8</x:v>
      </x:c>
      <x:c r="C550" s="32" t="n">
        <x:v>1</x:v>
      </x:c>
      <x:c r="D550" s="38" t="n">
        <x:v>6</x:v>
      </x:c>
      <x:c r="E550" s="44" t="n">
        <x:v>335</x:v>
      </x:c>
      <x:c r="F550" s="44" t="n">
        <x:v>2010</x:v>
      </x:c>
      <x:c r="G550" s="41" t="n">
        <x:v>6</x:v>
      </x:c>
      <x:c r="H550" s="44" t="n">
        <x:f>MAX(G550,0)*E550</x:f>
        <x:v>2010</x:v>
      </x:c>
      <x:c r="I550" s="38" t="n">
        <x:v>0</x:v>
      </x:c>
      <x:c r="J550" s="44" t="n">
        <x:v>0</x:v>
      </x:c>
      <x:c r="K550" s="32" t="n">
        <x:v>0</x:v>
      </x:c>
      <x:c r="L550" s="50"/>
      <x:c r="M550" s="50"/>
      <x:c r="N550" s="32" t="str">
        <x:f>IF(M550="","",MAX(0,'Resumen'!$B$3-M550))</x:f>
      </x:c>
      <x:c r="O550" s="38" t="n">
        <x:v>0</x:v>
      </x:c>
      <x:c r="P550" s="38" t="n">
        <x:v>0</x:v>
      </x:c>
      <x:c r="Q550" s="38" t="n">
        <x:v>0</x:v>
      </x:c>
      <x:c r="R550" s="38" t="n">
        <x:f>MIN(D550,I550)</x:f>
        <x:v>0</x:v>
      </x:c>
      <x:c r="S550" s="47" t="n">
        <x:f>IFERROR(R550/D550,0)</x:f>
        <x:v>0</x:v>
      </x:c>
      <x:c r="T550" s="38" t="n">
        <x:f>MIN(MAX(G550,0),MAX(D550-I550,0))</x:f>
        <x:v>6</x:v>
      </x:c>
      <x:c r="U550" s="44" t="n">
        <x:f>T550*E550</x:f>
        <x:v>2010</x:v>
      </x:c>
      <x:c r="V550" s="38" t="n">
        <x:v>0</x:v>
      </x:c>
      <x:c r="W550" s="32" t="n">
        <x:v>0</x:v>
      </x:c>
      <x:c r="X550" s="50"/>
      <x:c r="Y550" s="44" t="n">
        <x:v>600</x:v>
      </x:c>
      <x:c r="Z550" s="44" t="n">
        <x:f>IF(I550&gt;0,R550*(J550/I550),0)</x:f>
        <x:v>0</x:v>
      </x:c>
      <x:c r="AA550" s="44" t="n">
        <x:f>Z550-(R550*E550)</x:f>
        <x:v>0</x:v>
      </x:c>
      <x:c r="AB550" s="47" t="n">
        <x:f>IFERROR(AA550/Z550,0)</x:f>
        <x:v>0</x:v>
      </x:c>
      <x:c r="AC550" s="32" t="str">
        <x:f>IF(S550=0,"0%",IF(S550&lt;0.5,"1-49%",IF(S550&lt;0.8,"50-79%",IF(S550&lt;1,"80-99%","100%"))))</x:f>
        <x:v>0%</x:v>
      </x:c>
      <x:c r="AD550" s="33" t="str">
        <x:f>IF(G550&lt;0,"Stock negativo",IF(G550&lt;=0,"Sin stock actual",IF(I550&lt;=0,"Sin ventas desde compra",IF(Q550&lt;=0,"Con stock, sin ventas 365d",IF(S550&lt;0.5,"Rotación baja",IF(S550&lt;1,"Rotación media","Compra absorbida; stock repuesto"))))))</x:f>
        <x:v>Sin ventas desde compra</x:v>
      </x:c>
    </x:row>
    <x:row r="551">
      <x:c r="A551" s="31" t="str">
        <x:v>CAB - 036462</x:v>
      </x:c>
      <x:c r="B551" s="53" t="str">
        <x:v>CABLE SEGURO SILLIN B12 GUAYAS Y PARTES</x:v>
      </x:c>
      <x:c r="C551" s="32" t="n">
        <x:v>1</x:v>
      </x:c>
      <x:c r="D551" s="38" t="n">
        <x:v>1</x:v>
      </x:c>
      <x:c r="E551" s="44" t="n">
        <x:v>2000</x:v>
      </x:c>
      <x:c r="F551" s="44" t="n">
        <x:v>2000</x:v>
      </x:c>
      <x:c r="G551" s="41" t="n">
        <x:v>1</x:v>
      </x:c>
      <x:c r="H551" s="44" t="n">
        <x:f>MAX(G551,0)*E551</x:f>
        <x:v>2000</x:v>
      </x:c>
      <x:c r="I551" s="38" t="n">
        <x:v>0</x:v>
      </x:c>
      <x:c r="J551" s="44" t="n">
        <x:v>0</x:v>
      </x:c>
      <x:c r="K551" s="32" t="n">
        <x:v>0</x:v>
      </x:c>
      <x:c r="L551" s="50"/>
      <x:c r="M551" s="50"/>
      <x:c r="N551" s="32" t="str">
        <x:f>IF(M551="","",MAX(0,'Resumen'!$B$3-M551))</x:f>
      </x:c>
      <x:c r="O551" s="38" t="n">
        <x:v>0</x:v>
      </x:c>
      <x:c r="P551" s="38" t="n">
        <x:v>0</x:v>
      </x:c>
      <x:c r="Q551" s="38" t="n">
        <x:v>0</x:v>
      </x:c>
      <x:c r="R551" s="38" t="n">
        <x:f>MIN(D551,I551)</x:f>
        <x:v>0</x:v>
      </x:c>
      <x:c r="S551" s="47" t="n">
        <x:f>IFERROR(R551/D551,0)</x:f>
        <x:v>0</x:v>
      </x:c>
      <x:c r="T551" s="38" t="n">
        <x:f>MIN(MAX(G551,0),MAX(D551-I551,0))</x:f>
        <x:v>1</x:v>
      </x:c>
      <x:c r="U551" s="44" t="n">
        <x:f>T551*E551</x:f>
        <x:v>2000</x:v>
      </x:c>
      <x:c r="V551" s="38" t="n">
        <x:v>0</x:v>
      </x:c>
      <x:c r="W551" s="32" t="n">
        <x:v>0</x:v>
      </x:c>
      <x:c r="X551" s="50"/>
      <x:c r="Y551" s="44" t="n">
        <x:v>3500</x:v>
      </x:c>
      <x:c r="Z551" s="44" t="n">
        <x:f>IF(I551&gt;0,R551*(J551/I551),0)</x:f>
        <x:v>0</x:v>
      </x:c>
      <x:c r="AA551" s="44" t="n">
        <x:f>Z551-(R551*E551)</x:f>
        <x:v>0</x:v>
      </x:c>
      <x:c r="AB551" s="47" t="n">
        <x:f>IFERROR(AA551/Z551,0)</x:f>
        <x:v>0</x:v>
      </x:c>
      <x:c r="AC551" s="32" t="str">
        <x:f>IF(S551=0,"0%",IF(S551&lt;0.5,"1-49%",IF(S551&lt;0.8,"50-79%",IF(S551&lt;1,"80-99%","100%"))))</x:f>
        <x:v>0%</x:v>
      </x:c>
      <x:c r="AD551" s="33" t="str">
        <x:f>IF(G551&lt;0,"Stock negativo",IF(G551&lt;=0,"Sin stock actual",IF(I551&lt;=0,"Sin ventas desde compra",IF(Q551&lt;=0,"Con stock, sin ventas 365d",IF(S551&lt;0.5,"Rotación baja",IF(S551&lt;1,"Rotación media","Compra absorbida; stock repuesto"))))))</x:f>
        <x:v>Sin ventas desde compra</x:v>
      </x:c>
    </x:row>
    <x:row r="552">
      <x:c r="A552" s="31" t="str">
        <x:v>EMP - 037666</x:v>
      </x:c>
      <x:c r="B552" s="53" t="str">
        <x:v>EMPAQUE EXOSTO TOP BOY SYK</x:v>
      </x:c>
      <x:c r="C552" s="32" t="n">
        <x:v>1</x:v>
      </x:c>
      <x:c r="D552" s="38" t="n">
        <x:v>2</x:v>
      </x:c>
      <x:c r="E552" s="44" t="n">
        <x:v>1000</x:v>
      </x:c>
      <x:c r="F552" s="44" t="n">
        <x:v>2000</x:v>
      </x:c>
      <x:c r="G552" s="41" t="n">
        <x:v>2</x:v>
      </x:c>
      <x:c r="H552" s="44" t="n">
        <x:f>MAX(G552,0)*E552</x:f>
        <x:v>2000</x:v>
      </x:c>
      <x:c r="I552" s="38" t="n">
        <x:v>0</x:v>
      </x:c>
      <x:c r="J552" s="44" t="n">
        <x:v>0</x:v>
      </x:c>
      <x:c r="K552" s="32" t="n">
        <x:v>0</x:v>
      </x:c>
      <x:c r="L552" s="50"/>
      <x:c r="M552" s="50"/>
      <x:c r="N552" s="32" t="str">
        <x:f>IF(M552="","",MAX(0,'Resumen'!$B$3-M552))</x:f>
      </x:c>
      <x:c r="O552" s="38" t="n">
        <x:v>0</x:v>
      </x:c>
      <x:c r="P552" s="38" t="n">
        <x:v>0</x:v>
      </x:c>
      <x:c r="Q552" s="38" t="n">
        <x:v>0</x:v>
      </x:c>
      <x:c r="R552" s="38" t="n">
        <x:f>MIN(D552,I552)</x:f>
        <x:v>0</x:v>
      </x:c>
      <x:c r="S552" s="47" t="n">
        <x:f>IFERROR(R552/D552,0)</x:f>
        <x:v>0</x:v>
      </x:c>
      <x:c r="T552" s="38" t="n">
        <x:f>MIN(MAX(G552,0),MAX(D552-I552,0))</x:f>
        <x:v>2</x:v>
      </x:c>
      <x:c r="U552" s="44" t="n">
        <x:f>T552*E552</x:f>
        <x:v>2000</x:v>
      </x:c>
      <x:c r="V552" s="38" t="n">
        <x:v>0</x:v>
      </x:c>
      <x:c r="W552" s="32" t="n">
        <x:v>0</x:v>
      </x:c>
      <x:c r="X552" s="50"/>
      <x:c r="Y552" s="44" t="n">
        <x:v>2000</x:v>
      </x:c>
      <x:c r="Z552" s="44" t="n">
        <x:f>IF(I552&gt;0,R552*(J552/I552),0)</x:f>
        <x:v>0</x:v>
      </x:c>
      <x:c r="AA552" s="44" t="n">
        <x:f>Z552-(R552*E552)</x:f>
        <x:v>0</x:v>
      </x:c>
      <x:c r="AB552" s="47" t="n">
        <x:f>IFERROR(AA552/Z552,0)</x:f>
        <x:v>0</x:v>
      </x:c>
      <x:c r="AC552" s="32" t="str">
        <x:f>IF(S552=0,"0%",IF(S552&lt;0.5,"1-49%",IF(S552&lt;0.8,"50-79%",IF(S552&lt;1,"80-99%","100%"))))</x:f>
        <x:v>0%</x:v>
      </x:c>
      <x:c r="AD552" s="33" t="str">
        <x:f>IF(G552&lt;0,"Stock negativo",IF(G552&lt;=0,"Sin stock actual",IF(I552&lt;=0,"Sin ventas desde compra",IF(Q552&lt;=0,"Con stock, sin ventas 365d",IF(S552&lt;0.5,"Rotación baja",IF(S552&lt;1,"Rotación media","Compra absorbida; stock repuesto"))))))</x:f>
        <x:v>Sin ventas desde compra</x:v>
      </x:c>
    </x:row>
    <x:row r="553">
      <x:c r="A553" s="31" t="str">
        <x:v>EMP - 037948</x:v>
      </x:c>
      <x:c r="B553" s="53" t="str">
        <x:v>EMPAQUE EXOSTO PULSAR 180 / PULSAR 200 SYK</x:v>
      </x:c>
      <x:c r="C553" s="32" t="n">
        <x:v>1</x:v>
      </x:c>
      <x:c r="D553" s="38" t="n">
        <x:v>2</x:v>
      </x:c>
      <x:c r="E553" s="44" t="n">
        <x:v>1000</x:v>
      </x:c>
      <x:c r="F553" s="44" t="n">
        <x:v>2000</x:v>
      </x:c>
      <x:c r="G553" s="41" t="n">
        <x:v>1</x:v>
      </x:c>
      <x:c r="H553" s="44" t="n">
        <x:f>MAX(G553,0)*E553</x:f>
        <x:v>1000</x:v>
      </x:c>
      <x:c r="I553" s="38" t="n">
        <x:v>1</x:v>
      </x:c>
      <x:c r="J553" s="44" t="n">
        <x:v>2000</x:v>
      </x:c>
      <x:c r="K553" s="32" t="n">
        <x:v>1</x:v>
      </x:c>
      <x:c r="L553" s="50" t="n">
        <x:v>46177.67821759259</x:v>
      </x:c>
      <x:c r="M553" s="50" t="n">
        <x:v>46177.67821759259</x:v>
      </x:c>
      <x:c r="N553" s="32" t="n">
        <x:f>IF(M553="","",MAX(0,'Resumen'!$B$3-M553))</x:f>
        <x:v>89.32178240740905</x:v>
      </x:c>
      <x:c r="O553" s="38" t="n">
        <x:v>0</x:v>
      </x:c>
      <x:c r="P553" s="38" t="n">
        <x:v>0</x:v>
      </x:c>
      <x:c r="Q553" s="38" t="n">
        <x:v>1</x:v>
      </x:c>
      <x:c r="R553" s="38" t="n">
        <x:f>MIN(D553,I553)</x:f>
        <x:v>1</x:v>
      </x:c>
      <x:c r="S553" s="47" t="n">
        <x:f>IFERROR(R553/D553,0)</x:f>
        <x:v>0.5</x:v>
      </x:c>
      <x:c r="T553" s="38" t="n">
        <x:f>MIN(MAX(G553,0),MAX(D553-I553,0))</x:f>
        <x:v>1</x:v>
      </x:c>
      <x:c r="U553" s="44" t="n">
        <x:f>T553*E553</x:f>
        <x:v>1000</x:v>
      </x:c>
      <x:c r="V553" s="38" t="n">
        <x:v>0</x:v>
      </x:c>
      <x:c r="W553" s="32" t="n">
        <x:v>0</x:v>
      </x:c>
      <x:c r="X553" s="50"/>
      <x:c r="Y553" s="44" t="n">
        <x:v>2000</x:v>
      </x:c>
      <x:c r="Z553" s="44" t="n">
        <x:f>IF(I553&gt;0,R553*(J553/I553),0)</x:f>
        <x:v>2000</x:v>
      </x:c>
      <x:c r="AA553" s="44" t="n">
        <x:f>Z553-(R553*E553)</x:f>
        <x:v>1000</x:v>
      </x:c>
      <x:c r="AB553" s="47" t="n">
        <x:f>IFERROR(AA553/Z553,0)</x:f>
        <x:v>0.5</x:v>
      </x:c>
      <x:c r="AC553" s="32" t="str">
        <x:f>IF(S553=0,"0%",IF(S553&lt;0.5,"1-49%",IF(S553&lt;0.8,"50-79%",IF(S553&lt;1,"80-99%","100%"))))</x:f>
        <x:v>50-79%</x:v>
      </x:c>
      <x:c r="AD553" s="33" t="str">
        <x:f>IF(G553&lt;0,"Stock negativo",IF(G553&lt;=0,"Sin stock actual",IF(I553&lt;=0,"Sin ventas desde compra",IF(Q553&lt;=0,"Con stock, sin ventas 365d",IF(S553&lt;0.5,"Rotación baja",IF(S553&lt;1,"Rotación media","Compra absorbida; stock repuesto"))))))</x:f>
        <x:v>Rotación media</x:v>
      </x:c>
    </x:row>
    <x:row r="554">
      <x:c r="A554" s="31" t="str">
        <x:v>MOTS1118</x:v>
      </x:c>
      <x:c r="B554" s="53" t="str">
        <x:v>PINES NEGRO TAPA</x:v>
      </x:c>
      <x:c r="C554" s="32" t="n">
        <x:v>1</x:v>
      </x:c>
      <x:c r="D554" s="38" t="n">
        <x:v>20</x:v>
      </x:c>
      <x:c r="E554" s="44" t="n">
        <x:v>100</x:v>
      </x:c>
      <x:c r="F554" s="44" t="n">
        <x:v>2000</x:v>
      </x:c>
      <x:c r="G554" s="41" t="n">
        <x:v>201</x:v>
      </x:c>
      <x:c r="H554" s="44" t="n">
        <x:f>MAX(G554,0)*E554</x:f>
        <x:v>20100</x:v>
      </x:c>
      <x:c r="I554" s="38" t="n">
        <x:v>154</x:v>
      </x:c>
      <x:c r="J554" s="44" t="n">
        <x:v>72400</x:v>
      </x:c>
      <x:c r="K554" s="32" t="n">
        <x:v>44</x:v>
      </x:c>
      <x:c r="L554" s="50" t="n">
        <x:v>45506.916354166664</x:v>
      </x:c>
      <x:c r="M554" s="50" t="n">
        <x:v>46266.70725694444</x:v>
      </x:c>
      <x:c r="N554" s="32" t="n">
        <x:f>IF(M554="","",MAX(0,'Resumen'!$B$3-M554))</x:f>
        <x:v>0.29274305555736646</x:v>
      </x:c>
      <x:c r="O554" s="38" t="n">
        <x:v>14</x:v>
      </x:c>
      <x:c r="P554" s="38" t="n">
        <x:v>16</x:v>
      </x:c>
      <x:c r="Q554" s="38" t="n">
        <x:v>49</x:v>
      </x:c>
      <x:c r="R554" s="38" t="n">
        <x:f>MIN(D554,I554)</x:f>
        <x:v>20</x:v>
      </x:c>
      <x:c r="S554" s="47" t="n">
        <x:f>IFERROR(R554/D554,0)</x:f>
        <x:v>1</x:v>
      </x:c>
      <x:c r="T554" s="38" t="n">
        <x:f>MIN(MAX(G554,0),MAX(D554-I554,0))</x:f>
        <x:v>0</x:v>
      </x:c>
      <x:c r="U554" s="44" t="n">
        <x:f>T554*E554</x:f>
        <x:v>0</x:v>
      </x:c>
      <x:c r="V554" s="38" t="n">
        <x:v>336</x:v>
      </x:c>
      <x:c r="W554" s="32" t="n">
        <x:v>8</x:v>
      </x:c>
      <x:c r="X554" s="50" t="n">
        <x:v>46084</x:v>
      </x:c>
      <x:c r="Y554" s="44" t="n">
        <x:v>700</x:v>
      </x:c>
      <x:c r="Z554" s="44" t="n">
        <x:f>IF(I554&gt;0,R554*(J554/I554),0)</x:f>
        <x:v>9402.597402597403</x:v>
      </x:c>
      <x:c r="AA554" s="44" t="n">
        <x:f>Z554-(R554*E554)</x:f>
        <x:v>7402.597402597403</x:v>
      </x:c>
      <x:c r="AB554" s="47" t="n">
        <x:f>IFERROR(AA554/Z554,0)</x:f>
        <x:v>0.787292817679558</x:v>
      </x:c>
      <x:c r="AC554" s="32" t="str">
        <x:f>IF(S554=0,"0%",IF(S554&lt;0.5,"1-49%",IF(S554&lt;0.8,"50-79%",IF(S554&lt;1,"80-99%","100%"))))</x:f>
        <x:v>100%</x:v>
      </x:c>
      <x:c r="AD554" s="33" t="str">
        <x:f>IF(G554&lt;0,"Stock negativo",IF(G554&lt;=0,"Sin stock actual",IF(I554&lt;=0,"Sin ventas desde compra",IF(Q554&lt;=0,"Con stock, sin ventas 365d",IF(S554&lt;0.5,"Rotación baja",IF(S554&lt;1,"Rotación media","Compra absorbida; stock repuesto"))))))</x:f>
        <x:v>Compra absorbida; stock repuesto</x:v>
      </x:c>
    </x:row>
    <x:row r="555">
      <x:c r="A555" s="31" t="str">
        <x:v>MOTS1160</x:v>
      </x:c>
      <x:c r="B555" s="53" t="str">
        <x:v>CAUCHO POSA PIE DER HAYATE UND</x:v>
      </x:c>
      <x:c r="C555" s="32" t="n">
        <x:v>1</x:v>
      </x:c>
      <x:c r="D555" s="38" t="n">
        <x:v>1</x:v>
      </x:c>
      <x:c r="E555" s="44" t="n">
        <x:v>2000</x:v>
      </x:c>
      <x:c r="F555" s="44" t="n">
        <x:v>2000</x:v>
      </x:c>
      <x:c r="G555" s="41" t="n">
        <x:v>1</x:v>
      </x:c>
      <x:c r="H555" s="44" t="n">
        <x:f>MAX(G555,0)*E555</x:f>
        <x:v>2000</x:v>
      </x:c>
      <x:c r="I555" s="38" t="n">
        <x:v>0</x:v>
      </x:c>
      <x:c r="J555" s="44" t="n">
        <x:v>0</x:v>
      </x:c>
      <x:c r="K555" s="32" t="n">
        <x:v>0</x:v>
      </x:c>
      <x:c r="L555" s="50"/>
      <x:c r="M555" s="50"/>
      <x:c r="N555" s="32" t="str">
        <x:f>IF(M555="","",MAX(0,'Resumen'!$B$3-M555))</x:f>
      </x:c>
      <x:c r="O555" s="38" t="n">
        <x:v>0</x:v>
      </x:c>
      <x:c r="P555" s="38" t="n">
        <x:v>0</x:v>
      </x:c>
      <x:c r="Q555" s="38" t="n">
        <x:v>0</x:v>
      </x:c>
      <x:c r="R555" s="38" t="n">
        <x:f>MIN(D555,I555)</x:f>
        <x:v>0</x:v>
      </x:c>
      <x:c r="S555" s="47" t="n">
        <x:f>IFERROR(R555/D555,0)</x:f>
        <x:v>0</x:v>
      </x:c>
      <x:c r="T555" s="38" t="n">
        <x:f>MIN(MAX(G555,0),MAX(D555-I555,0))</x:f>
        <x:v>1</x:v>
      </x:c>
      <x:c r="U555" s="44" t="n">
        <x:f>T555*E555</x:f>
        <x:v>2000</x:v>
      </x:c>
      <x:c r="V555" s="38" t="n">
        <x:v>0</x:v>
      </x:c>
      <x:c r="W555" s="32" t="n">
        <x:v>0</x:v>
      </x:c>
      <x:c r="X555" s="50"/>
      <x:c r="Y555" s="44" t="n">
        <x:v>3500</x:v>
      </x:c>
      <x:c r="Z555" s="44" t="n">
        <x:f>IF(I555&gt;0,R555*(J555/I555),0)</x:f>
        <x:v>0</x:v>
      </x:c>
      <x:c r="AA555" s="44" t="n">
        <x:f>Z555-(R555*E555)</x:f>
        <x:v>0</x:v>
      </x:c>
      <x:c r="AB555" s="47" t="n">
        <x:f>IFERROR(AA555/Z555,0)</x:f>
        <x:v>0</x:v>
      </x:c>
      <x:c r="AC555" s="32" t="str">
        <x:f>IF(S555=0,"0%",IF(S555&lt;0.5,"1-49%",IF(S555&lt;0.8,"50-79%",IF(S555&lt;1,"80-99%","100%"))))</x:f>
        <x:v>0%</x:v>
      </x:c>
      <x:c r="AD555" s="33" t="str">
        <x:f>IF(G555&lt;0,"Stock negativo",IF(G555&lt;=0,"Sin stock actual",IF(I555&lt;=0,"Sin ventas desde compra",IF(Q555&lt;=0,"Con stock, sin ventas 365d",IF(S555&lt;0.5,"Rotación baja",IF(S555&lt;1,"Rotación media","Compra absorbida; stock repuesto"))))))</x:f>
        <x:v>Sin ventas desde compra</x:v>
      </x:c>
    </x:row>
    <x:row r="556">
      <x:c r="A556" s="31" t="str">
        <x:v>MOTS1316</x:v>
      </x:c>
      <x:c r="B556" s="53" t="str">
        <x:v>BOMBILLO FARULA 1 PATA</x:v>
      </x:c>
      <x:c r="C556" s="32" t="n">
        <x:v>1</x:v>
      </x:c>
      <x:c r="D556" s="38" t="n">
        <x:v>4</x:v>
      </x:c>
      <x:c r="E556" s="44" t="n">
        <x:v>500</x:v>
      </x:c>
      <x:c r="F556" s="44" t="n">
        <x:v>2000</x:v>
      </x:c>
      <x:c r="G556" s="41" t="n">
        <x:v>0</x:v>
      </x:c>
      <x:c r="H556" s="44" t="n">
        <x:f>MAX(G556,0)*E556</x:f>
        <x:v>0</x:v>
      </x:c>
      <x:c r="I556" s="38" t="n">
        <x:v>4</x:v>
      </x:c>
      <x:c r="J556" s="44" t="n">
        <x:v>4000</x:v>
      </x:c>
      <x:c r="K556" s="32" t="n">
        <x:v>2</x:v>
      </x:c>
      <x:c r="L556" s="50" t="n">
        <x:v>45572.9584837963</x:v>
      </x:c>
      <x:c r="M556" s="50" t="n">
        <x:v>45588.89717592593</x:v>
      </x:c>
      <x:c r="N556" s="32" t="n">
        <x:f>IF(M556="","",MAX(0,'Resumen'!$B$3-M556))</x:f>
        <x:v>678.1028240740707</x:v>
      </x:c>
      <x:c r="O556" s="38" t="n">
        <x:v>0</x:v>
      </x:c>
      <x:c r="P556" s="38" t="n">
        <x:v>0</x:v>
      </x:c>
      <x:c r="Q556" s="38" t="n">
        <x:v>0</x:v>
      </x:c>
      <x:c r="R556" s="38" t="n">
        <x:f>MIN(D556,I556)</x:f>
        <x:v>4</x:v>
      </x:c>
      <x:c r="S556" s="47" t="n">
        <x:f>IFERROR(R556/D556,0)</x:f>
        <x:v>1</x:v>
      </x:c>
      <x:c r="T556" s="38" t="n">
        <x:f>MIN(MAX(G556,0),MAX(D556-I556,0))</x:f>
        <x:v>0</x:v>
      </x:c>
      <x:c r="U556" s="44" t="n">
        <x:f>T556*E556</x:f>
        <x:v>0</x:v>
      </x:c>
      <x:c r="V556" s="38" t="n">
        <x:v>0</x:v>
      </x:c>
      <x:c r="W556" s="32" t="n">
        <x:v>0</x:v>
      </x:c>
      <x:c r="X556" s="50"/>
      <x:c r="Y556" s="44" t="n">
        <x:v>1000</x:v>
      </x:c>
      <x:c r="Z556" s="44" t="n">
        <x:f>IF(I556&gt;0,R556*(J556/I556),0)</x:f>
        <x:v>4000</x:v>
      </x:c>
      <x:c r="AA556" s="44" t="n">
        <x:f>Z556-(R556*E556)</x:f>
        <x:v>2000</x:v>
      </x:c>
      <x:c r="AB556" s="47" t="n">
        <x:f>IFERROR(AA556/Z556,0)</x:f>
        <x:v>0.5</x:v>
      </x:c>
      <x:c r="AC556" s="32" t="str">
        <x:f>IF(S556=0,"0%",IF(S556&lt;0.5,"1-49%",IF(S556&lt;0.8,"50-79%",IF(S556&lt;1,"80-99%","100%"))))</x:f>
        <x:v>100%</x:v>
      </x:c>
      <x:c r="AD556" s="33" t="str">
        <x:f>IF(G556&lt;0,"Stock negativo",IF(G556&lt;=0,"Sin stock actual",IF(I556&lt;=0,"Sin ventas desde compra",IF(Q556&lt;=0,"Con stock, sin ventas 365d",IF(S556&lt;0.5,"Rotación baja",IF(S556&lt;1,"Rotación media","Compra absorbida; stock repuesto"))))))</x:f>
        <x:v>Sin stock actual</x:v>
      </x:c>
    </x:row>
    <x:row r="557">
      <x:c r="A557" s="31" t="str">
        <x:v>OYQ 153M</x:v>
      </x:c>
      <x:c r="B557" s="53" t="str">
        <x:v>EMPAQUE EXOSTO BOXER DARROW</x:v>
      </x:c>
      <x:c r="C557" s="32" t="n">
        <x:v>1</x:v>
      </x:c>
      <x:c r="D557" s="38" t="n">
        <x:v>2</x:v>
      </x:c>
      <x:c r="E557" s="44" t="n">
        <x:v>1000</x:v>
      </x:c>
      <x:c r="F557" s="44" t="n">
        <x:v>2000</x:v>
      </x:c>
      <x:c r="G557" s="41" t="n">
        <x:v>0</x:v>
      </x:c>
      <x:c r="H557" s="44" t="n">
        <x:f>MAX(G557,0)*E557</x:f>
        <x:v>0</x:v>
      </x:c>
      <x:c r="I557" s="38" t="n">
        <x:v>2</x:v>
      </x:c>
      <x:c r="J557" s="44" t="n">
        <x:v>4000</x:v>
      </x:c>
      <x:c r="K557" s="32" t="n">
        <x:v>2</x:v>
      </x:c>
      <x:c r="L557" s="50" t="n">
        <x:v>45503.90925925926</x:v>
      </x:c>
      <x:c r="M557" s="50" t="n">
        <x:v>45642.7703587963</x:v>
      </x:c>
      <x:c r="N557" s="32" t="n">
        <x:f>IF(M557="","",MAX(0,'Resumen'!$B$3-M557))</x:f>
        <x:v>624.2296412037031</x:v>
      </x:c>
      <x:c r="O557" s="38" t="n">
        <x:v>0</x:v>
      </x:c>
      <x:c r="P557" s="38" t="n">
        <x:v>0</x:v>
      </x:c>
      <x:c r="Q557" s="38" t="n">
        <x:v>0</x:v>
      </x:c>
      <x:c r="R557" s="38" t="n">
        <x:f>MIN(D557,I557)</x:f>
        <x:v>2</x:v>
      </x:c>
      <x:c r="S557" s="47" t="n">
        <x:f>IFERROR(R557/D557,0)</x:f>
        <x:v>1</x:v>
      </x:c>
      <x:c r="T557" s="38" t="n">
        <x:f>MIN(MAX(G557,0),MAX(D557-I557,0))</x:f>
        <x:v>0</x:v>
      </x:c>
      <x:c r="U557" s="44" t="n">
        <x:f>T557*E557</x:f>
        <x:v>0</x:v>
      </x:c>
      <x:c r="V557" s="38" t="n">
        <x:v>0</x:v>
      </x:c>
      <x:c r="W557" s="32" t="n">
        <x:v>0</x:v>
      </x:c>
      <x:c r="X557" s="50"/>
      <x:c r="Y557" s="44" t="n">
        <x:v>2000</x:v>
      </x:c>
      <x:c r="Z557" s="44" t="n">
        <x:f>IF(I557&gt;0,R557*(J557/I557),0)</x:f>
        <x:v>4000</x:v>
      </x:c>
      <x:c r="AA557" s="44" t="n">
        <x:f>Z557-(R557*E557)</x:f>
        <x:v>2000</x:v>
      </x:c>
      <x:c r="AB557" s="47" t="n">
        <x:f>IFERROR(AA557/Z557,0)</x:f>
        <x:v>0.5</x:v>
      </x:c>
      <x:c r="AC557" s="32" t="str">
        <x:f>IF(S557=0,"0%",IF(S557&lt;0.5,"1-49%",IF(S557&lt;0.8,"50-79%",IF(S557&lt;1,"80-99%","100%"))))</x:f>
        <x:v>100%</x:v>
      </x:c>
      <x:c r="AD557" s="33" t="str">
        <x:f>IF(G557&lt;0,"Stock negativo",IF(G557&lt;=0,"Sin stock actual",IF(I557&lt;=0,"Sin ventas desde compra",IF(Q557&lt;=0,"Con stock, sin ventas 365d",IF(S557&lt;0.5,"Rotación baja",IF(S557&lt;1,"Rotación media","Compra absorbida; stock repuesto"))))))</x:f>
        <x:v>Sin stock actual</x:v>
      </x:c>
    </x:row>
    <x:row r="558">
      <x:c r="A558" s="31" t="str">
        <x:v>MOTS1130</x:v>
      </x:c>
      <x:c r="B558" s="53" t="str">
        <x:v>CHAVETA SENCILLA</x:v>
      </x:c>
      <x:c r="C558" s="32" t="n">
        <x:v>1</x:v>
      </x:c>
      <x:c r="D558" s="38" t="n">
        <x:v>9</x:v>
      </x:c>
      <x:c r="E558" s="44" t="n">
        <x:v>200</x:v>
      </x:c>
      <x:c r="F558" s="44" t="n">
        <x:v>1800</x:v>
      </x:c>
      <x:c r="G558" s="41" t="n">
        <x:v>0</x:v>
      </x:c>
      <x:c r="H558" s="44" t="n">
        <x:f>MAX(G558,0)*E558</x:f>
        <x:v>0</x:v>
      </x:c>
      <x:c r="I558" s="38" t="n">
        <x:v>9</x:v>
      </x:c>
      <x:c r="J558" s="44" t="n">
        <x:v>3600</x:v>
      </x:c>
      <x:c r="K558" s="32" t="n">
        <x:v>7</x:v>
      </x:c>
      <x:c r="L558" s="50" t="n">
        <x:v>45507.88893518518</x:v>
      </x:c>
      <x:c r="M558" s="50" t="n">
        <x:v>45845.6027662037</x:v>
      </x:c>
      <x:c r="N558" s="32" t="n">
        <x:f>IF(M558="","",MAX(0,'Resumen'!$B$3-M558))</x:f>
        <x:v>421.3972337962987</x:v>
      </x:c>
      <x:c r="O558" s="38" t="n">
        <x:v>0</x:v>
      </x:c>
      <x:c r="P558" s="38" t="n">
        <x:v>0</x:v>
      </x:c>
      <x:c r="Q558" s="38" t="n">
        <x:v>0</x:v>
      </x:c>
      <x:c r="R558" s="38" t="n">
        <x:f>MIN(D558,I558)</x:f>
        <x:v>9</x:v>
      </x:c>
      <x:c r="S558" s="47" t="n">
        <x:f>IFERROR(R558/D558,0)</x:f>
        <x:v>1</x:v>
      </x:c>
      <x:c r="T558" s="38" t="n">
        <x:f>MIN(MAX(G558,0),MAX(D558-I558,0))</x:f>
        <x:v>0</x:v>
      </x:c>
      <x:c r="U558" s="44" t="n">
        <x:f>T558*E558</x:f>
        <x:v>0</x:v>
      </x:c>
      <x:c r="V558" s="38" t="n">
        <x:v>0</x:v>
      </x:c>
      <x:c r="W558" s="32" t="n">
        <x:v>0</x:v>
      </x:c>
      <x:c r="X558" s="50"/>
      <x:c r="Y558" s="44" t="n">
        <x:v>400</x:v>
      </x:c>
      <x:c r="Z558" s="44" t="n">
        <x:f>IF(I558&gt;0,R558*(J558/I558),0)</x:f>
        <x:v>3600</x:v>
      </x:c>
      <x:c r="AA558" s="44" t="n">
        <x:f>Z558-(R558*E558)</x:f>
        <x:v>1800</x:v>
      </x:c>
      <x:c r="AB558" s="47" t="n">
        <x:f>IFERROR(AA558/Z558,0)</x:f>
        <x:v>0.5</x:v>
      </x:c>
      <x:c r="AC558" s="32" t="str">
        <x:f>IF(S558=0,"0%",IF(S558&lt;0.5,"1-49%",IF(S558&lt;0.8,"50-79%",IF(S558&lt;1,"80-99%","100%"))))</x:f>
        <x:v>100%</x:v>
      </x:c>
      <x:c r="AD558" s="33" t="str">
        <x:f>IF(G558&lt;0,"Stock negativo",IF(G558&lt;=0,"Sin stock actual",IF(I558&lt;=0,"Sin ventas desde compra",IF(Q558&lt;=0,"Con stock, sin ventas 365d",IF(S558&lt;0.5,"Rotación baja",IF(S558&lt;1,"Rotación media","Compra absorbida; stock repuesto"))))))</x:f>
        <x:v>Sin stock actual</x:v>
      </x:c>
    </x:row>
    <x:row r="559">
      <x:c r="A559" s="31" t="str">
        <x:v>MOTS1187</x:v>
      </x:c>
      <x:c r="B559" s="53" t="str">
        <x:v>RESORTE STOP TROMPO UNIVERSAL</x:v>
      </x:c>
      <x:c r="C559" s="32" t="n">
        <x:v>1</x:v>
      </x:c>
      <x:c r="D559" s="38" t="n">
        <x:v>6</x:v>
      </x:c>
      <x:c r="E559" s="44" t="n">
        <x:v>300</x:v>
      </x:c>
      <x:c r="F559" s="44" t="n">
        <x:v>1800</x:v>
      </x:c>
      <x:c r="G559" s="41" t="n">
        <x:v>1</x:v>
      </x:c>
      <x:c r="H559" s="44" t="n">
        <x:f>MAX(G559,0)*E559</x:f>
        <x:v>300</x:v>
      </x:c>
      <x:c r="I559" s="38" t="n">
        <x:v>6</x:v>
      </x:c>
      <x:c r="J559" s="44" t="n">
        <x:v>3000</x:v>
      </x:c>
      <x:c r="K559" s="32" t="n">
        <x:v>6</x:v>
      </x:c>
      <x:c r="L559" s="50" t="n">
        <x:v>45517.87482638889</x:v>
      </x:c>
      <x:c r="M559" s="50" t="n">
        <x:v>45758.91892361111</x:v>
      </x:c>
      <x:c r="N559" s="32" t="n">
        <x:f>IF(M559="","",MAX(0,'Resumen'!$B$3-M559))</x:f>
        <x:v>508.0810763888876</x:v>
      </x:c>
      <x:c r="O559" s="38" t="n">
        <x:v>0</x:v>
      </x:c>
      <x:c r="P559" s="38" t="n">
        <x:v>0</x:v>
      </x:c>
      <x:c r="Q559" s="38" t="n">
        <x:v>0</x:v>
      </x:c>
      <x:c r="R559" s="38" t="n">
        <x:f>MIN(D559,I559)</x:f>
        <x:v>6</x:v>
      </x:c>
      <x:c r="S559" s="47" t="n">
        <x:f>IFERROR(R559/D559,0)</x:f>
        <x:v>1</x:v>
      </x:c>
      <x:c r="T559" s="38" t="n">
        <x:f>MIN(MAX(G559,0),MAX(D559-I559,0))</x:f>
        <x:v>0</x:v>
      </x:c>
      <x:c r="U559" s="44" t="n">
        <x:f>T559*E559</x:f>
        <x:v>0</x:v>
      </x:c>
      <x:c r="V559" s="38" t="n">
        <x:v>1</x:v>
      </x:c>
      <x:c r="W559" s="32" t="n">
        <x:v>1</x:v>
      </x:c>
      <x:c r="X559" s="50" t="n">
        <x:v>45755</x:v>
      </x:c>
      <x:c r="Y559" s="44" t="n">
        <x:v>500</x:v>
      </x:c>
      <x:c r="Z559" s="44" t="n">
        <x:f>IF(I559&gt;0,R559*(J559/I559),0)</x:f>
        <x:v>3000</x:v>
      </x:c>
      <x:c r="AA559" s="44" t="n">
        <x:f>Z559-(R559*E559)</x:f>
        <x:v>1200</x:v>
      </x:c>
      <x:c r="AB559" s="47" t="n">
        <x:f>IFERROR(AA559/Z559,0)</x:f>
        <x:v>0.4</x:v>
      </x:c>
      <x:c r="AC559" s="32" t="str">
        <x:f>IF(S559=0,"0%",IF(S559&lt;0.5,"1-49%",IF(S559&lt;0.8,"50-79%",IF(S559&lt;1,"80-99%","100%"))))</x:f>
        <x:v>100%</x:v>
      </x:c>
      <x:c r="AD559" s="33" t="str">
        <x:f>IF(G559&lt;0,"Stock negativo",IF(G559&lt;=0,"Sin stock actual",IF(I559&lt;=0,"Sin ventas desde compra",IF(Q559&lt;=0,"Con stock, sin ventas 365d",IF(S559&lt;0.5,"Rotación baja",IF(S559&lt;1,"Rotación media","Compra absorbida; stock repuesto"))))))</x:f>
        <x:v>Con stock, sin ventas 365d</x:v>
      </x:c>
    </x:row>
    <x:row r="560">
      <x:c r="A560" s="31" t="str">
        <x:v>TEN-025</x:v>
      </x:c>
      <x:c r="B560" s="53" t="str">
        <x:v>GUARDA BARROS NEGRO UNIVERSAL</x:v>
      </x:c>
      <x:c r="C560" s="32" t="n">
        <x:v>1</x:v>
      </x:c>
      <x:c r="D560" s="38" t="n">
        <x:v>1</x:v>
      </x:c>
      <x:c r="E560" s="44" t="n">
        <x:v>1800</x:v>
      </x:c>
      <x:c r="F560" s="44" t="n">
        <x:v>1800</x:v>
      </x:c>
      <x:c r="G560" s="41" t="n">
        <x:v>0</x:v>
      </x:c>
      <x:c r="H560" s="44" t="n">
        <x:f>MAX(G560,0)*E560</x:f>
        <x:v>0</x:v>
      </x:c>
      <x:c r="I560" s="38" t="n">
        <x:v>1</x:v>
      </x:c>
      <x:c r="J560" s="44" t="n">
        <x:v>30000</x:v>
      </x:c>
      <x:c r="K560" s="32" t="n">
        <x:v>1</x:v>
      </x:c>
      <x:c r="L560" s="50" t="n">
        <x:v>45508.59275462963</x:v>
      </x:c>
      <x:c r="M560" s="50" t="n">
        <x:v>45508.59275462963</x:v>
      </x:c>
      <x:c r="N560" s="32" t="n">
        <x:f>IF(M560="","",MAX(0,'Resumen'!$B$3-M560))</x:f>
        <x:v>758.4072453703702</x:v>
      </x:c>
      <x:c r="O560" s="38" t="n">
        <x:v>0</x:v>
      </x:c>
      <x:c r="P560" s="38" t="n">
        <x:v>0</x:v>
      </x:c>
      <x:c r="Q560" s="38" t="n">
        <x:v>0</x:v>
      </x:c>
      <x:c r="R560" s="38" t="n">
        <x:f>MIN(D560,I560)</x:f>
        <x:v>1</x:v>
      </x:c>
      <x:c r="S560" s="47" t="n">
        <x:f>IFERROR(R560/D560,0)</x:f>
        <x:v>1</x:v>
      </x:c>
      <x:c r="T560" s="38" t="n">
        <x:f>MIN(MAX(G560,0),MAX(D560-I560,0))</x:f>
        <x:v>0</x:v>
      </x:c>
      <x:c r="U560" s="44" t="n">
        <x:f>T560*E560</x:f>
        <x:v>0</x:v>
      </x:c>
      <x:c r="V560" s="38" t="n">
        <x:v>0</x:v>
      </x:c>
      <x:c r="W560" s="32" t="n">
        <x:v>0</x:v>
      </x:c>
      <x:c r="X560" s="50"/>
      <x:c r="Y560" s="44" t="n">
        <x:v>30000</x:v>
      </x:c>
      <x:c r="Z560" s="44" t="n">
        <x:f>IF(I560&gt;0,R560*(J560/I560),0)</x:f>
        <x:v>30000</x:v>
      </x:c>
      <x:c r="AA560" s="44" t="n">
        <x:f>Z560-(R560*E560)</x:f>
        <x:v>28200</x:v>
      </x:c>
      <x:c r="AB560" s="47" t="n">
        <x:f>IFERROR(AA560/Z560,0)</x:f>
        <x:v>0.94</x:v>
      </x:c>
      <x:c r="AC560" s="32" t="str">
        <x:f>IF(S560=0,"0%",IF(S560&lt;0.5,"1-49%",IF(S560&lt;0.8,"50-79%",IF(S560&lt;1,"80-99%","100%"))))</x:f>
        <x:v>100%</x:v>
      </x:c>
      <x:c r="AD560" s="33" t="str">
        <x:f>IF(G560&lt;0,"Stock negativo",IF(G560&lt;=0,"Sin stock actual",IF(I560&lt;=0,"Sin ventas desde compra",IF(Q560&lt;=0,"Con stock, sin ventas 365d",IF(S560&lt;0.5,"Rotación baja",IF(S560&lt;1,"Rotación media","Compra absorbida; stock repuesto"))))))</x:f>
        <x:v>Sin stock actual</x:v>
      </x:c>
    </x:row>
    <x:row r="561">
      <x:c r="A561" s="31" t="str">
        <x:v>2061</x:v>
      </x:c>
      <x:c r="B561" s="53" t="str">
        <x:v>WASA PRESION 8MM TORNIFRENOS</x:v>
      </x:c>
      <x:c r="C561" s="32" t="n">
        <x:v>1</x:v>
      </x:c>
      <x:c r="D561" s="38" t="n">
        <x:v>55</x:v>
      </x:c>
      <x:c r="E561" s="44" t="n">
        <x:v>32</x:v>
      </x:c>
      <x:c r="F561" s="44" t="n">
        <x:v>1760</x:v>
      </x:c>
      <x:c r="G561" s="41" t="n">
        <x:v>36</x:v>
      </x:c>
      <x:c r="H561" s="44" t="n">
        <x:f>MAX(G561,0)*E561</x:f>
        <x:v>1152</x:v>
      </x:c>
      <x:c r="I561" s="38" t="n">
        <x:v>23</x:v>
      </x:c>
      <x:c r="J561" s="44" t="n">
        <x:v>2300</x:v>
      </x:c>
      <x:c r="K561" s="32" t="n">
        <x:v>11</x:v>
      </x:c>
      <x:c r="L561" s="50" t="n">
        <x:v>45535.80662037037</x:v>
      </x:c>
      <x:c r="M561" s="50" t="n">
        <x:v>46075.721087962964</x:v>
      </x:c>
      <x:c r="N561" s="32" t="n">
        <x:f>IF(M561="","",MAX(0,'Resumen'!$B$3-M561))</x:f>
        <x:v>191.2789120370362</x:v>
      </x:c>
      <x:c r="O561" s="38" t="n">
        <x:v>0</x:v>
      </x:c>
      <x:c r="P561" s="38" t="n">
        <x:v>0</x:v>
      </x:c>
      <x:c r="Q561" s="38" t="n">
        <x:v>6</x:v>
      </x:c>
      <x:c r="R561" s="38" t="n">
        <x:f>MIN(D561,I561)</x:f>
        <x:v>23</x:v>
      </x:c>
      <x:c r="S561" s="47" t="n">
        <x:f>IFERROR(R561/D561,0)</x:f>
        <x:v>0.41818181818181815</x:v>
      </x:c>
      <x:c r="T561" s="38" t="n">
        <x:f>MIN(MAX(G561,0),MAX(D561-I561,0))</x:f>
        <x:v>32</x:v>
      </x:c>
      <x:c r="U561" s="44" t="n">
        <x:f>T561*E561</x:f>
        <x:v>1024</x:v>
      </x:c>
      <x:c r="V561" s="38" t="n">
        <x:v>4</x:v>
      </x:c>
      <x:c r="W561" s="32" t="n">
        <x:v>3</x:v>
      </x:c>
      <x:c r="X561" s="50" t="n">
        <x:v>45942</x:v>
      </x:c>
      <x:c r="Y561" s="44" t="n">
        <x:v>100</x:v>
      </x:c>
      <x:c r="Z561" s="44" t="n">
        <x:f>IF(I561&gt;0,R561*(J561/I561),0)</x:f>
        <x:v>2300</x:v>
      </x:c>
      <x:c r="AA561" s="44" t="n">
        <x:f>Z561-(R561*E561)</x:f>
        <x:v>1564</x:v>
      </x:c>
      <x:c r="AB561" s="47" t="n">
        <x:f>IFERROR(AA561/Z561,0)</x:f>
        <x:v>0.68</x:v>
      </x:c>
      <x:c r="AC561" s="32" t="str">
        <x:f>IF(S561=0,"0%",IF(S561&lt;0.5,"1-49%",IF(S561&lt;0.8,"50-79%",IF(S561&lt;1,"80-99%","100%"))))</x:f>
        <x:v>1-49%</x:v>
      </x:c>
      <x:c r="AD561" s="33" t="str">
        <x:f>IF(G561&lt;0,"Stock negativo",IF(G561&lt;=0,"Sin stock actual",IF(I561&lt;=0,"Sin ventas desde compra",IF(Q561&lt;=0,"Con stock, sin ventas 365d",IF(S561&lt;0.5,"Rotación baja",IF(S561&lt;1,"Rotación media","Compra absorbida; stock repuesto"))))))</x:f>
        <x:v>Rotación baja</x:v>
      </x:c>
    </x:row>
    <x:row r="562">
      <x:c r="A562" s="31" t="str">
        <x:v>OR-215</x:v>
      </x:c>
      <x:c r="B562" s="53" t="str">
        <x:v>ORING 11/8</x:v>
      </x:c>
      <x:c r="C562" s="32" t="n">
        <x:v>1</x:v>
      </x:c>
      <x:c r="D562" s="38" t="n">
        <x:v>5</x:v>
      </x:c>
      <x:c r="E562" s="44" t="n">
        <x:v>335</x:v>
      </x:c>
      <x:c r="F562" s="44" t="n">
        <x:v>1675</x:v>
      </x:c>
      <x:c r="G562" s="41" t="n">
        <x:v>4</x:v>
      </x:c>
      <x:c r="H562" s="44" t="n">
        <x:f>MAX(G562,0)*E562</x:f>
        <x:v>1340</x:v>
      </x:c>
      <x:c r="I562" s="38" t="n">
        <x:v>1</x:v>
      </x:c>
      <x:c r="J562" s="44" t="n">
        <x:v>600</x:v>
      </x:c>
      <x:c r="K562" s="32" t="n">
        <x:v>1</x:v>
      </x:c>
      <x:c r="L562" s="50" t="n">
        <x:v>45706.555555555555</x:v>
      </x:c>
      <x:c r="M562" s="50" t="n">
        <x:v>45706.555555555555</x:v>
      </x:c>
      <x:c r="N562" s="32" t="n">
        <x:f>IF(M562="","",MAX(0,'Resumen'!$B$3-M562))</x:f>
        <x:v>560.4444444444453</x:v>
      </x:c>
      <x:c r="O562" s="38" t="n">
        <x:v>0</x:v>
      </x:c>
      <x:c r="P562" s="38" t="n">
        <x:v>0</x:v>
      </x:c>
      <x:c r="Q562" s="38" t="n">
        <x:v>0</x:v>
      </x:c>
      <x:c r="R562" s="38" t="n">
        <x:f>MIN(D562,I562)</x:f>
        <x:v>1</x:v>
      </x:c>
      <x:c r="S562" s="47" t="n">
        <x:f>IFERROR(R562/D562,0)</x:f>
        <x:v>0.2</x:v>
      </x:c>
      <x:c r="T562" s="38" t="n">
        <x:f>MIN(MAX(G562,0),MAX(D562-I562,0))</x:f>
        <x:v>4</x:v>
      </x:c>
      <x:c r="U562" s="44" t="n">
        <x:f>T562*E562</x:f>
        <x:v>1340</x:v>
      </x:c>
      <x:c r="V562" s="38" t="n">
        <x:v>0</x:v>
      </x:c>
      <x:c r="W562" s="32" t="n">
        <x:v>0</x:v>
      </x:c>
      <x:c r="X562" s="50"/>
      <x:c r="Y562" s="44" t="n">
        <x:v>600</x:v>
      </x:c>
      <x:c r="Z562" s="44" t="n">
        <x:f>IF(I562&gt;0,R562*(J562/I562),0)</x:f>
        <x:v>600</x:v>
      </x:c>
      <x:c r="AA562" s="44" t="n">
        <x:f>Z562-(R562*E562)</x:f>
        <x:v>265</x:v>
      </x:c>
      <x:c r="AB562" s="47" t="n">
        <x:f>IFERROR(AA562/Z562,0)</x:f>
        <x:v>0.44166666666666665</x:v>
      </x:c>
      <x:c r="AC562" s="32" t="str">
        <x:f>IF(S562=0,"0%",IF(S562&lt;0.5,"1-49%",IF(S562&lt;0.8,"50-79%",IF(S562&lt;1,"80-99%","100%"))))</x:f>
        <x:v>1-49%</x:v>
      </x:c>
      <x:c r="AD562" s="33" t="str">
        <x:f>IF(G562&lt;0,"Stock negativo",IF(G562&lt;=0,"Sin stock actual",IF(I562&lt;=0,"Sin ventas desde compra",IF(Q562&lt;=0,"Con stock, sin ventas 365d",IF(S562&lt;0.5,"Rotación baja",IF(S562&lt;1,"Rotación media","Compra absorbida; stock repuesto"))))))</x:f>
        <x:v>Con stock, sin ventas 365d</x:v>
      </x:c>
    </x:row>
    <x:row r="563">
      <x:c r="A563" s="31" t="str">
        <x:v>OR-217</x:v>
      </x:c>
      <x:c r="B563" s="53" t="str">
        <x:v>ORING 1.1/4</x:v>
      </x:c>
      <x:c r="C563" s="32" t="n">
        <x:v>1</x:v>
      </x:c>
      <x:c r="D563" s="38" t="n">
        <x:v>5</x:v>
      </x:c>
      <x:c r="E563" s="44" t="n">
        <x:v>335</x:v>
      </x:c>
      <x:c r="F563" s="44" t="n">
        <x:v>1675</x:v>
      </x:c>
      <x:c r="G563" s="41" t="n">
        <x:v>0</x:v>
      </x:c>
      <x:c r="H563" s="44" t="n">
        <x:f>MAX(G563,0)*E563</x:f>
        <x:v>0</x:v>
      </x:c>
      <x:c r="I563" s="38" t="n">
        <x:v>5</x:v>
      </x:c>
      <x:c r="J563" s="44" t="n">
        <x:v>3000</x:v>
      </x:c>
      <x:c r="K563" s="32" t="n">
        <x:v>5</x:v>
      </x:c>
      <x:c r="L563" s="50" t="n">
        <x:v>45524.55273148148</x:v>
      </x:c>
      <x:c r="M563" s="50" t="n">
        <x:v>45681.919756944444</x:v>
      </x:c>
      <x:c r="N563" s="32" t="n">
        <x:f>IF(M563="","",MAX(0,'Resumen'!$B$3-M563))</x:f>
        <x:v>585.0802430555559</x:v>
      </x:c>
      <x:c r="O563" s="38" t="n">
        <x:v>0</x:v>
      </x:c>
      <x:c r="P563" s="38" t="n">
        <x:v>0</x:v>
      </x:c>
      <x:c r="Q563" s="38" t="n">
        <x:v>0</x:v>
      </x:c>
      <x:c r="R563" s="38" t="n">
        <x:f>MIN(D563,I563)</x:f>
        <x:v>5</x:v>
      </x:c>
      <x:c r="S563" s="47" t="n">
        <x:f>IFERROR(R563/D563,0)</x:f>
        <x:v>1</x:v>
      </x:c>
      <x:c r="T563" s="38" t="n">
        <x:f>MIN(MAX(G563,0),MAX(D563-I563,0))</x:f>
        <x:v>0</x:v>
      </x:c>
      <x:c r="U563" s="44" t="n">
        <x:f>T563*E563</x:f>
        <x:v>0</x:v>
      </x:c>
      <x:c r="V563" s="38" t="n">
        <x:v>0</x:v>
      </x:c>
      <x:c r="W563" s="32" t="n">
        <x:v>0</x:v>
      </x:c>
      <x:c r="X563" s="50"/>
      <x:c r="Y563" s="44" t="n">
        <x:v>600</x:v>
      </x:c>
      <x:c r="Z563" s="44" t="n">
        <x:f>IF(I563&gt;0,R563*(J563/I563),0)</x:f>
        <x:v>3000</x:v>
      </x:c>
      <x:c r="AA563" s="44" t="n">
        <x:f>Z563-(R563*E563)</x:f>
        <x:v>1325</x:v>
      </x:c>
      <x:c r="AB563" s="47" t="n">
        <x:f>IFERROR(AA563/Z563,0)</x:f>
        <x:v>0.44166666666666665</x:v>
      </x:c>
      <x:c r="AC563" s="32" t="str">
        <x:f>IF(S563=0,"0%",IF(S563&lt;0.5,"1-49%",IF(S563&lt;0.8,"50-79%",IF(S563&lt;1,"80-99%","100%"))))</x:f>
        <x:v>100%</x:v>
      </x:c>
      <x:c r="AD563" s="33" t="str">
        <x:f>IF(G563&lt;0,"Stock negativo",IF(G563&lt;=0,"Sin stock actual",IF(I563&lt;=0,"Sin ventas desde compra",IF(Q563&lt;=0,"Con stock, sin ventas 365d",IF(S563&lt;0.5,"Rotación baja",IF(S563&lt;1,"Rotación media","Compra absorbida; stock repuesto"))))))</x:f>
        <x:v>Sin stock actual</x:v>
      </x:c>
    </x:row>
    <x:row r="564">
      <x:c r="A564" s="31" t="str">
        <x:v>5061B1</x:v>
      </x:c>
      <x:c r="B564" s="53" t="str">
        <x:v>EMPAQUE TAPA CLUCTH DISCOVER 135 GPP</x:v>
      </x:c>
      <x:c r="C564" s="32" t="n">
        <x:v>1</x:v>
      </x:c>
      <x:c r="D564" s="38" t="n">
        <x:v>1</x:v>
      </x:c>
      <x:c r="E564" s="44" t="n">
        <x:v>1650</x:v>
      </x:c>
      <x:c r="F564" s="44" t="n">
        <x:v>1650</x:v>
      </x:c>
      <x:c r="G564" s="41" t="n">
        <x:v>1</x:v>
      </x:c>
      <x:c r="H564" s="44" t="n">
        <x:f>MAX(G564,0)*E564</x:f>
        <x:v>1650</x:v>
      </x:c>
      <x:c r="I564" s="38" t="n">
        <x:v>0</x:v>
      </x:c>
      <x:c r="J564" s="44" t="n">
        <x:v>0</x:v>
      </x:c>
      <x:c r="K564" s="32" t="n">
        <x:v>0</x:v>
      </x:c>
      <x:c r="L564" s="50"/>
      <x:c r="M564" s="50"/>
      <x:c r="N564" s="32" t="str">
        <x:f>IF(M564="","",MAX(0,'Resumen'!$B$3-M564))</x:f>
      </x:c>
      <x:c r="O564" s="38" t="n">
        <x:v>0</x:v>
      </x:c>
      <x:c r="P564" s="38" t="n">
        <x:v>0</x:v>
      </x:c>
      <x:c r="Q564" s="38" t="n">
        <x:v>0</x:v>
      </x:c>
      <x:c r="R564" s="38" t="n">
        <x:f>MIN(D564,I564)</x:f>
        <x:v>0</x:v>
      </x:c>
      <x:c r="S564" s="47" t="n">
        <x:f>IFERROR(R564/D564,0)</x:f>
        <x:v>0</x:v>
      </x:c>
      <x:c r="T564" s="38" t="n">
        <x:f>MIN(MAX(G564,0),MAX(D564-I564,0))</x:f>
        <x:v>1</x:v>
      </x:c>
      <x:c r="U564" s="44" t="n">
        <x:f>T564*E564</x:f>
        <x:v>1650</x:v>
      </x:c>
      <x:c r="V564" s="38" t="n">
        <x:v>0</x:v>
      </x:c>
      <x:c r="W564" s="32" t="n">
        <x:v>0</x:v>
      </x:c>
      <x:c r="X564" s="50"/>
      <x:c r="Y564" s="44" t="n">
        <x:v>3000</x:v>
      </x:c>
      <x:c r="Z564" s="44" t="n">
        <x:f>IF(I564&gt;0,R564*(J564/I564),0)</x:f>
        <x:v>0</x:v>
      </x:c>
      <x:c r="AA564" s="44" t="n">
        <x:f>Z564-(R564*E564)</x:f>
        <x:v>0</x:v>
      </x:c>
      <x:c r="AB564" s="47" t="n">
        <x:f>IFERROR(AA564/Z564,0)</x:f>
        <x:v>0</x:v>
      </x:c>
      <x:c r="AC564" s="32" t="str">
        <x:f>IF(S564=0,"0%",IF(S564&lt;0.5,"1-49%",IF(S564&lt;0.8,"50-79%",IF(S564&lt;1,"80-99%","100%"))))</x:f>
        <x:v>0%</x:v>
      </x:c>
      <x:c r="AD564" s="33" t="str">
        <x:f>IF(G564&lt;0,"Stock negativo",IF(G564&lt;=0,"Sin stock actual",IF(I564&lt;=0,"Sin ventas desde compra",IF(Q564&lt;=0,"Con stock, sin ventas 365d",IF(S564&lt;0.5,"Rotación baja",IF(S564&lt;1,"Rotación media","Compra absorbida; stock repuesto"))))))</x:f>
        <x:v>Sin ventas desde compra</x:v>
      </x:c>
    </x:row>
    <x:row r="565">
      <x:c r="A565" s="31" t="str">
        <x:v>MOTS1144</x:v>
      </x:c>
      <x:c r="B565" s="53" t="str">
        <x:v>REFLETOR ROJO REDONDO</x:v>
      </x:c>
      <x:c r="C565" s="32" t="n">
        <x:v>1</x:v>
      </x:c>
      <x:c r="D565" s="38" t="n">
        <x:v>1</x:v>
      </x:c>
      <x:c r="E565" s="44" t="n">
        <x:v>1500</x:v>
      </x:c>
      <x:c r="F565" s="44" t="n">
        <x:v>1500</x:v>
      </x:c>
      <x:c r="G565" s="41" t="n">
        <x:v>0</x:v>
      </x:c>
      <x:c r="H565" s="44" t="n">
        <x:f>MAX(G565,0)*E565</x:f>
        <x:v>0</x:v>
      </x:c>
      <x:c r="I565" s="38" t="n">
        <x:v>1</x:v>
      </x:c>
      <x:c r="J565" s="44" t="n">
        <x:v>2500</x:v>
      </x:c>
      <x:c r="K565" s="32" t="n">
        <x:v>1</x:v>
      </x:c>
      <x:c r="L565" s="50" t="n">
        <x:v>45542.80087962963</x:v>
      </x:c>
      <x:c r="M565" s="50" t="n">
        <x:v>45542.80087962963</x:v>
      </x:c>
      <x:c r="N565" s="32" t="n">
        <x:f>IF(M565="","",MAX(0,'Resumen'!$B$3-M565))</x:f>
        <x:v>724.1991203703728</x:v>
      </x:c>
      <x:c r="O565" s="38" t="n">
        <x:v>0</x:v>
      </x:c>
      <x:c r="P565" s="38" t="n">
        <x:v>0</x:v>
      </x:c>
      <x:c r="Q565" s="38" t="n">
        <x:v>0</x:v>
      </x:c>
      <x:c r="R565" s="38" t="n">
        <x:f>MIN(D565,I565)</x:f>
        <x:v>1</x:v>
      </x:c>
      <x:c r="S565" s="47" t="n">
        <x:f>IFERROR(R565/D565,0)</x:f>
        <x:v>1</x:v>
      </x:c>
      <x:c r="T565" s="38" t="n">
        <x:f>MIN(MAX(G565,0),MAX(D565-I565,0))</x:f>
        <x:v>0</x:v>
      </x:c>
      <x:c r="U565" s="44" t="n">
        <x:f>T565*E565</x:f>
        <x:v>0</x:v>
      </x:c>
      <x:c r="V565" s="38" t="n">
        <x:v>0</x:v>
      </x:c>
      <x:c r="W565" s="32" t="n">
        <x:v>0</x:v>
      </x:c>
      <x:c r="X565" s="50"/>
      <x:c r="Y565" s="44" t="n">
        <x:v>2500</x:v>
      </x:c>
      <x:c r="Z565" s="44" t="n">
        <x:f>IF(I565&gt;0,R565*(J565/I565),0)</x:f>
        <x:v>2500</x:v>
      </x:c>
      <x:c r="AA565" s="44" t="n">
        <x:f>Z565-(R565*E565)</x:f>
        <x:v>1000</x:v>
      </x:c>
      <x:c r="AB565" s="47" t="n">
        <x:f>IFERROR(AA565/Z565,0)</x:f>
        <x:v>0.4</x:v>
      </x:c>
      <x:c r="AC565" s="32" t="str">
        <x:f>IF(S565=0,"0%",IF(S565&lt;0.5,"1-49%",IF(S565&lt;0.8,"50-79%",IF(S565&lt;1,"80-99%","100%"))))</x:f>
        <x:v>100%</x:v>
      </x:c>
      <x:c r="AD565" s="33" t="str">
        <x:f>IF(G565&lt;0,"Stock negativo",IF(G565&lt;=0,"Sin stock actual",IF(I565&lt;=0,"Sin ventas desde compra",IF(Q565&lt;=0,"Con stock, sin ventas 365d",IF(S565&lt;0.5,"Rotación baja",IF(S565&lt;1,"Rotación media","Compra absorbida; stock repuesto"))))))</x:f>
        <x:v>Sin stock actual</x:v>
      </x:c>
    </x:row>
    <x:row r="566">
      <x:c r="A566" s="31" t="str">
        <x:v>MOTS1229</x:v>
      </x:c>
      <x:c r="B566" s="53" t="str">
        <x:v>BALINERA 60032RS C3 KML</x:v>
      </x:c>
      <x:c r="C566" s="32" t="n">
        <x:v>1</x:v>
      </x:c>
      <x:c r="D566" s="38" t="n">
        <x:v>1</x:v>
      </x:c>
      <x:c r="E566" s="44" t="n">
        <x:v>1500</x:v>
      </x:c>
      <x:c r="F566" s="44" t="n">
        <x:v>1500</x:v>
      </x:c>
      <x:c r="G566" s="41" t="n">
        <x:v>0</x:v>
      </x:c>
      <x:c r="H566" s="44" t="n">
        <x:f>MAX(G566,0)*E566</x:f>
        <x:v>0</x:v>
      </x:c>
      <x:c r="I566" s="38" t="n">
        <x:v>1</x:v>
      </x:c>
      <x:c r="J566" s="44" t="n">
        <x:v>2500</x:v>
      </x:c>
      <x:c r="K566" s="32" t="n">
        <x:v>1</x:v>
      </x:c>
      <x:c r="L566" s="50" t="n">
        <x:v>45693.80583333333</x:v>
      </x:c>
      <x:c r="M566" s="50" t="n">
        <x:v>45693.80583333333</x:v>
      </x:c>
      <x:c r="N566" s="32" t="n">
        <x:f>IF(M566="","",MAX(0,'Resumen'!$B$3-M566))</x:f>
        <x:v>573.194166666668</x:v>
      </x:c>
      <x:c r="O566" s="38" t="n">
        <x:v>0</x:v>
      </x:c>
      <x:c r="P566" s="38" t="n">
        <x:v>0</x:v>
      </x:c>
      <x:c r="Q566" s="38" t="n">
        <x:v>0</x:v>
      </x:c>
      <x:c r="R566" s="38" t="n">
        <x:f>MIN(D566,I566)</x:f>
        <x:v>1</x:v>
      </x:c>
      <x:c r="S566" s="47" t="n">
        <x:f>IFERROR(R566/D566,0)</x:f>
        <x:v>1</x:v>
      </x:c>
      <x:c r="T566" s="38" t="n">
        <x:f>MIN(MAX(G566,0),MAX(D566-I566,0))</x:f>
        <x:v>0</x:v>
      </x:c>
      <x:c r="U566" s="44" t="n">
        <x:f>T566*E566</x:f>
        <x:v>0</x:v>
      </x:c>
      <x:c r="V566" s="38" t="n">
        <x:v>0</x:v>
      </x:c>
      <x:c r="W566" s="32" t="n">
        <x:v>0</x:v>
      </x:c>
      <x:c r="X566" s="50"/>
      <x:c r="Y566" s="44" t="n">
        <x:v>2500</x:v>
      </x:c>
      <x:c r="Z566" s="44" t="n">
        <x:f>IF(I566&gt;0,R566*(J566/I566),0)</x:f>
        <x:v>2500</x:v>
      </x:c>
      <x:c r="AA566" s="44" t="n">
        <x:f>Z566-(R566*E566)</x:f>
        <x:v>1000</x:v>
      </x:c>
      <x:c r="AB566" s="47" t="n">
        <x:f>IFERROR(AA566/Z566,0)</x:f>
        <x:v>0.4</x:v>
      </x:c>
      <x:c r="AC566" s="32" t="str">
        <x:f>IF(S566=0,"0%",IF(S566&lt;0.5,"1-49%",IF(S566&lt;0.8,"50-79%",IF(S566&lt;1,"80-99%","100%"))))</x:f>
        <x:v>100%</x:v>
      </x:c>
      <x:c r="AD566" s="33" t="str">
        <x:f>IF(G566&lt;0,"Stock negativo",IF(G566&lt;=0,"Sin stock actual",IF(I566&lt;=0,"Sin ventas desde compra",IF(Q566&lt;=0,"Con stock, sin ventas 365d",IF(S566&lt;0.5,"Rotación baja",IF(S566&lt;1,"Rotación media","Compra absorbida; stock repuesto"))))))</x:f>
        <x:v>Sin stock actual</x:v>
      </x:c>
    </x:row>
    <x:row r="567">
      <x:c r="A567" s="31" t="str">
        <x:v>2059</x:v>
      </x:c>
      <x:c r="B567" s="53" t="str">
        <x:v>WASA PRESION 6MM TORNIFRENOS</x:v>
      </x:c>
      <x:c r="C567" s="32" t="n">
        <x:v>1</x:v>
      </x:c>
      <x:c r="D567" s="38" t="n">
        <x:v>70</x:v>
      </x:c>
      <x:c r="E567" s="44" t="n">
        <x:v>21</x:v>
      </x:c>
      <x:c r="F567" s="44" t="n">
        <x:v>1470</x:v>
      </x:c>
      <x:c r="G567" s="41" t="n">
        <x:v>36</x:v>
      </x:c>
      <x:c r="H567" s="44" t="n">
        <x:f>MAX(G567,0)*E567</x:f>
        <x:v>756</x:v>
      </x:c>
      <x:c r="I567" s="38" t="n">
        <x:v>50</x:v>
      </x:c>
      <x:c r="J567" s="44" t="n">
        <x:v>5000</x:v>
      </x:c>
      <x:c r="K567" s="32" t="n">
        <x:v>24</x:v>
      </x:c>
      <x:c r="L567" s="50" t="n">
        <x:v>45506.7078125</x:v>
      </x:c>
      <x:c r="M567" s="50" t="n">
        <x:v>46212.711435185185</x:v>
      </x:c>
      <x:c r="N567" s="32" t="n">
        <x:f>IF(M567="","",MAX(0,'Resumen'!$B$3-M567))</x:f>
        <x:v>54.28856481481489</x:v>
      </x:c>
      <x:c r="O567" s="38" t="n">
        <x:v>0</x:v>
      </x:c>
      <x:c r="P567" s="38" t="n">
        <x:v>4</x:v>
      </x:c>
      <x:c r="Q567" s="38" t="n">
        <x:v>18</x:v>
      </x:c>
      <x:c r="R567" s="38" t="n">
        <x:f>MIN(D567,I567)</x:f>
        <x:v>50</x:v>
      </x:c>
      <x:c r="S567" s="47" t="n">
        <x:f>IFERROR(R567/D567,0)</x:f>
        <x:v>0.7142857142857143</x:v>
      </x:c>
      <x:c r="T567" s="38" t="n">
        <x:f>MIN(MAX(G567,0),MAX(D567-I567,0))</x:f>
        <x:v>20</x:v>
      </x:c>
      <x:c r="U567" s="44" t="n">
        <x:f>T567*E567</x:f>
        <x:v>420</x:v>
      </x:c>
      <x:c r="V567" s="38" t="n">
        <x:v>16</x:v>
      </x:c>
      <x:c r="W567" s="32" t="n">
        <x:v>8</x:v>
      </x:c>
      <x:c r="X567" s="50" t="n">
        <x:v>46001</x:v>
      </x:c>
      <x:c r="Y567" s="44" t="n">
        <x:v>100</x:v>
      </x:c>
      <x:c r="Z567" s="44" t="n">
        <x:f>IF(I567&gt;0,R567*(J567/I567),0)</x:f>
        <x:v>5000</x:v>
      </x:c>
      <x:c r="AA567" s="44" t="n">
        <x:f>Z567-(R567*E567)</x:f>
        <x:v>3950</x:v>
      </x:c>
      <x:c r="AB567" s="47" t="n">
        <x:f>IFERROR(AA567/Z567,0)</x:f>
        <x:v>0.79</x:v>
      </x:c>
      <x:c r="AC567" s="32" t="str">
        <x:f>IF(S567=0,"0%",IF(S567&lt;0.5,"1-49%",IF(S567&lt;0.8,"50-79%",IF(S567&lt;1,"80-99%","100%"))))</x:f>
        <x:v>50-79%</x:v>
      </x:c>
      <x:c r="AD567" s="33" t="str">
        <x:f>IF(G567&lt;0,"Stock negativo",IF(G567&lt;=0,"Sin stock actual",IF(I567&lt;=0,"Sin ventas desde compra",IF(Q567&lt;=0,"Con stock, sin ventas 365d",IF(S567&lt;0.5,"Rotación baja",IF(S567&lt;1,"Rotación media","Compra absorbida; stock repuesto"))))))</x:f>
        <x:v>Rotación media</x:v>
      </x:c>
    </x:row>
    <x:row r="568">
      <x:c r="A568" s="31" t="str">
        <x:v>TOR - 0408</x:v>
      </x:c>
      <x:c r="B568" s="53" t="str">
        <x:v>TORNILLO BRISTOL 6 X50 TORNIFRENOS</x:v>
      </x:c>
      <x:c r="C568" s="32" t="n">
        <x:v>1</x:v>
      </x:c>
      <x:c r="D568" s="38" t="n">
        <x:v>4</x:v>
      </x:c>
      <x:c r="E568" s="44" t="n">
        <x:v>350</x:v>
      </x:c>
      <x:c r="F568" s="44" t="n">
        <x:v>1400</x:v>
      </x:c>
      <x:c r="G568" s="41" t="n">
        <x:v>2</x:v>
      </x:c>
      <x:c r="H568" s="44" t="n">
        <x:f>MAX(G568,0)*E568</x:f>
        <x:v>700</x:v>
      </x:c>
      <x:c r="I568" s="38" t="n">
        <x:v>2</x:v>
      </x:c>
      <x:c r="J568" s="44" t="n">
        <x:v>1000</x:v>
      </x:c>
      <x:c r="K568" s="32" t="n">
        <x:v>1</x:v>
      </x:c>
      <x:c r="L568" s="50" t="n">
        <x:v>45616.634375</x:v>
      </x:c>
      <x:c r="M568" s="50" t="n">
        <x:v>45616.634375</x:v>
      </x:c>
      <x:c r="N568" s="32" t="n">
        <x:f>IF(M568="","",MAX(0,'Resumen'!$B$3-M568))</x:f>
        <x:v>650.3656249999985</x:v>
      </x:c>
      <x:c r="O568" s="38" t="n">
        <x:v>0</x:v>
      </x:c>
      <x:c r="P568" s="38" t="n">
        <x:v>0</x:v>
      </x:c>
      <x:c r="Q568" s="38" t="n">
        <x:v>0</x:v>
      </x:c>
      <x:c r="R568" s="38" t="n">
        <x:f>MIN(D568,I568)</x:f>
        <x:v>2</x:v>
      </x:c>
      <x:c r="S568" s="47" t="n">
        <x:f>IFERROR(R568/D568,0)</x:f>
        <x:v>0.5</x:v>
      </x:c>
      <x:c r="T568" s="38" t="n">
        <x:f>MIN(MAX(G568,0),MAX(D568-I568,0))</x:f>
        <x:v>2</x:v>
      </x:c>
      <x:c r="U568" s="44" t="n">
        <x:f>T568*E568</x:f>
        <x:v>700</x:v>
      </x:c>
      <x:c r="V568" s="38" t="n">
        <x:v>0</x:v>
      </x:c>
      <x:c r="W568" s="32" t="n">
        <x:v>0</x:v>
      </x:c>
      <x:c r="X568" s="50"/>
      <x:c r="Y568" s="44" t="n">
        <x:v>600</x:v>
      </x:c>
      <x:c r="Z568" s="44" t="n">
        <x:f>IF(I568&gt;0,R568*(J568/I568),0)</x:f>
        <x:v>1000</x:v>
      </x:c>
      <x:c r="AA568" s="44" t="n">
        <x:f>Z568-(R568*E568)</x:f>
        <x:v>300</x:v>
      </x:c>
      <x:c r="AB568" s="47" t="n">
        <x:f>IFERROR(AA568/Z568,0)</x:f>
        <x:v>0.3</x:v>
      </x:c>
      <x:c r="AC568" s="32" t="str">
        <x:f>IF(S568=0,"0%",IF(S568&lt;0.5,"1-49%",IF(S568&lt;0.8,"50-79%",IF(S568&lt;1,"80-99%","100%"))))</x:f>
        <x:v>50-79%</x:v>
      </x:c>
      <x:c r="AD568" s="33" t="str">
        <x:f>IF(G568&lt;0,"Stock negativo",IF(G568&lt;=0,"Sin stock actual",IF(I568&lt;=0,"Sin ventas desde compra",IF(Q568&lt;=0,"Con stock, sin ventas 365d",IF(S568&lt;0.5,"Rotación baja",IF(S568&lt;1,"Rotación media","Compra absorbida; stock repuesto"))))))</x:f>
        <x:v>Con stock, sin ventas 365d</x:v>
      </x:c>
    </x:row>
    <x:row r="569">
      <x:c r="A569" s="31" t="str">
        <x:v>TOR - 0379</x:v>
      </x:c>
      <x:c r="B569" s="53" t="str">
        <x:v>TORNILLO UNICO ESTRELLA 6 X10 TORNIFRENOS</x:v>
      </x:c>
      <x:c r="C569" s="32" t="n">
        <x:v>1</x:v>
      </x:c>
      <x:c r="D569" s="38" t="n">
        <x:v>19</x:v>
      </x:c>
      <x:c r="E569" s="44" t="n">
        <x:v>73</x:v>
      </x:c>
      <x:c r="F569" s="44" t="n">
        <x:v>1387</x:v>
      </x:c>
      <x:c r="G569" s="41" t="n">
        <x:v>17</x:v>
      </x:c>
      <x:c r="H569" s="44" t="n">
        <x:f>MAX(G569,0)*E569</x:f>
        <x:v>1241</x:v>
      </x:c>
      <x:c r="I569" s="38" t="n">
        <x:v>2</x:v>
      </x:c>
      <x:c r="J569" s="44" t="n">
        <x:v>400</x:v>
      </x:c>
      <x:c r="K569" s="32" t="n">
        <x:v>1</x:v>
      </x:c>
      <x:c r="L569" s="50" t="n">
        <x:v>45710.80324074074</x:v>
      </x:c>
      <x:c r="M569" s="50" t="n">
        <x:v>45710.80324074074</x:v>
      </x:c>
      <x:c r="N569" s="32" t="n">
        <x:f>IF(M569="","",MAX(0,'Resumen'!$B$3-M569))</x:f>
        <x:v>556.1967592592628</x:v>
      </x:c>
      <x:c r="O569" s="38" t="n">
        <x:v>0</x:v>
      </x:c>
      <x:c r="P569" s="38" t="n">
        <x:v>0</x:v>
      </x:c>
      <x:c r="Q569" s="38" t="n">
        <x:v>0</x:v>
      </x:c>
      <x:c r="R569" s="38" t="n">
        <x:f>MIN(D569,I569)</x:f>
        <x:v>2</x:v>
      </x:c>
      <x:c r="S569" s="47" t="n">
        <x:f>IFERROR(R569/D569,0)</x:f>
        <x:v>0.10526315789473684</x:v>
      </x:c>
      <x:c r="T569" s="38" t="n">
        <x:f>MIN(MAX(G569,0),MAX(D569-I569,0))</x:f>
        <x:v>17</x:v>
      </x:c>
      <x:c r="U569" s="44" t="n">
        <x:f>T569*E569</x:f>
        <x:v>1241</x:v>
      </x:c>
      <x:c r="V569" s="38" t="n">
        <x:v>0</x:v>
      </x:c>
      <x:c r="W569" s="32" t="n">
        <x:v>0</x:v>
      </x:c>
      <x:c r="X569" s="50"/>
      <x:c r="Y569" s="44" t="n">
        <x:v>200</x:v>
      </x:c>
      <x:c r="Z569" s="44" t="n">
        <x:f>IF(I569&gt;0,R569*(J569/I569),0)</x:f>
        <x:v>400</x:v>
      </x:c>
      <x:c r="AA569" s="44" t="n">
        <x:f>Z569-(R569*E569)</x:f>
        <x:v>254</x:v>
      </x:c>
      <x:c r="AB569" s="47" t="n">
        <x:f>IFERROR(AA569/Z569,0)</x:f>
        <x:v>0.635</x:v>
      </x:c>
      <x:c r="AC569" s="32" t="str">
        <x:f>IF(S569=0,"0%",IF(S569&lt;0.5,"1-49%",IF(S569&lt;0.8,"50-79%",IF(S569&lt;1,"80-99%","100%"))))</x:f>
        <x:v>1-49%</x:v>
      </x:c>
      <x:c r="AD569" s="33" t="str">
        <x:f>IF(G569&lt;0,"Stock negativo",IF(G569&lt;=0,"Sin stock actual",IF(I569&lt;=0,"Sin ventas desde compra",IF(Q569&lt;=0,"Con stock, sin ventas 365d",IF(S569&lt;0.5,"Rotación baja",IF(S569&lt;1,"Rotación media","Compra absorbida; stock repuesto"))))))</x:f>
        <x:v>Con stock, sin ventas 365d</x:v>
      </x:c>
    </x:row>
    <x:row r="570">
      <x:c r="A570" s="31" t="str">
        <x:v>OR-216</x:v>
      </x:c>
      <x:c r="B570" s="53" t="str">
        <x:v>ORING 13/16</x:v>
      </x:c>
      <x:c r="C570" s="32" t="n">
        <x:v>1</x:v>
      </x:c>
      <x:c r="D570" s="38" t="n">
        <x:v>4</x:v>
      </x:c>
      <x:c r="E570" s="44" t="n">
        <x:v>335</x:v>
      </x:c>
      <x:c r="F570" s="44" t="n">
        <x:v>1340</x:v>
      </x:c>
      <x:c r="G570" s="41" t="n">
        <x:v>1</x:v>
      </x:c>
      <x:c r="H570" s="44" t="n">
        <x:f>MAX(G570,0)*E570</x:f>
        <x:v>335</x:v>
      </x:c>
      <x:c r="I570" s="38" t="n">
        <x:v>3</x:v>
      </x:c>
      <x:c r="J570" s="44" t="n">
        <x:v>1800</x:v>
      </x:c>
      <x:c r="K570" s="32" t="n">
        <x:v>3</x:v>
      </x:c>
      <x:c r="L570" s="50" t="n">
        <x:v>45535.80662037037</x:v>
      </x:c>
      <x:c r="M570" s="50" t="n">
        <x:v>45870.79440972222</x:v>
      </x:c>
      <x:c r="N570" s="32" t="n">
        <x:f>IF(M570="","",MAX(0,'Resumen'!$B$3-M570))</x:f>
        <x:v>396.20559027777927</x:v>
      </x:c>
      <x:c r="O570" s="38" t="n">
        <x:v>0</x:v>
      </x:c>
      <x:c r="P570" s="38" t="n">
        <x:v>0</x:v>
      </x:c>
      <x:c r="Q570" s="38" t="n">
        <x:v>0</x:v>
      </x:c>
      <x:c r="R570" s="38" t="n">
        <x:f>MIN(D570,I570)</x:f>
        <x:v>3</x:v>
      </x:c>
      <x:c r="S570" s="47" t="n">
        <x:f>IFERROR(R570/D570,0)</x:f>
        <x:v>0.75</x:v>
      </x:c>
      <x:c r="T570" s="38" t="n">
        <x:f>MIN(MAX(G570,0),MAX(D570-I570,0))</x:f>
        <x:v>1</x:v>
      </x:c>
      <x:c r="U570" s="44" t="n">
        <x:f>T570*E570</x:f>
        <x:v>335</x:v>
      </x:c>
      <x:c r="V570" s="38" t="n">
        <x:v>0</x:v>
      </x:c>
      <x:c r="W570" s="32" t="n">
        <x:v>0</x:v>
      </x:c>
      <x:c r="X570" s="50"/>
      <x:c r="Y570" s="44" t="n">
        <x:v>600</x:v>
      </x:c>
      <x:c r="Z570" s="44" t="n">
        <x:f>IF(I570&gt;0,R570*(J570/I570),0)</x:f>
        <x:v>1800</x:v>
      </x:c>
      <x:c r="AA570" s="44" t="n">
        <x:f>Z570-(R570*E570)</x:f>
        <x:v>795</x:v>
      </x:c>
      <x:c r="AB570" s="47" t="n">
        <x:f>IFERROR(AA570/Z570,0)</x:f>
        <x:v>0.44166666666666665</x:v>
      </x:c>
      <x:c r="AC570" s="32" t="str">
        <x:f>IF(S570=0,"0%",IF(S570&lt;0.5,"1-49%",IF(S570&lt;0.8,"50-79%",IF(S570&lt;1,"80-99%","100%"))))</x:f>
        <x:v>50-79%</x:v>
      </x:c>
      <x:c r="AD570" s="33" t="str">
        <x:f>IF(G570&lt;0,"Stock negativo",IF(G570&lt;=0,"Sin stock actual",IF(I570&lt;=0,"Sin ventas desde compra",IF(Q570&lt;=0,"Con stock, sin ventas 365d",IF(S570&lt;0.5,"Rotación baja",IF(S570&lt;1,"Rotación media","Compra absorbida; stock repuesto"))))))</x:f>
        <x:v>Con stock, sin ventas 365d</x:v>
      </x:c>
    </x:row>
    <x:row r="571">
      <x:c r="A571" s="31" t="str">
        <x:v>4556</x:v>
      </x:c>
      <x:c r="B571" s="53" t="str">
        <x:v>TORNILLO HEX 8X55 CON NUCA  TORNIFRENOS</x:v>
      </x:c>
      <x:c r="C571" s="32" t="n">
        <x:v>1</x:v>
      </x:c>
      <x:c r="D571" s="38" t="n">
        <x:v>5</x:v>
      </x:c>
      <x:c r="E571" s="44" t="n">
        <x:v>260</x:v>
      </x:c>
      <x:c r="F571" s="44" t="n">
        <x:v>1300</x:v>
      </x:c>
      <x:c r="G571" s="41" t="n">
        <x:v>1</x:v>
      </x:c>
      <x:c r="H571" s="44" t="n">
        <x:f>MAX(G571,0)*E571</x:f>
        <x:v>260</x:v>
      </x:c>
      <x:c r="I571" s="38" t="n">
        <x:v>4</x:v>
      </x:c>
      <x:c r="J571" s="44" t="n">
        <x:v>2000</x:v>
      </x:c>
      <x:c r="K571" s="32" t="n">
        <x:v>3</x:v>
      </x:c>
      <x:c r="L571" s="50" t="n">
        <x:v>45548.85747685185</x:v>
      </x:c>
      <x:c r="M571" s="50" t="n">
        <x:v>45988.739953703705</x:v>
      </x:c>
      <x:c r="N571" s="32" t="n">
        <x:f>IF(M571="","",MAX(0,'Resumen'!$B$3-M571))</x:f>
        <x:v>278.2600462962946</x:v>
      </x:c>
      <x:c r="O571" s="38" t="n">
        <x:v>0</x:v>
      </x:c>
      <x:c r="P571" s="38" t="n">
        <x:v>0</x:v>
      </x:c>
      <x:c r="Q571" s="38" t="n">
        <x:v>1</x:v>
      </x:c>
      <x:c r="R571" s="38" t="n">
        <x:f>MIN(D571,I571)</x:f>
        <x:v>4</x:v>
      </x:c>
      <x:c r="S571" s="47" t="n">
        <x:f>IFERROR(R571/D571,0)</x:f>
        <x:v>0.8</x:v>
      </x:c>
      <x:c r="T571" s="38" t="n">
        <x:f>MIN(MAX(G571,0),MAX(D571-I571,0))</x:f>
        <x:v>1</x:v>
      </x:c>
      <x:c r="U571" s="44" t="n">
        <x:f>T571*E571</x:f>
        <x:v>260</x:v>
      </x:c>
      <x:c r="V571" s="38" t="n">
        <x:v>0</x:v>
      </x:c>
      <x:c r="W571" s="32" t="n">
        <x:v>0</x:v>
      </x:c>
      <x:c r="X571" s="50"/>
      <x:c r="Y571" s="44" t="n">
        <x:v>500</x:v>
      </x:c>
      <x:c r="Z571" s="44" t="n">
        <x:f>IF(I571&gt;0,R571*(J571/I571),0)</x:f>
        <x:v>2000</x:v>
      </x:c>
      <x:c r="AA571" s="44" t="n">
        <x:f>Z571-(R571*E571)</x:f>
        <x:v>960</x:v>
      </x:c>
      <x:c r="AB571" s="47" t="n">
        <x:f>IFERROR(AA571/Z571,0)</x:f>
        <x:v>0.48</x:v>
      </x:c>
      <x:c r="AC571" s="32" t="str">
        <x:f>IF(S571=0,"0%",IF(S571&lt;0.5,"1-49%",IF(S571&lt;0.8,"50-79%",IF(S571&lt;1,"80-99%","100%"))))</x:f>
        <x:v>80-99%</x:v>
      </x:c>
      <x:c r="AD571" s="33" t="str">
        <x:f>IF(G571&lt;0,"Stock negativo",IF(G571&lt;=0,"Sin stock actual",IF(I571&lt;=0,"Sin ventas desde compra",IF(Q571&lt;=0,"Con stock, sin ventas 365d",IF(S571&lt;0.5,"Rotación baja",IF(S571&lt;1,"Rotación media","Compra absorbida; stock repuesto"))))))</x:f>
        <x:v>Rotación media</x:v>
      </x:c>
    </x:row>
    <x:row r="572">
      <x:c r="A572" s="31" t="str">
        <x:v>766709</x:v>
      </x:c>
      <x:c r="B572" s="53" t="str">
        <x:v>EMPAQUE EXOSTO AKY TTR DARROW</x:v>
      </x:c>
      <x:c r="C572" s="32" t="n">
        <x:v>1</x:v>
      </x:c>
      <x:c r="D572" s="38" t="n">
        <x:v>1</x:v>
      </x:c>
      <x:c r="E572" s="44" t="n">
        <x:v>1200</x:v>
      </x:c>
      <x:c r="F572" s="44" t="n">
        <x:v>1200</x:v>
      </x:c>
      <x:c r="G572" s="41" t="n">
        <x:v>0</x:v>
      </x:c>
      <x:c r="H572" s="44" t="n">
        <x:f>MAX(G572,0)*E572</x:f>
        <x:v>0</x:v>
      </x:c>
      <x:c r="I572" s="38" t="n">
        <x:v>1</x:v>
      </x:c>
      <x:c r="J572" s="44" t="n">
        <x:v>2000</x:v>
      </x:c>
      <x:c r="K572" s="32" t="n">
        <x:v>1</x:v>
      </x:c>
      <x:c r="L572" s="50" t="n">
        <x:v>45587.58479166667</x:v>
      </x:c>
      <x:c r="M572" s="50" t="n">
        <x:v>45587.58479166667</x:v>
      </x:c>
      <x:c r="N572" s="32" t="n">
        <x:f>IF(M572="","",MAX(0,'Resumen'!$B$3-M572))</x:f>
        <x:v>679.415208333332</x:v>
      </x:c>
      <x:c r="O572" s="38" t="n">
        <x:v>0</x:v>
      </x:c>
      <x:c r="P572" s="38" t="n">
        <x:v>0</x:v>
      </x:c>
      <x:c r="Q572" s="38" t="n">
        <x:v>0</x:v>
      </x:c>
      <x:c r="R572" s="38" t="n">
        <x:f>MIN(D572,I572)</x:f>
        <x:v>1</x:v>
      </x:c>
      <x:c r="S572" s="47" t="n">
        <x:f>IFERROR(R572/D572,0)</x:f>
        <x:v>1</x:v>
      </x:c>
      <x:c r="T572" s="38" t="n">
        <x:f>MIN(MAX(G572,0),MAX(D572-I572,0))</x:f>
        <x:v>0</x:v>
      </x:c>
      <x:c r="U572" s="44" t="n">
        <x:f>T572*E572</x:f>
        <x:v>0</x:v>
      </x:c>
      <x:c r="V572" s="38" t="n">
        <x:v>0</x:v>
      </x:c>
      <x:c r="W572" s="32" t="n">
        <x:v>0</x:v>
      </x:c>
      <x:c r="X572" s="50"/>
      <x:c r="Y572" s="44" t="n">
        <x:v>2000</x:v>
      </x:c>
      <x:c r="Z572" s="44" t="n">
        <x:f>IF(I572&gt;0,R572*(J572/I572),0)</x:f>
        <x:v>2000</x:v>
      </x:c>
      <x:c r="AA572" s="44" t="n">
        <x:f>Z572-(R572*E572)</x:f>
        <x:v>800</x:v>
      </x:c>
      <x:c r="AB572" s="47" t="n">
        <x:f>IFERROR(AA572/Z572,0)</x:f>
        <x:v>0.4</x:v>
      </x:c>
      <x:c r="AC572" s="32" t="str">
        <x:f>IF(S572=0,"0%",IF(S572&lt;0.5,"1-49%",IF(S572&lt;0.8,"50-79%",IF(S572&lt;1,"80-99%","100%"))))</x:f>
        <x:v>100%</x:v>
      </x:c>
      <x:c r="AD572" s="33" t="str">
        <x:f>IF(G572&lt;0,"Stock negativo",IF(G572&lt;=0,"Sin stock actual",IF(I572&lt;=0,"Sin ventas desde compra",IF(Q572&lt;=0,"Con stock, sin ventas 365d",IF(S572&lt;0.5,"Rotación baja",IF(S572&lt;1,"Rotación media","Compra absorbida; stock repuesto"))))))</x:f>
        <x:v>Sin stock actual</x:v>
      </x:c>
    </x:row>
    <x:row r="573">
      <x:c r="A573" s="31" t="str">
        <x:v>AH36885</x:v>
      </x:c>
      <x:c r="B573" s="53" t="str">
        <x:v>BOMBILLO PS P15 D 25 - 1 12 V SUPER WHITHE DUNA</x:v>
      </x:c>
      <x:c r="C573" s="32" t="n">
        <x:v>1</x:v>
      </x:c>
      <x:c r="D573" s="38" t="n">
        <x:v>1</x:v>
      </x:c>
      <x:c r="E573" s="44" t="n">
        <x:v>1200</x:v>
      </x:c>
      <x:c r="F573" s="44" t="n">
        <x:v>1200</x:v>
      </x:c>
      <x:c r="G573" s="41" t="n">
        <x:v>0</x:v>
      </x:c>
      <x:c r="H573" s="44" t="n">
        <x:f>MAX(G573,0)*E573</x:f>
        <x:v>0</x:v>
      </x:c>
      <x:c r="I573" s="38" t="n">
        <x:v>1</x:v>
      </x:c>
      <x:c r="J573" s="44" t="n">
        <x:v>5000</x:v>
      </x:c>
      <x:c r="K573" s="32" t="n">
        <x:v>1</x:v>
      </x:c>
      <x:c r="L573" s="50" t="n">
        <x:v>45556.67652777778</x:v>
      </x:c>
      <x:c r="M573" s="50" t="n">
        <x:v>45556.67652777778</x:v>
      </x:c>
      <x:c r="N573" s="32" t="n">
        <x:f>IF(M573="","",MAX(0,'Resumen'!$B$3-M573))</x:f>
        <x:v>710.3234722222187</x:v>
      </x:c>
      <x:c r="O573" s="38" t="n">
        <x:v>0</x:v>
      </x:c>
      <x:c r="P573" s="38" t="n">
        <x:v>0</x:v>
      </x:c>
      <x:c r="Q573" s="38" t="n">
        <x:v>0</x:v>
      </x:c>
      <x:c r="R573" s="38" t="n">
        <x:f>MIN(D573,I573)</x:f>
        <x:v>1</x:v>
      </x:c>
      <x:c r="S573" s="47" t="n">
        <x:f>IFERROR(R573/D573,0)</x:f>
        <x:v>1</x:v>
      </x:c>
      <x:c r="T573" s="38" t="n">
        <x:f>MIN(MAX(G573,0),MAX(D573-I573,0))</x:f>
        <x:v>0</x:v>
      </x:c>
      <x:c r="U573" s="44" t="n">
        <x:f>T573*E573</x:f>
        <x:v>0</x:v>
      </x:c>
      <x:c r="V573" s="38" t="n">
        <x:v>0</x:v>
      </x:c>
      <x:c r="W573" s="32" t="n">
        <x:v>0</x:v>
      </x:c>
      <x:c r="X573" s="50"/>
      <x:c r="Y573" s="44" t="n">
        <x:v>2000</x:v>
      </x:c>
      <x:c r="Z573" s="44" t="n">
        <x:f>IF(I573&gt;0,R573*(J573/I573),0)</x:f>
        <x:v>5000</x:v>
      </x:c>
      <x:c r="AA573" s="44" t="n">
        <x:f>Z573-(R573*E573)</x:f>
        <x:v>3800</x:v>
      </x:c>
      <x:c r="AB573" s="47" t="n">
        <x:f>IFERROR(AA573/Z573,0)</x:f>
        <x:v>0.76</x:v>
      </x:c>
      <x:c r="AC573" s="32" t="str">
        <x:f>IF(S573=0,"0%",IF(S573&lt;0.5,"1-49%",IF(S573&lt;0.8,"50-79%",IF(S573&lt;1,"80-99%","100%"))))</x:f>
        <x:v>100%</x:v>
      </x:c>
      <x:c r="AD573" s="33" t="str">
        <x:f>IF(G573&lt;0,"Stock negativo",IF(G573&lt;=0,"Sin stock actual",IF(I573&lt;=0,"Sin ventas desde compra",IF(Q573&lt;=0,"Con stock, sin ventas 365d",IF(S573&lt;0.5,"Rotación baja",IF(S573&lt;1,"Rotación media","Compra absorbida; stock repuesto"))))))</x:f>
        <x:v>Sin stock actual</x:v>
      </x:c>
    </x:row>
    <x:row r="574">
      <x:c r="A574" s="31" t="str">
        <x:v>AH730302</x:v>
      </x:c>
      <x:c r="B574" s="53" t="str">
        <x:v>BOMBILLO HS PR 225 12 V SUPER WHITHE DUNA</x:v>
      </x:c>
      <x:c r="C574" s="32" t="n">
        <x:v>1</x:v>
      </x:c>
      <x:c r="D574" s="38" t="n">
        <x:v>1</x:v>
      </x:c>
      <x:c r="E574" s="44" t="n">
        <x:v>1200</x:v>
      </x:c>
      <x:c r="F574" s="44" t="n">
        <x:v>1200</x:v>
      </x:c>
      <x:c r="G574" s="41" t="n">
        <x:v>1</x:v>
      </x:c>
      <x:c r="H574" s="44" t="n">
        <x:f>MAX(G574,0)*E574</x:f>
        <x:v>1200</x:v>
      </x:c>
      <x:c r="I574" s="38" t="n">
        <x:v>0</x:v>
      </x:c>
      <x:c r="J574" s="44" t="n">
        <x:v>0</x:v>
      </x:c>
      <x:c r="K574" s="32" t="n">
        <x:v>0</x:v>
      </x:c>
      <x:c r="L574" s="50"/>
      <x:c r="M574" s="50"/>
      <x:c r="N574" s="32" t="str">
        <x:f>IF(M574="","",MAX(0,'Resumen'!$B$3-M574))</x:f>
      </x:c>
      <x:c r="O574" s="38" t="n">
        <x:v>0</x:v>
      </x:c>
      <x:c r="P574" s="38" t="n">
        <x:v>0</x:v>
      </x:c>
      <x:c r="Q574" s="38" t="n">
        <x:v>0</x:v>
      </x:c>
      <x:c r="R574" s="38" t="n">
        <x:f>MIN(D574,I574)</x:f>
        <x:v>0</x:v>
      </x:c>
      <x:c r="S574" s="47" t="n">
        <x:f>IFERROR(R574/D574,0)</x:f>
        <x:v>0</x:v>
      </x:c>
      <x:c r="T574" s="38" t="n">
        <x:f>MIN(MAX(G574,0),MAX(D574-I574,0))</x:f>
        <x:v>1</x:v>
      </x:c>
      <x:c r="U574" s="44" t="n">
        <x:f>T574*E574</x:f>
        <x:v>1200</x:v>
      </x:c>
      <x:c r="V574" s="38" t="n">
        <x:v>0</x:v>
      </x:c>
      <x:c r="W574" s="32" t="n">
        <x:v>0</x:v>
      </x:c>
      <x:c r="X574" s="50"/>
      <x:c r="Y574" s="44" t="n">
        <x:v>2000</x:v>
      </x:c>
      <x:c r="Z574" s="44" t="n">
        <x:f>IF(I574&gt;0,R574*(J574/I574),0)</x:f>
        <x:v>0</x:v>
      </x:c>
      <x:c r="AA574" s="44" t="n">
        <x:f>Z574-(R574*E574)</x:f>
        <x:v>0</x:v>
      </x:c>
      <x:c r="AB574" s="47" t="n">
        <x:f>IFERROR(AA574/Z574,0)</x:f>
        <x:v>0</x:v>
      </x:c>
      <x:c r="AC574" s="32" t="str">
        <x:f>IF(S574=0,"0%",IF(S574&lt;0.5,"1-49%",IF(S574&lt;0.8,"50-79%",IF(S574&lt;1,"80-99%","100%"))))</x:f>
        <x:v>0%</x:v>
      </x:c>
      <x:c r="AD574" s="33" t="str">
        <x:f>IF(G574&lt;0,"Stock negativo",IF(G574&lt;=0,"Sin stock actual",IF(I574&lt;=0,"Sin ventas desde compra",IF(Q574&lt;=0,"Con stock, sin ventas 365d",IF(S574&lt;0.5,"Rotación baja",IF(S574&lt;1,"Rotación media","Compra absorbida; stock repuesto"))))))</x:f>
        <x:v>Sin ventas desde compra</x:v>
      </x:c>
    </x:row>
    <x:row r="575">
      <x:c r="A575" s="31" t="str">
        <x:v>OR-111</x:v>
      </x:c>
      <x:c r="B575" s="53" t="str">
        <x:v>ORING 5/8</x:v>
      </x:c>
      <x:c r="C575" s="32" t="n">
        <x:v>1</x:v>
      </x:c>
      <x:c r="D575" s="38" t="n">
        <x:v>3</x:v>
      </x:c>
      <x:c r="E575" s="44" t="n">
        <x:v>335</x:v>
      </x:c>
      <x:c r="F575" s="44" t="n">
        <x:v>1005</x:v>
      </x:c>
      <x:c r="G575" s="41" t="n">
        <x:v>3</x:v>
      </x:c>
      <x:c r="H575" s="44" t="n">
        <x:f>MAX(G575,0)*E575</x:f>
        <x:v>1005</x:v>
      </x:c>
      <x:c r="I575" s="38" t="n">
        <x:v>0</x:v>
      </x:c>
      <x:c r="J575" s="44" t="n">
        <x:v>0</x:v>
      </x:c>
      <x:c r="K575" s="32" t="n">
        <x:v>0</x:v>
      </x:c>
      <x:c r="L575" s="50"/>
      <x:c r="M575" s="50"/>
      <x:c r="N575" s="32" t="str">
        <x:f>IF(M575="","",MAX(0,'Resumen'!$B$3-M575))</x:f>
      </x:c>
      <x:c r="O575" s="38" t="n">
        <x:v>0</x:v>
      </x:c>
      <x:c r="P575" s="38" t="n">
        <x:v>0</x:v>
      </x:c>
      <x:c r="Q575" s="38" t="n">
        <x:v>0</x:v>
      </x:c>
      <x:c r="R575" s="38" t="n">
        <x:f>MIN(D575,I575)</x:f>
        <x:v>0</x:v>
      </x:c>
      <x:c r="S575" s="47" t="n">
        <x:f>IFERROR(R575/D575,0)</x:f>
        <x:v>0</x:v>
      </x:c>
      <x:c r="T575" s="38" t="n">
        <x:f>MIN(MAX(G575,0),MAX(D575-I575,0))</x:f>
        <x:v>3</x:v>
      </x:c>
      <x:c r="U575" s="44" t="n">
        <x:f>T575*E575</x:f>
        <x:v>1005</x:v>
      </x:c>
      <x:c r="V575" s="38" t="n">
        <x:v>0</x:v>
      </x:c>
      <x:c r="W575" s="32" t="n">
        <x:v>0</x:v>
      </x:c>
      <x:c r="X575" s="50"/>
      <x:c r="Y575" s="44" t="n">
        <x:v>600</x:v>
      </x:c>
      <x:c r="Z575" s="44" t="n">
        <x:f>IF(I575&gt;0,R575*(J575/I575),0)</x:f>
        <x:v>0</x:v>
      </x:c>
      <x:c r="AA575" s="44" t="n">
        <x:f>Z575-(R575*E575)</x:f>
        <x:v>0</x:v>
      </x:c>
      <x:c r="AB575" s="47" t="n">
        <x:f>IFERROR(AA575/Z575,0)</x:f>
        <x:v>0</x:v>
      </x:c>
      <x:c r="AC575" s="32" t="str">
        <x:f>IF(S575=0,"0%",IF(S575&lt;0.5,"1-49%",IF(S575&lt;0.8,"50-79%",IF(S575&lt;1,"80-99%","100%"))))</x:f>
        <x:v>0%</x:v>
      </x:c>
      <x:c r="AD575" s="33" t="str">
        <x:f>IF(G575&lt;0,"Stock negativo",IF(G575&lt;=0,"Sin stock actual",IF(I575&lt;=0,"Sin ventas desde compra",IF(Q575&lt;=0,"Con stock, sin ventas 365d",IF(S575&lt;0.5,"Rotación baja",IF(S575&lt;1,"Rotación media","Compra absorbida; stock repuesto"))))))</x:f>
        <x:v>Sin ventas desde compra</x:v>
      </x:c>
    </x:row>
    <x:row r="576">
      <x:c r="A576" s="31" t="str">
        <x:v>OR-325</x:v>
      </x:c>
      <x:c r="B576" s="53" t="str">
        <x:v>ORING 1.1/2</x:v>
      </x:c>
      <x:c r="C576" s="32" t="n">
        <x:v>1</x:v>
      </x:c>
      <x:c r="D576" s="38" t="n">
        <x:v>3</x:v>
      </x:c>
      <x:c r="E576" s="44" t="n">
        <x:v>335</x:v>
      </x:c>
      <x:c r="F576" s="44" t="n">
        <x:v>1005</x:v>
      </x:c>
      <x:c r="G576" s="41" t="n">
        <x:v>3</x:v>
      </x:c>
      <x:c r="H576" s="44" t="n">
        <x:f>MAX(G576,0)*E576</x:f>
        <x:v>1005</x:v>
      </x:c>
      <x:c r="I576" s="38" t="n">
        <x:v>0</x:v>
      </x:c>
      <x:c r="J576" s="44" t="n">
        <x:v>0</x:v>
      </x:c>
      <x:c r="K576" s="32" t="n">
        <x:v>0</x:v>
      </x:c>
      <x:c r="L576" s="50"/>
      <x:c r="M576" s="50"/>
      <x:c r="N576" s="32" t="str">
        <x:f>IF(M576="","",MAX(0,'Resumen'!$B$3-M576))</x:f>
      </x:c>
      <x:c r="O576" s="38" t="n">
        <x:v>0</x:v>
      </x:c>
      <x:c r="P576" s="38" t="n">
        <x:v>0</x:v>
      </x:c>
      <x:c r="Q576" s="38" t="n">
        <x:v>0</x:v>
      </x:c>
      <x:c r="R576" s="38" t="n">
        <x:f>MIN(D576,I576)</x:f>
        <x:v>0</x:v>
      </x:c>
      <x:c r="S576" s="47" t="n">
        <x:f>IFERROR(R576/D576,0)</x:f>
        <x:v>0</x:v>
      </x:c>
      <x:c r="T576" s="38" t="n">
        <x:f>MIN(MAX(G576,0),MAX(D576-I576,0))</x:f>
        <x:v>3</x:v>
      </x:c>
      <x:c r="U576" s="44" t="n">
        <x:f>T576*E576</x:f>
        <x:v>1005</x:v>
      </x:c>
      <x:c r="V576" s="38" t="n">
        <x:v>0</x:v>
      </x:c>
      <x:c r="W576" s="32" t="n">
        <x:v>0</x:v>
      </x:c>
      <x:c r="X576" s="50"/>
      <x:c r="Y576" s="44" t="n">
        <x:v>600</x:v>
      </x:c>
      <x:c r="Z576" s="44" t="n">
        <x:f>IF(I576&gt;0,R576*(J576/I576),0)</x:f>
        <x:v>0</x:v>
      </x:c>
      <x:c r="AA576" s="44" t="n">
        <x:f>Z576-(R576*E576)</x:f>
        <x:v>0</x:v>
      </x:c>
      <x:c r="AB576" s="47" t="n">
        <x:f>IFERROR(AA576/Z576,0)</x:f>
        <x:v>0</x:v>
      </x:c>
      <x:c r="AC576" s="32" t="str">
        <x:f>IF(S576=0,"0%",IF(S576&lt;0.5,"1-49%",IF(S576&lt;0.8,"50-79%",IF(S576&lt;1,"80-99%","100%"))))</x:f>
        <x:v>0%</x:v>
      </x:c>
      <x:c r="AD576" s="33" t="str">
        <x:f>IF(G576&lt;0,"Stock negativo",IF(G576&lt;=0,"Sin stock actual",IF(I576&lt;=0,"Sin ventas desde compra",IF(Q576&lt;=0,"Con stock, sin ventas 365d",IF(S576&lt;0.5,"Rotación baja",IF(S576&lt;1,"Rotación media","Compra absorbida; stock repuesto"))))))</x:f>
        <x:v>Sin ventas desde compra</x:v>
      </x:c>
    </x:row>
    <x:row r="577">
      <x:c r="A577" s="31" t="str">
        <x:v>MOTS1200</x:v>
      </x:c>
      <x:c r="B577" s="53" t="str">
        <x:v>EMPAQUE EXOSTO BWS MOTOTEC</x:v>
      </x:c>
      <x:c r="C577" s="32" t="n">
        <x:v>1</x:v>
      </x:c>
      <x:c r="D577" s="38" t="n">
        <x:v>1</x:v>
      </x:c>
      <x:c r="E577" s="44" t="n">
        <x:v>1000</x:v>
      </x:c>
      <x:c r="F577" s="44" t="n">
        <x:v>1000</x:v>
      </x:c>
      <x:c r="G577" s="41" t="n">
        <x:v>0</x:v>
      </x:c>
      <x:c r="H577" s="44" t="n">
        <x:f>MAX(G577,0)*E577</x:f>
        <x:v>0</x:v>
      </x:c>
      <x:c r="I577" s="38" t="n">
        <x:v>1</x:v>
      </x:c>
      <x:c r="J577" s="44" t="n">
        <x:v>2000</x:v>
      </x:c>
      <x:c r="K577" s="32" t="n">
        <x:v>1</x:v>
      </x:c>
      <x:c r="L577" s="50" t="n">
        <x:v>45792.6171412037</x:v>
      </x:c>
      <x:c r="M577" s="50" t="n">
        <x:v>45792.6171412037</x:v>
      </x:c>
      <x:c r="N577" s="32" t="n">
        <x:f>IF(M577="","",MAX(0,'Resumen'!$B$3-M577))</x:f>
        <x:v>474.38285879629984</x:v>
      </x:c>
      <x:c r="O577" s="38" t="n">
        <x:v>0</x:v>
      </x:c>
      <x:c r="P577" s="38" t="n">
        <x:v>0</x:v>
      </x:c>
      <x:c r="Q577" s="38" t="n">
        <x:v>0</x:v>
      </x:c>
      <x:c r="R577" s="38" t="n">
        <x:f>MIN(D577,I577)</x:f>
        <x:v>1</x:v>
      </x:c>
      <x:c r="S577" s="47" t="n">
        <x:f>IFERROR(R577/D577,0)</x:f>
        <x:v>1</x:v>
      </x:c>
      <x:c r="T577" s="38" t="n">
        <x:f>MIN(MAX(G577,0),MAX(D577-I577,0))</x:f>
        <x:v>0</x:v>
      </x:c>
      <x:c r="U577" s="44" t="n">
        <x:f>T577*E577</x:f>
        <x:v>0</x:v>
      </x:c>
      <x:c r="V577" s="38" t="n">
        <x:v>0</x:v>
      </x:c>
      <x:c r="W577" s="32" t="n">
        <x:v>0</x:v>
      </x:c>
      <x:c r="X577" s="50"/>
      <x:c r="Y577" s="44" t="n">
        <x:v>2000</x:v>
      </x:c>
      <x:c r="Z577" s="44" t="n">
        <x:f>IF(I577&gt;0,R577*(J577/I577),0)</x:f>
        <x:v>2000</x:v>
      </x:c>
      <x:c r="AA577" s="44" t="n">
        <x:f>Z577-(R577*E577)</x:f>
        <x:v>1000</x:v>
      </x:c>
      <x:c r="AB577" s="47" t="n">
        <x:f>IFERROR(AA577/Z577,0)</x:f>
        <x:v>0.5</x:v>
      </x:c>
      <x:c r="AC577" s="32" t="str">
        <x:f>IF(S577=0,"0%",IF(S577&lt;0.5,"1-49%",IF(S577&lt;0.8,"50-79%",IF(S577&lt;1,"80-99%","100%"))))</x:f>
        <x:v>100%</x:v>
      </x:c>
      <x:c r="AD577" s="33" t="str">
        <x:f>IF(G577&lt;0,"Stock negativo",IF(G577&lt;=0,"Sin stock actual",IF(I577&lt;=0,"Sin ventas desde compra",IF(Q577&lt;=0,"Con stock, sin ventas 365d",IF(S577&lt;0.5,"Rotación baja",IF(S577&lt;1,"Rotación media","Compra absorbida; stock repuesto"))))))</x:f>
        <x:v>Sin stock actual</x:v>
      </x:c>
    </x:row>
    <x:row r="578">
      <x:c r="A578" s="31" t="str">
        <x:v>MOTS1131</x:v>
      </x:c>
      <x:c r="B578" s="53" t="str">
        <x:v>WASA PRESION 14MM TORNIFRENOS</x:v>
      </x:c>
      <x:c r="C578" s="32" t="n">
        <x:v>1</x:v>
      </x:c>
      <x:c r="D578" s="38" t="n">
        <x:v>19</x:v>
      </x:c>
      <x:c r="E578" s="44" t="n">
        <x:v>49</x:v>
      </x:c>
      <x:c r="F578" s="44" t="n">
        <x:v>931</x:v>
      </x:c>
      <x:c r="G578" s="41" t="n">
        <x:v>19</x:v>
      </x:c>
      <x:c r="H578" s="44" t="n">
        <x:f>MAX(G578,0)*E578</x:f>
        <x:v>931</x:v>
      </x:c>
      <x:c r="I578" s="38" t="n">
        <x:v>0</x:v>
      </x:c>
      <x:c r="J578" s="44" t="n">
        <x:v>0</x:v>
      </x:c>
      <x:c r="K578" s="32" t="n">
        <x:v>0</x:v>
      </x:c>
      <x:c r="L578" s="50"/>
      <x:c r="M578" s="50"/>
      <x:c r="N578" s="32" t="str">
        <x:f>IF(M578="","",MAX(0,'Resumen'!$B$3-M578))</x:f>
      </x:c>
      <x:c r="O578" s="38" t="n">
        <x:v>0</x:v>
      </x:c>
      <x:c r="P578" s="38" t="n">
        <x:v>0</x:v>
      </x:c>
      <x:c r="Q578" s="38" t="n">
        <x:v>0</x:v>
      </x:c>
      <x:c r="R578" s="38" t="n">
        <x:f>MIN(D578,I578)</x:f>
        <x:v>0</x:v>
      </x:c>
      <x:c r="S578" s="47" t="n">
        <x:f>IFERROR(R578/D578,0)</x:f>
        <x:v>0</x:v>
      </x:c>
      <x:c r="T578" s="38" t="n">
        <x:f>MIN(MAX(G578,0),MAX(D578-I578,0))</x:f>
        <x:v>19</x:v>
      </x:c>
      <x:c r="U578" s="44" t="n">
        <x:f>T578*E578</x:f>
        <x:v>931</x:v>
      </x:c>
      <x:c r="V578" s="38" t="n">
        <x:v>0</x:v>
      </x:c>
      <x:c r="W578" s="32" t="n">
        <x:v>0</x:v>
      </x:c>
      <x:c r="X578" s="50"/>
      <x:c r="Y578" s="44" t="n">
        <x:v>100</x:v>
      </x:c>
      <x:c r="Z578" s="44" t="n">
        <x:f>IF(I578&gt;0,R578*(J578/I578),0)</x:f>
        <x:v>0</x:v>
      </x:c>
      <x:c r="AA578" s="44" t="n">
        <x:f>Z578-(R578*E578)</x:f>
        <x:v>0</x:v>
      </x:c>
      <x:c r="AB578" s="47" t="n">
        <x:f>IFERROR(AA578/Z578,0)</x:f>
        <x:v>0</x:v>
      </x:c>
      <x:c r="AC578" s="32" t="str">
        <x:f>IF(S578=0,"0%",IF(S578&lt;0.5,"1-49%",IF(S578&lt;0.8,"50-79%",IF(S578&lt;1,"80-99%","100%"))))</x:f>
        <x:v>0%</x:v>
      </x:c>
      <x:c r="AD578" s="33" t="str">
        <x:f>IF(G578&lt;0,"Stock negativo",IF(G578&lt;=0,"Sin stock actual",IF(I578&lt;=0,"Sin ventas desde compra",IF(Q578&lt;=0,"Con stock, sin ventas 365d",IF(S578&lt;0.5,"Rotación baja",IF(S578&lt;1,"Rotación media","Compra absorbida; stock repuesto"))))))</x:f>
        <x:v>Sin ventas desde compra</x:v>
      </x:c>
    </x:row>
    <x:row r="579">
      <x:c r="A579" s="31" t="str">
        <x:v>EMP - 007549</x:v>
      </x:c>
      <x:c r="B579" s="53" t="str">
        <x:v>EMPAQUE EXOSTO BOXER / VIVAX / BAST SYK</x:v>
      </x:c>
      <x:c r="C579" s="32" t="n">
        <x:v>1</x:v>
      </x:c>
      <x:c r="D579" s="38" t="n">
        <x:v>1</x:v>
      </x:c>
      <x:c r="E579" s="44" t="n">
        <x:v>800</x:v>
      </x:c>
      <x:c r="F579" s="44" t="n">
        <x:v>800</x:v>
      </x:c>
      <x:c r="G579" s="41" t="n">
        <x:v>-2</x:v>
      </x:c>
      <x:c r="H579" s="44" t="n">
        <x:f>MAX(G579,0)*E579</x:f>
        <x:v>0</x:v>
      </x:c>
      <x:c r="I579" s="38" t="n">
        <x:v>3</x:v>
      </x:c>
      <x:c r="J579" s="44" t="n">
        <x:v>4500</x:v>
      </x:c>
      <x:c r="K579" s="32" t="n">
        <x:v>2</x:v>
      </x:c>
      <x:c r="L579" s="50" t="n">
        <x:v>45506.6730787037</x:v>
      </x:c>
      <x:c r="M579" s="50" t="n">
        <x:v>45596.5962037037</x:v>
      </x:c>
      <x:c r="N579" s="32" t="n">
        <x:f>IF(M579="","",MAX(0,'Resumen'!$B$3-M579))</x:f>
        <x:v>670.4037962962975</x:v>
      </x:c>
      <x:c r="O579" s="38" t="n">
        <x:v>0</x:v>
      </x:c>
      <x:c r="P579" s="38" t="n">
        <x:v>0</x:v>
      </x:c>
      <x:c r="Q579" s="38" t="n">
        <x:v>0</x:v>
      </x:c>
      <x:c r="R579" s="38" t="n">
        <x:f>MIN(D579,I579)</x:f>
        <x:v>1</x:v>
      </x:c>
      <x:c r="S579" s="47" t="n">
        <x:f>IFERROR(R579/D579,0)</x:f>
        <x:v>1</x:v>
      </x:c>
      <x:c r="T579" s="38" t="n">
        <x:f>MIN(MAX(G579,0),MAX(D579-I579,0))</x:f>
        <x:v>0</x:v>
      </x:c>
      <x:c r="U579" s="44" t="n">
        <x:f>T579*E579</x:f>
        <x:v>0</x:v>
      </x:c>
      <x:c r="V579" s="38" t="n">
        <x:v>0</x:v>
      </x:c>
      <x:c r="W579" s="32" t="n">
        <x:v>0</x:v>
      </x:c>
      <x:c r="X579" s="50"/>
      <x:c r="Y579" s="44" t="n">
        <x:v>1500</x:v>
      </x:c>
      <x:c r="Z579" s="44" t="n">
        <x:f>IF(I579&gt;0,R579*(J579/I579),0)</x:f>
        <x:v>1500</x:v>
      </x:c>
      <x:c r="AA579" s="44" t="n">
        <x:f>Z579-(R579*E579)</x:f>
        <x:v>700</x:v>
      </x:c>
      <x:c r="AB579" s="47" t="n">
        <x:f>IFERROR(AA579/Z579,0)</x:f>
        <x:v>0.4666666666666667</x:v>
      </x:c>
      <x:c r="AC579" s="32" t="str">
        <x:f>IF(S579=0,"0%",IF(S579&lt;0.5,"1-49%",IF(S579&lt;0.8,"50-79%",IF(S579&lt;1,"80-99%","100%"))))</x:f>
        <x:v>100%</x:v>
      </x:c>
      <x:c r="AD579" s="33" t="str">
        <x:f>IF(G579&lt;0,"Stock negativo",IF(G579&lt;=0,"Sin stock actual",IF(I579&lt;=0,"Sin ventas desde compra",IF(Q579&lt;=0,"Con stock, sin ventas 365d",IF(S579&lt;0.5,"Rotación baja",IF(S579&lt;1,"Rotación media","Compra absorbida; stock repuesto"))))))</x:f>
        <x:v>Stock negativo</x:v>
      </x:c>
    </x:row>
    <x:row r="580">
      <x:c r="A580" s="31" t="str">
        <x:v>OR-116</x:v>
      </x:c>
      <x:c r="B580" s="53" t="str">
        <x:v>ORING 3/4</x:v>
      </x:c>
      <x:c r="C580" s="32" t="n">
        <x:v>1</x:v>
      </x:c>
      <x:c r="D580" s="38" t="n">
        <x:v>2</x:v>
      </x:c>
      <x:c r="E580" s="44" t="n">
        <x:v>335</x:v>
      </x:c>
      <x:c r="F580" s="44" t="n">
        <x:v>670</x:v>
      </x:c>
      <x:c r="G580" s="41" t="n">
        <x:v>0</x:v>
      </x:c>
      <x:c r="H580" s="44" t="n">
        <x:f>MAX(G580,0)*E580</x:f>
        <x:v>0</x:v>
      </x:c>
      <x:c r="I580" s="38" t="n">
        <x:v>2</x:v>
      </x:c>
      <x:c r="J580" s="44" t="n">
        <x:v>1200</x:v>
      </x:c>
      <x:c r="K580" s="32" t="n">
        <x:v>2</x:v>
      </x:c>
      <x:c r="L580" s="50" t="n">
        <x:v>45533.57548611111</x:v>
      </x:c>
      <x:c r="M580" s="50" t="n">
        <x:v>45594.81116898148</x:v>
      </x:c>
      <x:c r="N580" s="32" t="n">
        <x:f>IF(M580="","",MAX(0,'Resumen'!$B$3-M580))</x:f>
        <x:v>672.1888310185168</x:v>
      </x:c>
      <x:c r="O580" s="38" t="n">
        <x:v>0</x:v>
      </x:c>
      <x:c r="P580" s="38" t="n">
        <x:v>0</x:v>
      </x:c>
      <x:c r="Q580" s="38" t="n">
        <x:v>0</x:v>
      </x:c>
      <x:c r="R580" s="38" t="n">
        <x:f>MIN(D580,I580)</x:f>
        <x:v>2</x:v>
      </x:c>
      <x:c r="S580" s="47" t="n">
        <x:f>IFERROR(R580/D580,0)</x:f>
        <x:v>1</x:v>
      </x:c>
      <x:c r="T580" s="38" t="n">
        <x:f>MIN(MAX(G580,0),MAX(D580-I580,0))</x:f>
        <x:v>0</x:v>
      </x:c>
      <x:c r="U580" s="44" t="n">
        <x:f>T580*E580</x:f>
        <x:v>0</x:v>
      </x:c>
      <x:c r="V580" s="38" t="n">
        <x:v>0</x:v>
      </x:c>
      <x:c r="W580" s="32" t="n">
        <x:v>0</x:v>
      </x:c>
      <x:c r="X580" s="50"/>
      <x:c r="Y580" s="44" t="n">
        <x:v>600</x:v>
      </x:c>
      <x:c r="Z580" s="44" t="n">
        <x:f>IF(I580&gt;0,R580*(J580/I580),0)</x:f>
        <x:v>1200</x:v>
      </x:c>
      <x:c r="AA580" s="44" t="n">
        <x:f>Z580-(R580*E580)</x:f>
        <x:v>530</x:v>
      </x:c>
      <x:c r="AB580" s="47" t="n">
        <x:f>IFERROR(AA580/Z580,0)</x:f>
        <x:v>0.44166666666666665</x:v>
      </x:c>
      <x:c r="AC580" s="32" t="str">
        <x:f>IF(S580=0,"0%",IF(S580&lt;0.5,"1-49%",IF(S580&lt;0.8,"50-79%",IF(S580&lt;1,"80-99%","100%"))))</x:f>
        <x:v>100%</x:v>
      </x:c>
      <x:c r="AD580" s="33" t="str">
        <x:f>IF(G580&lt;0,"Stock negativo",IF(G580&lt;=0,"Sin stock actual",IF(I580&lt;=0,"Sin ventas desde compra",IF(Q580&lt;=0,"Con stock, sin ventas 365d",IF(S580&lt;0.5,"Rotación baja",IF(S580&lt;1,"Rotación media","Compra absorbida; stock repuesto"))))))</x:f>
        <x:v>Sin stock actual</x:v>
      </x:c>
    </x:row>
    <x:row r="581">
      <x:c r="A581" s="31" t="str">
        <x:v>TOR - 0360</x:v>
      </x:c>
      <x:c r="B581" s="53" t="str">
        <x:v>TORNILLO ESTRELLA 6 X30 TORNIFRENOS</x:v>
      </x:c>
      <x:c r="C581" s="32" t="n">
        <x:v>1</x:v>
      </x:c>
      <x:c r="D581" s="38" t="n">
        <x:v>4</x:v>
      </x:c>
      <x:c r="E581" s="44" t="n">
        <x:v>146</x:v>
      </x:c>
      <x:c r="F581" s="44" t="n">
        <x:v>584</x:v>
      </x:c>
      <x:c r="G581" s="41" t="n">
        <x:v>4</x:v>
      </x:c>
      <x:c r="H581" s="44" t="n">
        <x:f>MAX(G581,0)*E581</x:f>
        <x:v>584</x:v>
      </x:c>
      <x:c r="I581" s="38" t="n">
        <x:v>0</x:v>
      </x:c>
      <x:c r="J581" s="44" t="n">
        <x:v>0</x:v>
      </x:c>
      <x:c r="K581" s="32" t="n">
        <x:v>0</x:v>
      </x:c>
      <x:c r="L581" s="50"/>
      <x:c r="M581" s="50"/>
      <x:c r="N581" s="32" t="str">
        <x:f>IF(M581="","",MAX(0,'Resumen'!$B$3-M581))</x:f>
      </x:c>
      <x:c r="O581" s="38" t="n">
        <x:v>0</x:v>
      </x:c>
      <x:c r="P581" s="38" t="n">
        <x:v>0</x:v>
      </x:c>
      <x:c r="Q581" s="38" t="n">
        <x:v>0</x:v>
      </x:c>
      <x:c r="R581" s="38" t="n">
        <x:f>MIN(D581,I581)</x:f>
        <x:v>0</x:v>
      </x:c>
      <x:c r="S581" s="47" t="n">
        <x:f>IFERROR(R581/D581,0)</x:f>
        <x:v>0</x:v>
      </x:c>
      <x:c r="T581" s="38" t="n">
        <x:f>MIN(MAX(G581,0),MAX(D581-I581,0))</x:f>
        <x:v>4</x:v>
      </x:c>
      <x:c r="U581" s="44" t="n">
        <x:f>T581*E581</x:f>
        <x:v>584</x:v>
      </x:c>
      <x:c r="V581" s="38" t="n">
        <x:v>0</x:v>
      </x:c>
      <x:c r="W581" s="32" t="n">
        <x:v>0</x:v>
      </x:c>
      <x:c r="X581" s="50"/>
      <x:c r="Y581" s="44" t="n">
        <x:v>500</x:v>
      </x:c>
      <x:c r="Z581" s="44" t="n">
        <x:f>IF(I581&gt;0,R581*(J581/I581),0)</x:f>
        <x:v>0</x:v>
      </x:c>
      <x:c r="AA581" s="44" t="n">
        <x:f>Z581-(R581*E581)</x:f>
        <x:v>0</x:v>
      </x:c>
      <x:c r="AB581" s="47" t="n">
        <x:f>IFERROR(AA581/Z581,0)</x:f>
        <x:v>0</x:v>
      </x:c>
      <x:c r="AC581" s="32" t="str">
        <x:f>IF(S581=0,"0%",IF(S581&lt;0.5,"1-49%",IF(S581&lt;0.8,"50-79%",IF(S581&lt;1,"80-99%","100%"))))</x:f>
        <x:v>0%</x:v>
      </x:c>
      <x:c r="AD581" s="33" t="str">
        <x:f>IF(G581&lt;0,"Stock negativo",IF(G581&lt;=0,"Sin stock actual",IF(I581&lt;=0,"Sin ventas desde compra",IF(Q581&lt;=0,"Con stock, sin ventas 365d",IF(S581&lt;0.5,"Rotación baja",IF(S581&lt;1,"Rotación media","Compra absorbida; stock repuesto"))))))</x:f>
        <x:v>Sin ventas desde compra</x:v>
      </x:c>
    </x:row>
    <x:row r="582">
      <x:c r="A582" s="34" t="str">
        <x:v>TOR - 0356</x:v>
      </x:c>
      <x:c r="B582" s="54" t="str">
        <x:v>TORNILLO ESTRELLA 6 X10 TORNIFRENOS</x:v>
      </x:c>
      <x:c r="C582" s="35" t="n">
        <x:v>1</x:v>
      </x:c>
      <x:c r="D582" s="39" t="n">
        <x:v>2</x:v>
      </x:c>
      <x:c r="E582" s="45" t="n">
        <x:v>142</x:v>
      </x:c>
      <x:c r="F582" s="45" t="n">
        <x:v>284</x:v>
      </x:c>
      <x:c r="G582" s="42" t="n">
        <x:v>0</x:v>
      </x:c>
      <x:c r="H582" s="45" t="n">
        <x:f>MAX(G582,0)*E582</x:f>
        <x:v>0</x:v>
      </x:c>
      <x:c r="I582" s="39" t="n">
        <x:v>2</x:v>
      </x:c>
      <x:c r="J582" s="45" t="n">
        <x:v>600</x:v>
      </x:c>
      <x:c r="K582" s="35" t="n">
        <x:v>1</x:v>
      </x:c>
      <x:c r="L582" s="51" t="n">
        <x:v>45784.84032407407</x:v>
      </x:c>
      <x:c r="M582" s="51" t="n">
        <x:v>45784.84032407407</x:v>
      </x:c>
      <x:c r="N582" s="35" t="n">
        <x:f>IF(M582="","",MAX(0,'Resumen'!$B$3-M582))</x:f>
        <x:v>482.1596759259264</x:v>
      </x:c>
      <x:c r="O582" s="39" t="n">
        <x:v>0</x:v>
      </x:c>
      <x:c r="P582" s="39" t="n">
        <x:v>0</x:v>
      </x:c>
      <x:c r="Q582" s="39" t="n">
        <x:v>0</x:v>
      </x:c>
      <x:c r="R582" s="39" t="n">
        <x:f>MIN(D582,I582)</x:f>
        <x:v>2</x:v>
      </x:c>
      <x:c r="S582" s="48" t="n">
        <x:f>IFERROR(R582/D582,0)</x:f>
        <x:v>1</x:v>
      </x:c>
      <x:c r="T582" s="39" t="n">
        <x:f>MIN(MAX(G582,0),MAX(D582-I582,0))</x:f>
        <x:v>0</x:v>
      </x:c>
      <x:c r="U582" s="45" t="n">
        <x:f>T582*E582</x:f>
        <x:v>0</x:v>
      </x:c>
      <x:c r="V582" s="39" t="n">
        <x:v>0</x:v>
      </x:c>
      <x:c r="W582" s="35" t="n">
        <x:v>0</x:v>
      </x:c>
      <x:c r="X582" s="51"/>
      <x:c r="Y582" s="45" t="n">
        <x:v>30</x:v>
      </x:c>
      <x:c r="Z582" s="45" t="n">
        <x:f>IF(I582&gt;0,R582*(J582/I582),0)</x:f>
        <x:v>600</x:v>
      </x:c>
      <x:c r="AA582" s="45" t="n">
        <x:f>Z582-(R582*E582)</x:f>
        <x:v>316</x:v>
      </x:c>
      <x:c r="AB582" s="48" t="n">
        <x:f>IFERROR(AA582/Z582,0)</x:f>
        <x:v>0.5266666666666666</x:v>
      </x:c>
      <x:c r="AC582" s="35" t="str">
        <x:f>IF(S582=0,"0%",IF(S582&lt;0.5,"1-49%",IF(S582&lt;0.8,"50-79%",IF(S582&lt;1,"80-99%","100%"))))</x:f>
        <x:v>100%</x:v>
      </x:c>
      <x:c r="AD582" s="36" t="str">
        <x:f>IF(G582&lt;0,"Stock negativo",IF(G582&lt;=0,"Sin stock actual",IF(I582&lt;=0,"Sin ventas desde compra",IF(Q582&lt;=0,"Con stock, sin ventas 365d",IF(S582&lt;0.5,"Rotación baja",IF(S582&lt;1,"Rotación media","Compra absorbida; stock repuesto"))))))</x:f>
        <x:v>Sin stock actual</x:v>
      </x:c>
    </x:row>
  </x:sheetData>
  <x:mergeCells>
    <x:mergeCell ref="A1:AD1"/>
    <x:mergeCell ref="A2:AD2"/>
  </x:mergeCells>
  <x:conditionalFormatting sqref="G5:G582">
    <x:cfRule type="cellIs" dxfId="0" priority="1" operator="lessThan">
      <x:formula>0</x:formula>
    </x:cfRule>
  </x:conditionalFormatting>
  <x:conditionalFormatting sqref="S5:S582">
    <x:cfRule type="colorScale" priority="2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7701c08b27aa460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43" hidden="0" customWidth="1"/>
    <x:col min="3" max="3" width="11" hidden="0" customWidth="1"/>
    <x:col min="4" max="4" width="14" hidden="0" customWidth="1"/>
    <x:col min="5" max="5" width="10" hidden="0" customWidth="1"/>
    <x:col min="6" max="6" width="16" hidden="0" customWidth="1"/>
    <x:col min="7" max="7" width="12" hidden="0" customWidth="1"/>
    <x:col min="8" max="8" width="10" hidden="0" customWidth="1"/>
    <x:col min="9" max="9" width="11" hidden="0" customWidth="1"/>
    <x:col min="10" max="10" width="11" hidden="0" customWidth="1"/>
    <x:col min="11" max="11" width="15" hidden="0" customWidth="1"/>
    <x:col min="12" max="12" width="27" hidden="0" customWidth="1"/>
  </x:cols>
  <x:sheetData>
    <x:row r="1" ht="32" customHeight="1">
      <x:c r="A1" s="3" t="str">
        <x:v>Riesgos y capital inmovilizado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24" customHeight="1">
      <x:c r="A2" s="6" t="str">
        <x:v>SKU con stock y sin ventas 365d, o con sell-through inferior a 50% · Ordenados por exposición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4" ht="32" customHeight="1">
      <x:c r="A4" s="15" t="str">
        <x:v>SKU</x:v>
      </x:c>
      <x:c r="B4" s="16" t="str">
        <x:v>Producto</x:v>
      </x:c>
      <x:c r="C4" s="16" t="str">
        <x:v>Compra unid.</x:v>
      </x:c>
      <x:c r="D4" s="16" t="str">
        <x:v>Costo factura</x:v>
      </x:c>
      <x:c r="E4" s="16" t="str">
        <x:v>Stock</x:v>
      </x:c>
      <x:c r="F4" s="16" t="str">
        <x:v>Valor stock costo original</x:v>
      </x:c>
      <x:c r="G4" s="16" t="str">
        <x:v>Vendidas desde</x:v>
      </x:c>
      <x:c r="H4" s="16" t="str">
        <x:v>Unid. 365d</x:v>
      </x:c>
      <x:c r="I4" s="16" t="str">
        <x:v>Días sin venta</x:v>
      </x:c>
      <x:c r="J4" s="16" t="str">
        <x:v>Sell-through</x:v>
      </x:c>
      <x:c r="K4" s="16" t="str">
        <x:v>Remanente mín. costo</x:v>
      </x:c>
      <x:c r="L4" s="17" t="str">
        <x:v>Estado</x:v>
      </x:c>
    </x:row>
    <x:row r="5">
      <x:c r="A5" s="28" t="str">
        <x:v>ARB - 0411694</x:v>
      </x:c>
      <x:c r="B5" s="52" t="str">
        <x:v>ARBOL LEVA ECO / SPLENDON / AC 100 SLEEK / C90 SYR</x:v>
      </x:c>
      <x:c r="C5" s="37" t="n">
        <x:v>2</x:v>
      </x:c>
      <x:c r="D5" s="180" t="n">
        <x:v>446000</x:v>
      </x:c>
      <x:c r="E5" s="37" t="n">
        <x:v>1</x:v>
      </x:c>
      <x:c r="F5" s="180" t="n">
        <x:v>223000</x:v>
      </x:c>
      <x:c r="G5" s="37" t="n">
        <x:v>1</x:v>
      </x:c>
      <x:c r="H5" s="37" t="n">
        <x:v>0</x:v>
      </x:c>
      <x:c r="I5" s="37" t="n">
        <x:v>456</x:v>
      </x:c>
      <x:c r="J5" s="46" t="n">
        <x:v>0.5</x:v>
      </x:c>
      <x:c r="K5" s="180" t="n">
        <x:v>223000</x:v>
      </x:c>
      <x:c r="L5" s="30" t="str">
        <x:v>Con stock, sin ventas 365d</x:v>
      </x:c>
    </x:row>
    <x:row r="6">
      <x:c r="A6" s="31" t="str">
        <x:v>DIR - 017</x:v>
      </x:c>
      <x:c r="B6" s="53" t="str">
        <x:v>DIRECCIONAL BWS DEL HUMO UND</x:v>
      </x:c>
      <x:c r="C6" s="38" t="n">
        <x:v>3</x:v>
      </x:c>
      <x:c r="D6" s="181" t="n">
        <x:v>234000</x:v>
      </x:c>
      <x:c r="E6" s="38" t="n">
        <x:v>2</x:v>
      </x:c>
      <x:c r="F6" s="181" t="n">
        <x:v>156000</x:v>
      </x:c>
      <x:c r="G6" s="38" t="n">
        <x:v>3</x:v>
      </x:c>
      <x:c r="H6" s="38" t="n">
        <x:v>0</x:v>
      </x:c>
      <x:c r="I6" s="38" t="n">
        <x:v>615</x:v>
      </x:c>
      <x:c r="J6" s="47" t="n">
        <x:v>1</x:v>
      </x:c>
      <x:c r="K6" s="181" t="n">
        <x:v>0</x:v>
      </x:c>
      <x:c r="L6" s="33" t="str">
        <x:v>Con stock, sin ventas 365d</x:v>
      </x:c>
    </x:row>
    <x:row r="7">
      <x:c r="A7" s="31" t="str">
        <x:v>MOTS1097</x:v>
      </x:c>
      <x:c r="B7" s="53" t="str">
        <x:v>RETEN 16-28-7</x:v>
      </x:c>
      <x:c r="C7" s="38" t="n">
        <x:v>10</x:v>
      </x:c>
      <x:c r="D7" s="181" t="n">
        <x:v>150000</x:v>
      </x:c>
      <x:c r="E7" s="38" t="n">
        <x:v>10</x:v>
      </x:c>
      <x:c r="F7" s="181" t="n">
        <x:v>150000</x:v>
      </x:c>
      <x:c r="G7" s="38" t="n">
        <x:v>0</x:v>
      </x:c>
      <x:c r="H7" s="38" t="n">
        <x:v>0</x:v>
      </x:c>
      <x:c r="I7" s="38"/>
      <x:c r="J7" s="47" t="n">
        <x:v>0</x:v>
      </x:c>
      <x:c r="K7" s="181" t="n">
        <x:v>150000</x:v>
      </x:c>
      <x:c r="L7" s="33" t="str">
        <x:v>Sin ventas desde compra</x:v>
      </x:c>
    </x:row>
    <x:row r="8">
      <x:c r="A8" s="31" t="str">
        <x:v>MOTS1243</x:v>
      </x:c>
      <x:c r="B8" s="53" t="str">
        <x:v>BALINERA 6304 C3 KOYO</x:v>
      </x:c>
      <x:c r="C8" s="38" t="n">
        <x:v>4</x:v>
      </x:c>
      <x:c r="D8" s="181" t="n">
        <x:v>54000</x:v>
      </x:c>
      <x:c r="E8" s="38" t="n">
        <x:v>9</x:v>
      </x:c>
      <x:c r="F8" s="181" t="n">
        <x:v>121500</x:v>
      </x:c>
      <x:c r="G8" s="38" t="n">
        <x:v>4</x:v>
      </x:c>
      <x:c r="H8" s="38" t="n">
        <x:v>0</x:v>
      </x:c>
      <x:c r="I8" s="38" t="n">
        <x:v>597</x:v>
      </x:c>
      <x:c r="J8" s="47" t="n">
        <x:v>1</x:v>
      </x:c>
      <x:c r="K8" s="181" t="n">
        <x:v>0</x:v>
      </x:c>
      <x:c r="L8" s="33" t="str">
        <x:v>Con stock, sin ventas 365d</x:v>
      </x:c>
    </x:row>
    <x:row r="9">
      <x:c r="A9" s="31" t="str">
        <x:v>MOTS1302</x:v>
      </x:c>
      <x:c r="B9" s="53" t="str">
        <x:v>KIT EMPAQUE COMPLETO CBF 125 HONDA</x:v>
      </x:c>
      <x:c r="C9" s="38" t="n">
        <x:v>5</x:v>
      </x:c>
      <x:c r="D9" s="181" t="n">
        <x:v>117500</x:v>
      </x:c>
      <x:c r="E9" s="38" t="n">
        <x:v>5</x:v>
      </x:c>
      <x:c r="F9" s="181" t="n">
        <x:v>117500</x:v>
      </x:c>
      <x:c r="G9" s="38" t="n">
        <x:v>0</x:v>
      </x:c>
      <x:c r="H9" s="38" t="n">
        <x:v>0</x:v>
      </x:c>
      <x:c r="I9" s="38"/>
      <x:c r="J9" s="47" t="n">
        <x:v>0</x:v>
      </x:c>
      <x:c r="K9" s="181" t="n">
        <x:v>117500</x:v>
      </x:c>
      <x:c r="L9" s="33" t="str">
        <x:v>Sin ventas desde compra</x:v>
      </x:c>
    </x:row>
    <x:row r="10">
      <x:c r="A10" s="31" t="str">
        <x:v>MOTS1201</x:v>
      </x:c>
      <x:c r="B10" s="53" t="str">
        <x:v>SPROKER Y PIÑON PULSAR 80 UND 520 - 39T/14T RODAMAIS</x:v>
      </x:c>
      <x:c r="C10" s="38" t="n">
        <x:v>3</x:v>
      </x:c>
      <x:c r="D10" s="181" t="n">
        <x:v>75000</x:v>
      </x:c>
      <x:c r="E10" s="38" t="n">
        <x:v>3</x:v>
      </x:c>
      <x:c r="F10" s="181" t="n">
        <x:v>75000</x:v>
      </x:c>
      <x:c r="G10" s="38" t="n">
        <x:v>0</x:v>
      </x:c>
      <x:c r="H10" s="38" t="n">
        <x:v>0</x:v>
      </x:c>
      <x:c r="I10" s="38"/>
      <x:c r="J10" s="47" t="n">
        <x:v>0</x:v>
      </x:c>
      <x:c r="K10" s="181" t="n">
        <x:v>75000</x:v>
      </x:c>
      <x:c r="L10" s="33" t="str">
        <x:v>Sin ventas desde compra</x:v>
      </x:c>
    </x:row>
    <x:row r="11">
      <x:c r="A11" s="31" t="str">
        <x:v>4212</x:v>
      </x:c>
      <x:c r="B11" s="53" t="str">
        <x:v>TORNILLO FLANGE 6X 60 LLAVE 8 TORNIFRENOS</x:v>
      </x:c>
      <x:c r="C11" s="38" t="n">
        <x:v>10</x:v>
      </x:c>
      <x:c r="D11" s="181" t="n">
        <x:v>6550</x:v>
      </x:c>
      <x:c r="E11" s="38" t="n">
        <x:v>110</x:v>
      </x:c>
      <x:c r="F11" s="181" t="n">
        <x:v>72050</x:v>
      </x:c>
      <x:c r="G11" s="38" t="n">
        <x:v>0</x:v>
      </x:c>
      <x:c r="H11" s="38" t="n">
        <x:v>0</x:v>
      </x:c>
      <x:c r="I11" s="38"/>
      <x:c r="J11" s="47" t="n">
        <x:v>0</x:v>
      </x:c>
      <x:c r="K11" s="181" t="n">
        <x:v>6550</x:v>
      </x:c>
      <x:c r="L11" s="33" t="str">
        <x:v>Sin ventas desde compra</x:v>
      </x:c>
    </x:row>
    <x:row r="12">
      <x:c r="A12" s="31" t="str">
        <x:v>MOTS1176</x:v>
      </x:c>
      <x:c r="B12" s="53" t="str">
        <x:v>MANIGUETA DER GN 125 / 65 125</x:v>
      </x:c>
      <x:c r="C12" s="38" t="n">
        <x:v>6</x:v>
      </x:c>
      <x:c r="D12" s="181" t="n">
        <x:v>72000</x:v>
      </x:c>
      <x:c r="E12" s="38" t="n">
        <x:v>6</x:v>
      </x:c>
      <x:c r="F12" s="181" t="n">
        <x:v>72000</x:v>
      </x:c>
      <x:c r="G12" s="38" t="n">
        <x:v>0</x:v>
      </x:c>
      <x:c r="H12" s="38" t="n">
        <x:v>0</x:v>
      </x:c>
      <x:c r="I12" s="38"/>
      <x:c r="J12" s="47" t="n">
        <x:v>0</x:v>
      </x:c>
      <x:c r="K12" s="181" t="n">
        <x:v>72000</x:v>
      </x:c>
      <x:c r="L12" s="33" t="str">
        <x:v>Sin ventas desde compra</x:v>
      </x:c>
    </x:row>
    <x:row r="13">
      <x:c r="A13" s="31" t="str">
        <x:v>16955</x:v>
      </x:c>
      <x:c r="B13" s="53" t="str">
        <x:v>KIT EMPAQUE COMPLETO PULSAR 200 NS MOTOTEE</x:v>
      </x:c>
      <x:c r="C13" s="38" t="n">
        <x:v>3</x:v>
      </x:c>
      <x:c r="D13" s="181" t="n">
        <x:v>67500</x:v>
      </x:c>
      <x:c r="E13" s="38" t="n">
        <x:v>3</x:v>
      </x:c>
      <x:c r="F13" s="181" t="n">
        <x:v>67500</x:v>
      </x:c>
      <x:c r="G13" s="38" t="n">
        <x:v>0</x:v>
      </x:c>
      <x:c r="H13" s="38" t="n">
        <x:v>0</x:v>
      </x:c>
      <x:c r="I13" s="38"/>
      <x:c r="J13" s="47" t="n">
        <x:v>0</x:v>
      </x:c>
      <x:c r="K13" s="181" t="n">
        <x:v>67500</x:v>
      </x:c>
      <x:c r="L13" s="33" t="str">
        <x:v>Sin ventas desde compra</x:v>
      </x:c>
    </x:row>
    <x:row r="14">
      <x:c r="A14" s="31" t="str">
        <x:v>MOTS1086</x:v>
      </x:c>
      <x:c r="B14" s="53" t="str">
        <x:v>RETEN 32-43-12-5</x:v>
      </x:c>
      <x:c r="C14" s="38" t="n">
        <x:v>17</x:v>
      </x:c>
      <x:c r="D14" s="181" t="n">
        <x:v>68000</x:v>
      </x:c>
      <x:c r="E14" s="38" t="n">
        <x:v>15</x:v>
      </x:c>
      <x:c r="F14" s="181" t="n">
        <x:v>60000</x:v>
      </x:c>
      <x:c r="G14" s="38" t="n">
        <x:v>2</x:v>
      </x:c>
      <x:c r="H14" s="38" t="n">
        <x:v>0</x:v>
      </x:c>
      <x:c r="I14" s="38" t="n">
        <x:v>556</x:v>
      </x:c>
      <x:c r="J14" s="47" t="n">
        <x:v>0.11764705882352941</x:v>
      </x:c>
      <x:c r="K14" s="181" t="n">
        <x:v>60000</x:v>
      </x:c>
      <x:c r="L14" s="33" t="str">
        <x:v>Con stock, sin ventas 365d</x:v>
      </x:c>
    </x:row>
    <x:row r="15">
      <x:c r="A15" s="31" t="str">
        <x:v>MOTS1008</x:v>
      </x:c>
      <x:c r="B15" s="53" t="str">
        <x:v>FAROLA DT EVOL</x:v>
      </x:c>
      <x:c r="C15" s="38" t="n">
        <x:v>1</x:v>
      </x:c>
      <x:c r="D15" s="181" t="n">
        <x:v>29000</x:v>
      </x:c>
      <x:c r="E15" s="38" t="n">
        <x:v>2</x:v>
      </x:c>
      <x:c r="F15" s="181" t="n">
        <x:v>58000</x:v>
      </x:c>
      <x:c r="G15" s="38" t="n">
        <x:v>0</x:v>
      </x:c>
      <x:c r="H15" s="38" t="n">
        <x:v>0</x:v>
      </x:c>
      <x:c r="I15" s="38"/>
      <x:c r="J15" s="47" t="n">
        <x:v>0</x:v>
      </x:c>
      <x:c r="K15" s="181" t="n">
        <x:v>29000</x:v>
      </x:c>
      <x:c r="L15" s="33" t="str">
        <x:v>Sin ventas desde compra</x:v>
      </x:c>
    </x:row>
    <x:row r="16">
      <x:c r="A16" s="31" t="str">
        <x:v>MOTS1065</x:v>
      </x:c>
      <x:c r="B16" s="53" t="str">
        <x:v>RETEN 20-40-8</x:v>
      </x:c>
      <x:c r="C16" s="38" t="n">
        <x:v>19</x:v>
      </x:c>
      <x:c r="D16" s="181" t="n">
        <x:v>57000</x:v>
      </x:c>
      <x:c r="E16" s="38" t="n">
        <x:v>19</x:v>
      </x:c>
      <x:c r="F16" s="181" t="n">
        <x:v>57000</x:v>
      </x:c>
      <x:c r="G16" s="38" t="n">
        <x:v>0</x:v>
      </x:c>
      <x:c r="H16" s="38" t="n">
        <x:v>0</x:v>
      </x:c>
      <x:c r="I16" s="38"/>
      <x:c r="J16" s="47" t="n">
        <x:v>0</x:v>
      </x:c>
      <x:c r="K16" s="181" t="n">
        <x:v>57000</x:v>
      </x:c>
      <x:c r="L16" s="33" t="str">
        <x:v>Sin ventas desde compra</x:v>
      </x:c>
    </x:row>
    <x:row r="17">
      <x:c r="A17" s="31" t="str">
        <x:v>MOTS1197</x:v>
      </x:c>
      <x:c r="B17" s="53" t="str">
        <x:v>SPROKER Y PIÑON CB 110</x:v>
      </x:c>
      <x:c r="C17" s="38" t="n">
        <x:v>2</x:v>
      </x:c>
      <x:c r="D17" s="181" t="n">
        <x:v>56000</x:v>
      </x:c>
      <x:c r="E17" s="38" t="n">
        <x:v>2</x:v>
      </x:c>
      <x:c r="F17" s="181" t="n">
        <x:v>56000</x:v>
      </x:c>
      <x:c r="G17" s="38" t="n">
        <x:v>0</x:v>
      </x:c>
      <x:c r="H17" s="38" t="n">
        <x:v>0</x:v>
      </x:c>
      <x:c r="I17" s="38"/>
      <x:c r="J17" s="47" t="n">
        <x:v>0</x:v>
      </x:c>
      <x:c r="K17" s="181" t="n">
        <x:v>56000</x:v>
      </x:c>
      <x:c r="L17" s="33" t="str">
        <x:v>Sin ventas desde compra</x:v>
      </x:c>
    </x:row>
    <x:row r="18">
      <x:c r="A18" s="31" t="str">
        <x:v>MOTS1029</x:v>
      </x:c>
      <x:c r="B18" s="53" t="str">
        <x:v>TENSORES CADENA VARIOS</x:v>
      </x:c>
      <x:c r="C18" s="38" t="n">
        <x:v>45</x:v>
      </x:c>
      <x:c r="D18" s="181" t="n">
        <x:v>90000</x:v>
      </x:c>
      <x:c r="E18" s="38" t="n">
        <x:v>25</x:v>
      </x:c>
      <x:c r="F18" s="181" t="n">
        <x:v>50000</x:v>
      </x:c>
      <x:c r="G18" s="38" t="n">
        <x:v>20</x:v>
      </x:c>
      <x:c r="H18" s="38" t="n">
        <x:v>1</x:v>
      </x:c>
      <x:c r="I18" s="38" t="n">
        <x:v>345</x:v>
      </x:c>
      <x:c r="J18" s="47" t="n">
        <x:v>0.4444444444444444</x:v>
      </x:c>
      <x:c r="K18" s="181" t="n">
        <x:v>50000</x:v>
      </x:c>
      <x:c r="L18" s="33" t="str">
        <x:v>Rotación baja</x:v>
      </x:c>
    </x:row>
    <x:row r="19">
      <x:c r="A19" s="31" t="str">
        <x:v>MOTS1148</x:v>
      </x:c>
      <x:c r="B19" s="53" t="str">
        <x:v>DIRECCIONAL BWS FI HUMO TRA - FER UND</x:v>
      </x:c>
      <x:c r="C19" s="38" t="n">
        <x:v>1</x:v>
      </x:c>
      <x:c r="D19" s="181" t="n">
        <x:v>8000</x:v>
      </x:c>
      <x:c r="E19" s="38" t="n">
        <x:v>6</x:v>
      </x:c>
      <x:c r="F19" s="181" t="n">
        <x:v>48000</x:v>
      </x:c>
      <x:c r="G19" s="38" t="n">
        <x:v>1</x:v>
      </x:c>
      <x:c r="H19" s="38" t="n">
        <x:v>0</x:v>
      </x:c>
      <x:c r="I19" s="38" t="n">
        <x:v>704</x:v>
      </x:c>
      <x:c r="J19" s="47" t="n">
        <x:v>1</x:v>
      </x:c>
      <x:c r="K19" s="181" t="n">
        <x:v>0</x:v>
      </x:c>
      <x:c r="L19" s="33" t="str">
        <x:v>Con stock, sin ventas 365d</x:v>
      </x:c>
    </x:row>
    <x:row r="20">
      <x:c r="A20" s="31" t="str">
        <x:v>MOTS1303</x:v>
      </x:c>
      <x:c r="B20" s="53" t="str">
        <x:v>EMPAQUE TAPA CLUCTH CB 110 EMP AMERICA</x:v>
      </x:c>
      <x:c r="C20" s="38" t="n">
        <x:v>5</x:v>
      </x:c>
      <x:c r="D20" s="181" t="n">
        <x:v>60000</x:v>
      </x:c>
      <x:c r="E20" s="38" t="n">
        <x:v>4</x:v>
      </x:c>
      <x:c r="F20" s="181" t="n">
        <x:v>48000</x:v>
      </x:c>
      <x:c r="G20" s="38" t="n">
        <x:v>1</x:v>
      </x:c>
      <x:c r="H20" s="38" t="n">
        <x:v>0</x:v>
      </x:c>
      <x:c r="I20" s="38" t="n">
        <x:v>582</x:v>
      </x:c>
      <x:c r="J20" s="47" t="n">
        <x:v>0.2</x:v>
      </x:c>
      <x:c r="K20" s="181" t="n">
        <x:v>48000</x:v>
      </x:c>
      <x:c r="L20" s="33" t="str">
        <x:v>Con stock, sin ventas 365d</x:v>
      </x:c>
    </x:row>
    <x:row r="21">
      <x:c r="A21" s="31" t="str">
        <x:v>MOTS1414</x:v>
      </x:c>
      <x:c r="B21" s="53" t="str">
        <x:v>CUNA DE DIRECCION PULSAR 200</x:v>
      </x:c>
      <x:c r="C21" s="38" t="n">
        <x:v>3</x:v>
      </x:c>
      <x:c r="D21" s="181" t="n">
        <x:v>48000</x:v>
      </x:c>
      <x:c r="E21" s="38" t="n">
        <x:v>3</x:v>
      </x:c>
      <x:c r="F21" s="181" t="n">
        <x:v>48000</x:v>
      </x:c>
      <x:c r="G21" s="38" t="n">
        <x:v>0</x:v>
      </x:c>
      <x:c r="H21" s="38" t="n">
        <x:v>0</x:v>
      </x:c>
      <x:c r="I21" s="38"/>
      <x:c r="J21" s="47" t="n">
        <x:v>0</x:v>
      </x:c>
      <x:c r="K21" s="181" t="n">
        <x:v>48000</x:v>
      </x:c>
      <x:c r="L21" s="33" t="str">
        <x:v>Sin ventas desde compra</x:v>
      </x:c>
    </x:row>
    <x:row r="22">
      <x:c r="A22" s="31" t="str">
        <x:v>619142</x:v>
      </x:c>
      <x:c r="B22" s="53" t="str">
        <x:v>KIT MEDIO EMPAQUE PULSAR 200 NS GPP</x:v>
      </x:c>
      <x:c r="C22" s="38" t="n">
        <x:v>6</x:v>
      </x:c>
      <x:c r="D22" s="181" t="n">
        <x:v>54000</x:v>
      </x:c>
      <x:c r="E22" s="38" t="n">
        <x:v>5</x:v>
      </x:c>
      <x:c r="F22" s="181" t="n">
        <x:v>45000</x:v>
      </x:c>
      <x:c r="G22" s="38" t="n">
        <x:v>1</x:v>
      </x:c>
      <x:c r="H22" s="38" t="n">
        <x:v>0</x:v>
      </x:c>
      <x:c r="I22" s="38" t="n">
        <x:v>615</x:v>
      </x:c>
      <x:c r="J22" s="47" t="n">
        <x:v>0.16666666666666666</x:v>
      </x:c>
      <x:c r="K22" s="181" t="n">
        <x:v>45000</x:v>
      </x:c>
      <x:c r="L22" s="33" t="str">
        <x:v>Con stock, sin ventas 365d</x:v>
      </x:c>
    </x:row>
    <x:row r="23">
      <x:c r="A23" s="31" t="str">
        <x:v>A131A3</x:v>
      </x:c>
      <x:c r="B23" s="53" t="str">
        <x:v>KIT XT2 125 GPP</x:v>
      </x:c>
      <x:c r="C23" s="38" t="n">
        <x:v>6</x:v>
      </x:c>
      <x:c r="D23" s="181" t="n">
        <x:v>45000</x:v>
      </x:c>
      <x:c r="E23" s="38" t="n">
        <x:v>6</x:v>
      </x:c>
      <x:c r="F23" s="181" t="n">
        <x:v>45000</x:v>
      </x:c>
      <x:c r="G23" s="38" t="n">
        <x:v>0</x:v>
      </x:c>
      <x:c r="H23" s="38" t="n">
        <x:v>0</x:v>
      </x:c>
      <x:c r="I23" s="38"/>
      <x:c r="J23" s="47" t="n">
        <x:v>0</x:v>
      </x:c>
      <x:c r="K23" s="181" t="n">
        <x:v>45000</x:v>
      </x:c>
      <x:c r="L23" s="33" t="str">
        <x:v>Sin ventas desde compra</x:v>
      </x:c>
    </x:row>
    <x:row r="24">
      <x:c r="A24" s="31" t="str">
        <x:v>MOTS1415</x:v>
      </x:c>
      <x:c r="B24" s="53" t="str">
        <x:v>KIT 1/2 PULSAR 135</x:v>
      </x:c>
      <x:c r="C24" s="38" t="n">
        <x:v>5</x:v>
      </x:c>
      <x:c r="D24" s="181" t="n">
        <x:v>42500</x:v>
      </x:c>
      <x:c r="E24" s="38" t="n">
        <x:v>5</x:v>
      </x:c>
      <x:c r="F24" s="181" t="n">
        <x:v>42500</x:v>
      </x:c>
      <x:c r="G24" s="38" t="n">
        <x:v>0</x:v>
      </x:c>
      <x:c r="H24" s="38" t="n">
        <x:v>0</x:v>
      </x:c>
      <x:c r="I24" s="38"/>
      <x:c r="J24" s="47" t="n">
        <x:v>0</x:v>
      </x:c>
      <x:c r="K24" s="181" t="n">
        <x:v>42500</x:v>
      </x:c>
      <x:c r="L24" s="33" t="str">
        <x:v>Sin ventas desde compra</x:v>
      </x:c>
    </x:row>
    <x:row r="25">
      <x:c r="A25" s="31" t="str">
        <x:v>KIT - 01C8150</x:v>
      </x:c>
      <x:c r="B25" s="53" t="str">
        <x:v>KIT ARRASTRE CB 110 428 H - 120 L 42T 6 PP</x:v>
      </x:c>
      <x:c r="C25" s="38" t="n">
        <x:v>1</x:v>
      </x:c>
      <x:c r="D25" s="181" t="n">
        <x:v>42000</x:v>
      </x:c>
      <x:c r="E25" s="38" t="n">
        <x:v>1</x:v>
      </x:c>
      <x:c r="F25" s="181" t="n">
        <x:v>42000</x:v>
      </x:c>
      <x:c r="G25" s="38" t="n">
        <x:v>0</x:v>
      </x:c>
      <x:c r="H25" s="38" t="n">
        <x:v>0</x:v>
      </x:c>
      <x:c r="I25" s="38"/>
      <x:c r="J25" s="47" t="n">
        <x:v>0</x:v>
      </x:c>
      <x:c r="K25" s="181" t="n">
        <x:v>42000</x:v>
      </x:c>
      <x:c r="L25" s="33" t="str">
        <x:v>Sin ventas desde compra</x:v>
      </x:c>
    </x:row>
    <x:row r="26">
      <x:c r="A26" s="31" t="str">
        <x:v>F211A</x:v>
      </x:c>
      <x:c r="B26" s="53" t="str">
        <x:v>KIT EMPAQUE COMPLETO ECO CON STAR GPP</x:v>
      </x:c>
      <x:c r="C26" s="38" t="n">
        <x:v>1</x:v>
      </x:c>
      <x:c r="D26" s="181" t="n">
        <x:v>19500</x:v>
      </x:c>
      <x:c r="E26" s="38" t="n">
        <x:v>2</x:v>
      </x:c>
      <x:c r="F26" s="181" t="n">
        <x:v>39000</x:v>
      </x:c>
      <x:c r="G26" s="38" t="n">
        <x:v>1</x:v>
      </x:c>
      <x:c r="H26" s="38" t="n">
        <x:v>0</x:v>
      </x:c>
      <x:c r="I26" s="38" t="n">
        <x:v>756</x:v>
      </x:c>
      <x:c r="J26" s="47" t="n">
        <x:v>1</x:v>
      </x:c>
      <x:c r="K26" s="181" t="n">
        <x:v>0</x:v>
      </x:c>
      <x:c r="L26" s="33" t="str">
        <x:v>Con stock, sin ventas 365d</x:v>
      </x:c>
    </x:row>
    <x:row r="27">
      <x:c r="A27" s="31" t="str">
        <x:v>CAB - 061080</x:v>
      </x:c>
      <x:c r="B27" s="53" t="str">
        <x:v>COMANDO IZQ 125 BWS YAMAHA</x:v>
      </x:c>
      <x:c r="C27" s="38" t="n">
        <x:v>1</x:v>
      </x:c>
      <x:c r="D27" s="181" t="n">
        <x:v>39000</x:v>
      </x:c>
      <x:c r="E27" s="38" t="n">
        <x:v>1</x:v>
      </x:c>
      <x:c r="F27" s="181" t="n">
        <x:v>39000</x:v>
      </x:c>
      <x:c r="G27" s="38" t="n">
        <x:v>2</x:v>
      </x:c>
      <x:c r="H27" s="38" t="n">
        <x:v>0</x:v>
      </x:c>
      <x:c r="I27" s="38" t="n">
        <x:v>686</x:v>
      </x:c>
      <x:c r="J27" s="47" t="n">
        <x:v>1</x:v>
      </x:c>
      <x:c r="K27" s="181" t="n">
        <x:v>0</x:v>
      </x:c>
      <x:c r="L27" s="33" t="str">
        <x:v>Con stock, sin ventas 365d</x:v>
      </x:c>
    </x:row>
    <x:row r="28">
      <x:c r="A28" s="31" t="str">
        <x:v>COM-148</x:v>
      </x:c>
      <x:c r="B28" s="53" t="str">
        <x:v>COMANDO IZQ FZ 16 MOTOTEC</x:v>
      </x:c>
      <x:c r="C28" s="38" t="n">
        <x:v>2</x:v>
      </x:c>
      <x:c r="D28" s="181" t="n">
        <x:v>38400</x:v>
      </x:c>
      <x:c r="E28" s="38" t="n">
        <x:v>2</x:v>
      </x:c>
      <x:c r="F28" s="181" t="n">
        <x:v>38400</x:v>
      </x:c>
      <x:c r="G28" s="38" t="n">
        <x:v>1</x:v>
      </x:c>
      <x:c r="H28" s="38" t="n">
        <x:v>0</x:v>
      </x:c>
      <x:c r="I28" s="38" t="n">
        <x:v>698</x:v>
      </x:c>
      <x:c r="J28" s="47" t="n">
        <x:v>0.5</x:v>
      </x:c>
      <x:c r="K28" s="181" t="n">
        <x:v>19200</x:v>
      </x:c>
      <x:c r="L28" s="33" t="str">
        <x:v>Con stock, sin ventas 365d</x:v>
      </x:c>
    </x:row>
    <x:row r="29">
      <x:c r="A29" s="31" t="str">
        <x:v>MOTS1216</x:v>
      </x:c>
      <x:c r="B29" s="53" t="str">
        <x:v>CUNAS RX 100-115 / CT 125 - 115 / BR15 YGR 125 RODILLO EVOL</x:v>
      </x:c>
      <x:c r="C29" s="38" t="n">
        <x:v>3</x:v>
      </x:c>
      <x:c r="D29" s="181" t="n">
        <x:v>38400</x:v>
      </x:c>
      <x:c r="E29" s="38" t="n">
        <x:v>3</x:v>
      </x:c>
      <x:c r="F29" s="181" t="n">
        <x:v>38400</x:v>
      </x:c>
      <x:c r="G29" s="38" t="n">
        <x:v>0</x:v>
      </x:c>
      <x:c r="H29" s="38" t="n">
        <x:v>0</x:v>
      </x:c>
      <x:c r="I29" s="38"/>
      <x:c r="J29" s="47" t="n">
        <x:v>0</x:v>
      </x:c>
      <x:c r="K29" s="181" t="n">
        <x:v>38400</x:v>
      </x:c>
      <x:c r="L29" s="33" t="str">
        <x:v>Sin ventas desde compra</x:v>
      </x:c>
    </x:row>
    <x:row r="30">
      <x:c r="A30" s="31" t="str">
        <x:v>MOTS1091</x:v>
      </x:c>
      <x:c r="B30" s="53" t="str">
        <x:v>RETEN 12-22-5</x:v>
      </x:c>
      <x:c r="C30" s="38" t="n">
        <x:v>39</x:v>
      </x:c>
      <x:c r="D30" s="181" t="n">
        <x:v>39000</x:v>
      </x:c>
      <x:c r="E30" s="38" t="n">
        <x:v>38</x:v>
      </x:c>
      <x:c r="F30" s="181" t="n">
        <x:v>38000</x:v>
      </x:c>
      <x:c r="G30" s="38" t="n">
        <x:v>1</x:v>
      </x:c>
      <x:c r="H30" s="38" t="n">
        <x:v>1</x:v>
      </x:c>
      <x:c r="I30" s="38" t="n">
        <x:v>351</x:v>
      </x:c>
      <x:c r="J30" s="47" t="n">
        <x:v>0.02564102564102564</x:v>
      </x:c>
      <x:c r="K30" s="181" t="n">
        <x:v>38000</x:v>
      </x:c>
      <x:c r="L30" s="33" t="str">
        <x:v>Rotación baja</x:v>
      </x:c>
    </x:row>
    <x:row r="31">
      <x:c r="A31" s="31" t="str">
        <x:v>MOTS1245</x:v>
      </x:c>
      <x:c r="B31" s="53" t="str">
        <x:v>TORNILLO PORTA BANDA UNIVERSAL</x:v>
      </x:c>
      <x:c r="C31" s="38" t="n">
        <x:v>41</x:v>
      </x:c>
      <x:c r="D31" s="181" t="n">
        <x:v>53300</x:v>
      </x:c>
      <x:c r="E31" s="38" t="n">
        <x:v>29</x:v>
      </x:c>
      <x:c r="F31" s="181" t="n">
        <x:v>37700</x:v>
      </x:c>
      <x:c r="G31" s="38" t="n">
        <x:v>13</x:v>
      </x:c>
      <x:c r="H31" s="38" t="n">
        <x:v>1</x:v>
      </x:c>
      <x:c r="I31" s="38" t="n">
        <x:v>229</x:v>
      </x:c>
      <x:c r="J31" s="47" t="n">
        <x:v>0.3170731707317073</x:v>
      </x:c>
      <x:c r="K31" s="181" t="n">
        <x:v>36400</x:v>
      </x:c>
      <x:c r="L31" s="33" t="str">
        <x:v>Rotación baja</x:v>
      </x:c>
    </x:row>
    <x:row r="32">
      <x:c r="A32" s="31" t="str">
        <x:v>MOTS1048</x:v>
      </x:c>
      <x:c r="B32" s="53" t="str">
        <x:v>RETEN 32-44-8</x:v>
      </x:c>
      <x:c r="C32" s="38" t="n">
        <x:v>12</x:v>
      </x:c>
      <x:c r="D32" s="181" t="n">
        <x:v>36000</x:v>
      </x:c>
      <x:c r="E32" s="38" t="n">
        <x:v>12</x:v>
      </x:c>
      <x:c r="F32" s="181" t="n">
        <x:v>36000</x:v>
      </x:c>
      <x:c r="G32" s="38" t="n">
        <x:v>0</x:v>
      </x:c>
      <x:c r="H32" s="38" t="n">
        <x:v>0</x:v>
      </x:c>
      <x:c r="I32" s="38"/>
      <x:c r="J32" s="47" t="n">
        <x:v>0</x:v>
      </x:c>
      <x:c r="K32" s="181" t="n">
        <x:v>36000</x:v>
      </x:c>
      <x:c r="L32" s="33" t="str">
        <x:v>Sin ventas desde compra</x:v>
      </x:c>
    </x:row>
    <x:row r="33">
      <x:c r="A33" s="31" t="str">
        <x:v>MOTS1068</x:v>
      </x:c>
      <x:c r="B33" s="53" t="str">
        <x:v>RETEN 36-49-11</x:v>
      </x:c>
      <x:c r="C33" s="38" t="n">
        <x:v>12</x:v>
      </x:c>
      <x:c r="D33" s="181" t="n">
        <x:v>36000</x:v>
      </x:c>
      <x:c r="E33" s="38" t="n">
        <x:v>12</x:v>
      </x:c>
      <x:c r="F33" s="181" t="n">
        <x:v>36000</x:v>
      </x:c>
      <x:c r="G33" s="38" t="n">
        <x:v>0</x:v>
      </x:c>
      <x:c r="H33" s="38" t="n">
        <x:v>0</x:v>
      </x:c>
      <x:c r="I33" s="38"/>
      <x:c r="J33" s="47" t="n">
        <x:v>0</x:v>
      </x:c>
      <x:c r="K33" s="181" t="n">
        <x:v>36000</x:v>
      </x:c>
      <x:c r="L33" s="33" t="str">
        <x:v>Sin ventas desde compra</x:v>
      </x:c>
    </x:row>
    <x:row r="34">
      <x:c r="A34" s="31" t="str">
        <x:v>MOTS1309</x:v>
      </x:c>
      <x:c r="B34" s="53" t="str">
        <x:v>BOMBILLO DIRECCIONAL 12 V LED WHITE VARIOS QUALITY</x:v>
      </x:c>
      <x:c r="C34" s="38" t="n">
        <x:v>14</x:v>
      </x:c>
      <x:c r="D34" s="181" t="n">
        <x:v>49000</x:v>
      </x:c>
      <x:c r="E34" s="38" t="n">
        <x:v>10</x:v>
      </x:c>
      <x:c r="F34" s="181" t="n">
        <x:v>35000</x:v>
      </x:c>
      <x:c r="G34" s="38" t="n">
        <x:v>4</x:v>
      </x:c>
      <x:c r="H34" s="38" t="n">
        <x:v>0</x:v>
      </x:c>
      <x:c r="I34" s="38" t="n">
        <x:v>709</x:v>
      </x:c>
      <x:c r="J34" s="47" t="n">
        <x:v>0.2857142857142857</x:v>
      </x:c>
      <x:c r="K34" s="181" t="n">
        <x:v>35000</x:v>
      </x:c>
      <x:c r="L34" s="33" t="str">
        <x:v>Con stock, sin ventas 365d</x:v>
      </x:c>
    </x:row>
    <x:row r="35">
      <x:c r="A35" s="31" t="str">
        <x:v>5111</x:v>
      </x:c>
      <x:c r="B35" s="53" t="str">
        <x:v>BUJIA BP75S NGK</x:v>
      </x:c>
      <x:c r="C35" s="38" t="n">
        <x:v>6</x:v>
      </x:c>
      <x:c r="D35" s="181" t="n">
        <x:v>34800</x:v>
      </x:c>
      <x:c r="E35" s="38" t="n">
        <x:v>6</x:v>
      </x:c>
      <x:c r="F35" s="181" t="n">
        <x:v>34800</x:v>
      </x:c>
      <x:c r="G35" s="38" t="n">
        <x:v>0</x:v>
      </x:c>
      <x:c r="H35" s="38" t="n">
        <x:v>0</x:v>
      </x:c>
      <x:c r="I35" s="38"/>
      <x:c r="J35" s="47" t="n">
        <x:v>0</x:v>
      </x:c>
      <x:c r="K35" s="181" t="n">
        <x:v>34800</x:v>
      </x:c>
      <x:c r="L35" s="33" t="str">
        <x:v>Sin ventas desde compra</x:v>
      </x:c>
    </x:row>
    <x:row r="36">
      <x:c r="A36" s="31" t="str">
        <x:v>BAL - 01908</x:v>
      </x:c>
      <x:c r="B36" s="53" t="str">
        <x:v>BALINERA 6301 ZZCM KOYO</x:v>
      </x:c>
      <x:c r="C36" s="38" t="n">
        <x:v>8</x:v>
      </x:c>
      <x:c r="D36" s="181" t="n">
        <x:v>38400</x:v>
      </x:c>
      <x:c r="E36" s="38" t="n">
        <x:v>7</x:v>
      </x:c>
      <x:c r="F36" s="181" t="n">
        <x:v>33600</x:v>
      </x:c>
      <x:c r="G36" s="38" t="n">
        <x:v>8</x:v>
      </x:c>
      <x:c r="H36" s="38" t="n">
        <x:v>0</x:v>
      </x:c>
      <x:c r="I36" s="38" t="n">
        <x:v>736</x:v>
      </x:c>
      <x:c r="J36" s="47" t="n">
        <x:v>1</x:v>
      </x:c>
      <x:c r="K36" s="181" t="n">
        <x:v>0</x:v>
      </x:c>
      <x:c r="L36" s="33" t="str">
        <x:v>Con stock, sin ventas 365d</x:v>
      </x:c>
    </x:row>
    <x:row r="37">
      <x:c r="A37" s="31" t="str">
        <x:v>MOTS1214</x:v>
      </x:c>
      <x:c r="B37" s="53" t="str">
        <x:v>BANDA FRENO TRA  ECO HONDA CD 100 ECO RODAMAIS</x:v>
      </x:c>
      <x:c r="C37" s="38" t="n">
        <x:v>4</x:v>
      </x:c>
      <x:c r="D37" s="181" t="n">
        <x:v>44800</x:v>
      </x:c>
      <x:c r="E37" s="38" t="n">
        <x:v>3</x:v>
      </x:c>
      <x:c r="F37" s="181" t="n">
        <x:v>33600</x:v>
      </x:c>
      <x:c r="G37" s="38" t="n">
        <x:v>1</x:v>
      </x:c>
      <x:c r="H37" s="38" t="n">
        <x:v>1</x:v>
      </x:c>
      <x:c r="I37" s="38" t="n">
        <x:v>145</x:v>
      </x:c>
      <x:c r="J37" s="47" t="n">
        <x:v>0.25</x:v>
      </x:c>
      <x:c r="K37" s="181" t="n">
        <x:v>33600</x:v>
      </x:c>
      <x:c r="L37" s="33" t="str">
        <x:v>Rotación baja</x:v>
      </x:c>
    </x:row>
    <x:row r="38">
      <x:c r="A38" s="31" t="str">
        <x:v>MOTS1154</x:v>
      </x:c>
      <x:c r="B38" s="53" t="str">
        <x:v>CAUCHOS PALANCA CAMBIO SURTIDO</x:v>
      </x:c>
      <x:c r="C38" s="38" t="n">
        <x:v>24</x:v>
      </x:c>
      <x:c r="D38" s="181" t="n">
        <x:v>36000</x:v>
      </x:c>
      <x:c r="E38" s="38" t="n">
        <x:v>22</x:v>
      </x:c>
      <x:c r="F38" s="181" t="n">
        <x:v>33000</x:v>
      </x:c>
      <x:c r="G38" s="38" t="n">
        <x:v>2</x:v>
      </x:c>
      <x:c r="H38" s="38" t="n">
        <x:v>0</x:v>
      </x:c>
      <x:c r="I38" s="38" t="n">
        <x:v>458</x:v>
      </x:c>
      <x:c r="J38" s="47" t="n">
        <x:v>0.08333333333333333</x:v>
      </x:c>
      <x:c r="K38" s="181" t="n">
        <x:v>33000</x:v>
      </x:c>
      <x:c r="L38" s="33" t="str">
        <x:v>Con stock, sin ventas 365d</x:v>
      </x:c>
    </x:row>
    <x:row r="39">
      <x:c r="A39" s="31" t="str">
        <x:v>MOTS1084</x:v>
      </x:c>
      <x:c r="B39" s="53" t="str">
        <x:v>RETEN 17-25-4</x:v>
      </x:c>
      <x:c r="C39" s="38" t="n">
        <x:v>22</x:v>
      </x:c>
      <x:c r="D39" s="181" t="n">
        <x:v>33000</x:v>
      </x:c>
      <x:c r="E39" s="38" t="n">
        <x:v>22</x:v>
      </x:c>
      <x:c r="F39" s="181" t="n">
        <x:v>33000</x:v>
      </x:c>
      <x:c r="G39" s="38" t="n">
        <x:v>0</x:v>
      </x:c>
      <x:c r="H39" s="38" t="n">
        <x:v>0</x:v>
      </x:c>
      <x:c r="I39" s="38"/>
      <x:c r="J39" s="47" t="n">
        <x:v>0</x:v>
      </x:c>
      <x:c r="K39" s="181" t="n">
        <x:v>33000</x:v>
      </x:c>
      <x:c r="L39" s="33" t="str">
        <x:v>Sin ventas desde compra</x:v>
      </x:c>
    </x:row>
    <x:row r="40">
      <x:c r="A40" s="31" t="str">
        <x:v>13266</x:v>
      </x:c>
      <x:c r="B40" s="53" t="str">
        <x:v>FAROLA ECO DELUXE AKITA</x:v>
      </x:c>
      <x:c r="C40" s="38" t="n">
        <x:v>1</x:v>
      </x:c>
      <x:c r="D40" s="181" t="n">
        <x:v>32500</x:v>
      </x:c>
      <x:c r="E40" s="38" t="n">
        <x:v>1</x:v>
      </x:c>
      <x:c r="F40" s="181" t="n">
        <x:v>32500</x:v>
      </x:c>
      <x:c r="G40" s="38" t="n">
        <x:v>1</x:v>
      </x:c>
      <x:c r="H40" s="38" t="n">
        <x:v>0</x:v>
      </x:c>
      <x:c r="I40" s="38" t="n">
        <x:v>673</x:v>
      </x:c>
      <x:c r="J40" s="47" t="n">
        <x:v>1</x:v>
      </x:c>
      <x:c r="K40" s="181" t="n">
        <x:v>0</x:v>
      </x:c>
      <x:c r="L40" s="33" t="str">
        <x:v>Con stock, sin ventas 365d</x:v>
      </x:c>
    </x:row>
    <x:row r="41">
      <x:c r="A41" s="31" t="str">
        <x:v>MOTS1217</x:v>
      </x:c>
      <x:c r="B41" s="53" t="str">
        <x:v>GUIA DE VALVULA ECO DELUXE HERO</x:v>
      </x:c>
      <x:c r="C41" s="38" t="n">
        <x:v>5</x:v>
      </x:c>
      <x:c r="D41" s="181" t="n">
        <x:v>40000</x:v>
      </x:c>
      <x:c r="E41" s="38" t="n">
        <x:v>4</x:v>
      </x:c>
      <x:c r="F41" s="181" t="n">
        <x:v>32000</x:v>
      </x:c>
      <x:c r="G41" s="38" t="n">
        <x:v>1</x:v>
      </x:c>
      <x:c r="H41" s="38" t="n">
        <x:v>0</x:v>
      </x:c>
      <x:c r="I41" s="38" t="n">
        <x:v>561</x:v>
      </x:c>
      <x:c r="J41" s="47" t="n">
        <x:v>0.2</x:v>
      </x:c>
      <x:c r="K41" s="181" t="n">
        <x:v>32000</x:v>
      </x:c>
      <x:c r="L41" s="33" t="str">
        <x:v>Con stock, sin ventas 365d</x:v>
      </x:c>
    </x:row>
    <x:row r="42">
      <x:c r="A42" s="31" t="str">
        <x:v>MOTS1075</x:v>
      </x:c>
      <x:c r="B42" s="53" t="str">
        <x:v>RETEN 16-26-7</x:v>
      </x:c>
      <x:c r="C42" s="38" t="n">
        <x:v>10</x:v>
      </x:c>
      <x:c r="D42" s="181" t="n">
        <x:v>40000</x:v>
      </x:c>
      <x:c r="E42" s="38" t="n">
        <x:v>8</x:v>
      </x:c>
      <x:c r="F42" s="181" t="n">
        <x:v>32000</x:v>
      </x:c>
      <x:c r="G42" s="38" t="n">
        <x:v>2</x:v>
      </x:c>
      <x:c r="H42" s="38" t="n">
        <x:v>0</x:v>
      </x:c>
      <x:c r="I42" s="38" t="n">
        <x:v>556</x:v>
      </x:c>
      <x:c r="J42" s="47" t="n">
        <x:v>0.2</x:v>
      </x:c>
      <x:c r="K42" s="181" t="n">
        <x:v>32000</x:v>
      </x:c>
      <x:c r="L42" s="33" t="str">
        <x:v>Con stock, sin ventas 365d</x:v>
      </x:c>
    </x:row>
    <x:row r="43">
      <x:c r="A43" s="31" t="str">
        <x:v>GUA - 049195</x:v>
      </x:c>
      <x:c r="B43" s="53" t="str">
        <x:v>GUAYA RETORNO FZ 16 / FAZER 16 MN SYK</x:v>
      </x:c>
      <x:c r="C43" s="38" t="n">
        <x:v>4</x:v>
      </x:c>
      <x:c r="D43" s="181" t="n">
        <x:v>32000</x:v>
      </x:c>
      <x:c r="E43" s="38" t="n">
        <x:v>4</x:v>
      </x:c>
      <x:c r="F43" s="181" t="n">
        <x:v>32000</x:v>
      </x:c>
      <x:c r="G43" s="38" t="n">
        <x:v>1</x:v>
      </x:c>
      <x:c r="H43" s="38" t="n">
        <x:v>1</x:v>
      </x:c>
      <x:c r="I43" s="38" t="n">
        <x:v>238</x:v>
      </x:c>
      <x:c r="J43" s="47" t="n">
        <x:v>0.25</x:v>
      </x:c>
      <x:c r="K43" s="181" t="n">
        <x:v>24000</x:v>
      </x:c>
      <x:c r="L43" s="33" t="str">
        <x:v>Rotación baja</x:v>
      </x:c>
    </x:row>
    <x:row r="44">
      <x:c r="A44" s="31" t="str">
        <x:v>MOTS1040</x:v>
      </x:c>
      <x:c r="B44" s="53" t="str">
        <x:v>RETEN 22-35-7</x:v>
      </x:c>
      <x:c r="C44" s="38" t="n">
        <x:v>16</x:v>
      </x:c>
      <x:c r="D44" s="181" t="n">
        <x:v>32000</x:v>
      </x:c>
      <x:c r="E44" s="38" t="n">
        <x:v>16</x:v>
      </x:c>
      <x:c r="F44" s="181" t="n">
        <x:v>32000</x:v>
      </x:c>
      <x:c r="G44" s="38" t="n">
        <x:v>0</x:v>
      </x:c>
      <x:c r="H44" s="38" t="n">
        <x:v>0</x:v>
      </x:c>
      <x:c r="I44" s="38"/>
      <x:c r="J44" s="47" t="n">
        <x:v>0</x:v>
      </x:c>
      <x:c r="K44" s="181" t="n">
        <x:v>32000</x:v>
      </x:c>
      <x:c r="L44" s="33" t="str">
        <x:v>Sin ventas desde compra</x:v>
      </x:c>
    </x:row>
    <x:row r="45">
      <x:c r="A45" s="31" t="str">
        <x:v>GUA - 051304</x:v>
      </x:c>
      <x:c r="B45" s="53" t="str">
        <x:v>GUAYA ACELERADOR FZ 2.0 INYECCION No. 1 SYK</x:v>
      </x:c>
      <x:c r="C45" s="38" t="n">
        <x:v>7</x:v>
      </x:c>
      <x:c r="D45" s="181" t="n">
        <x:v>37100</x:v>
      </x:c>
      <x:c r="E45" s="38" t="n">
        <x:v>6</x:v>
      </x:c>
      <x:c r="F45" s="181" t="n">
        <x:v>31800</x:v>
      </x:c>
      <x:c r="G45" s="38" t="n">
        <x:v>1</x:v>
      </x:c>
      <x:c r="H45" s="38" t="n">
        <x:v>1</x:v>
      </x:c>
      <x:c r="I45" s="38" t="n">
        <x:v>50</x:v>
      </x:c>
      <x:c r="J45" s="47" t="n">
        <x:v>0.14285714285714285</x:v>
      </x:c>
      <x:c r="K45" s="181" t="n">
        <x:v>31800</x:v>
      </x:c>
      <x:c r="L45" s="33" t="str">
        <x:v>Rotación baja</x:v>
      </x:c>
    </x:row>
    <x:row r="46">
      <x:c r="A46" s="31" t="str">
        <x:v>MOTS1286</x:v>
      </x:c>
      <x:c r="B46" s="53" t="str">
        <x:v>VALVULAS BWS UNI VITRI</x:v>
      </x:c>
      <x:c r="C46" s="38" t="n">
        <x:v>4</x:v>
      </x:c>
      <x:c r="D46" s="181" t="n">
        <x:v>60500</x:v>
      </x:c>
      <x:c r="E46" s="38" t="n">
        <x:v>2</x:v>
      </x:c>
      <x:c r="F46" s="181" t="n">
        <x:v>30250</x:v>
      </x:c>
      <x:c r="G46" s="38" t="n">
        <x:v>2</x:v>
      </x:c>
      <x:c r="H46" s="38" t="n">
        <x:v>0</x:v>
      </x:c>
      <x:c r="I46" s="38" t="n">
        <x:v>666</x:v>
      </x:c>
      <x:c r="J46" s="47" t="n">
        <x:v>0.5</x:v>
      </x:c>
      <x:c r="K46" s="181" t="n">
        <x:v>30250</x:v>
      </x:c>
      <x:c r="L46" s="33" t="str">
        <x:v>Con stock, sin ventas 365d</x:v>
      </x:c>
    </x:row>
    <x:row r="47">
      <x:c r="A47" s="31" t="str">
        <x:v>MOTS1053</x:v>
      </x:c>
      <x:c r="B47" s="53" t="str">
        <x:v>RETEN 21-40-7</x:v>
      </x:c>
      <x:c r="C47" s="38" t="n">
        <x:v>10</x:v>
      </x:c>
      <x:c r="D47" s="181" t="n">
        <x:v>30000</x:v>
      </x:c>
      <x:c r="E47" s="38" t="n">
        <x:v>10</x:v>
      </x:c>
      <x:c r="F47" s="181" t="n">
        <x:v>30000</x:v>
      </x:c>
      <x:c r="G47" s="38" t="n">
        <x:v>0</x:v>
      </x:c>
      <x:c r="H47" s="38" t="n">
        <x:v>0</x:v>
      </x:c>
      <x:c r="I47" s="38"/>
      <x:c r="J47" s="47" t="n">
        <x:v>0</x:v>
      </x:c>
      <x:c r="K47" s="181" t="n">
        <x:v>30000</x:v>
      </x:c>
      <x:c r="L47" s="33" t="str">
        <x:v>Sin ventas desde compra</x:v>
      </x:c>
    </x:row>
    <x:row r="48">
      <x:c r="A48" s="31" t="str">
        <x:v>MOTS1070</x:v>
      </x:c>
      <x:c r="B48" s="53" t="str">
        <x:v>RETEN 30-45-11</x:v>
      </x:c>
      <x:c r="C48" s="38" t="n">
        <x:v>10</x:v>
      </x:c>
      <x:c r="D48" s="181" t="n">
        <x:v>30000</x:v>
      </x:c>
      <x:c r="E48" s="38" t="n">
        <x:v>10</x:v>
      </x:c>
      <x:c r="F48" s="181" t="n">
        <x:v>30000</x:v>
      </x:c>
      <x:c r="G48" s="38" t="n">
        <x:v>0</x:v>
      </x:c>
      <x:c r="H48" s="38" t="n">
        <x:v>0</x:v>
      </x:c>
      <x:c r="I48" s="38"/>
      <x:c r="J48" s="47" t="n">
        <x:v>0</x:v>
      </x:c>
      <x:c r="K48" s="181" t="n">
        <x:v>30000</x:v>
      </x:c>
      <x:c r="L48" s="33" t="str">
        <x:v>Sin ventas desde compra</x:v>
      </x:c>
    </x:row>
    <x:row r="49">
      <x:c r="A49" s="31" t="str">
        <x:v>ESC - 007</x:v>
      </x:c>
      <x:c r="B49" s="53" t="str">
        <x:v>ESCOBILLAS ARRANQUE PULSAR 200 NS</x:v>
      </x:c>
      <x:c r="C49" s="38" t="n">
        <x:v>5</x:v>
      </x:c>
      <x:c r="D49" s="181" t="n">
        <x:v>35000</x:v>
      </x:c>
      <x:c r="E49" s="38" t="n">
        <x:v>4</x:v>
      </x:c>
      <x:c r="F49" s="181" t="n">
        <x:v>28000</x:v>
      </x:c>
      <x:c r="G49" s="38" t="n">
        <x:v>1</x:v>
      </x:c>
      <x:c r="H49" s="38" t="n">
        <x:v>0</x:v>
      </x:c>
      <x:c r="I49" s="38" t="n">
        <x:v>588</x:v>
      </x:c>
      <x:c r="J49" s="47" t="n">
        <x:v>0.2</x:v>
      </x:c>
      <x:c r="K49" s="181" t="n">
        <x:v>28000</x:v>
      </x:c>
      <x:c r="L49" s="33" t="str">
        <x:v>Con stock, sin ventas 365d</x:v>
      </x:c>
    </x:row>
    <x:row r="50">
      <x:c r="A50" s="31" t="str">
        <x:v>PIN - 073</x:v>
      </x:c>
      <x:c r="B50" s="53" t="str">
        <x:v>PIÑON SEGUNDA ECO DELUXE HERO</x:v>
      </x:c>
      <x:c r="C50" s="38" t="n">
        <x:v>3</x:v>
      </x:c>
      <x:c r="D50" s="181" t="n">
        <x:v>42000</x:v>
      </x:c>
      <x:c r="E50" s="38" t="n">
        <x:v>2</x:v>
      </x:c>
      <x:c r="F50" s="181" t="n">
        <x:v>28000</x:v>
      </x:c>
      <x:c r="G50" s="38" t="n">
        <x:v>3</x:v>
      </x:c>
      <x:c r="H50" s="38" t="n">
        <x:v>0</x:v>
      </x:c>
      <x:c r="I50" s="38" t="n">
        <x:v>564</x:v>
      </x:c>
      <x:c r="J50" s="47" t="n">
        <x:v>1</x:v>
      </x:c>
      <x:c r="K50" s="181" t="n">
        <x:v>0</x:v>
      </x:c>
      <x:c r="L50" s="33" t="str">
        <x:v>Con stock, sin ventas 365d</x:v>
      </x:c>
    </x:row>
    <x:row r="51">
      <x:c r="A51" s="31" t="str">
        <x:v>MOTS1192</x:v>
      </x:c>
      <x:c r="B51" s="53" t="str">
        <x:v>VARRILLA FRENO TRASERO VARIAS</x:v>
      </x:c>
      <x:c r="C51" s="38" t="n">
        <x:v>9</x:v>
      </x:c>
      <x:c r="D51" s="181" t="n">
        <x:v>31500</x:v>
      </x:c>
      <x:c r="E51" s="38" t="n">
        <x:v>8</x:v>
      </x:c>
      <x:c r="F51" s="181" t="n">
        <x:v>28000</x:v>
      </x:c>
      <x:c r="G51" s="38" t="n">
        <x:v>1</x:v>
      </x:c>
      <x:c r="H51" s="38" t="n">
        <x:v>1</x:v>
      </x:c>
      <x:c r="I51" s="38" t="n">
        <x:v>202</x:v>
      </x:c>
      <x:c r="J51" s="47" t="n">
        <x:v>0.1111111111111111</x:v>
      </x:c>
      <x:c r="K51" s="181" t="n">
        <x:v>28000</x:v>
      </x:c>
      <x:c r="L51" s="33" t="str">
        <x:v>Rotación baja</x:v>
      </x:c>
    </x:row>
    <x:row r="52">
      <x:c r="A52" s="31" t="str">
        <x:v>MOTS1090</x:v>
      </x:c>
      <x:c r="B52" s="53" t="str">
        <x:v>RETEN 15-25-7</x:v>
      </x:c>
      <x:c r="C52" s="38" t="n">
        <x:v>19</x:v>
      </x:c>
      <x:c r="D52" s="181" t="n">
        <x:v>28500</x:v>
      </x:c>
      <x:c r="E52" s="38" t="n">
        <x:v>18</x:v>
      </x:c>
      <x:c r="F52" s="181" t="n">
        <x:v>27000</x:v>
      </x:c>
      <x:c r="G52" s="38" t="n">
        <x:v>1</x:v>
      </x:c>
      <x:c r="H52" s="38" t="n">
        <x:v>0</x:v>
      </x:c>
      <x:c r="I52" s="38" t="n">
        <x:v>372</x:v>
      </x:c>
      <x:c r="J52" s="47" t="n">
        <x:v>0.05263157894736842</x:v>
      </x:c>
      <x:c r="K52" s="181" t="n">
        <x:v>27000</x:v>
      </x:c>
      <x:c r="L52" s="33" t="str">
        <x:v>Con stock, sin ventas 365d</x:v>
      </x:c>
    </x:row>
    <x:row r="53">
      <x:c r="A53" s="31" t="str">
        <x:v>MOTS1051</x:v>
      </x:c>
      <x:c r="B53" s="53" t="str">
        <x:v>RETEN 27-40-6</x:v>
      </x:c>
      <x:c r="C53" s="38" t="n">
        <x:v>11</x:v>
      </x:c>
      <x:c r="D53" s="181" t="n">
        <x:v>33000</x:v>
      </x:c>
      <x:c r="E53" s="38" t="n">
        <x:v>9</x:v>
      </x:c>
      <x:c r="F53" s="181" t="n">
        <x:v>27000</x:v>
      </x:c>
      <x:c r="G53" s="38" t="n">
        <x:v>2</x:v>
      </x:c>
      <x:c r="H53" s="38" t="n">
        <x:v>1</x:v>
      </x:c>
      <x:c r="I53" s="38" t="n">
        <x:v>343</x:v>
      </x:c>
      <x:c r="J53" s="47" t="n">
        <x:v>0.18181818181818182</x:v>
      </x:c>
      <x:c r="K53" s="181" t="n">
        <x:v>27000</x:v>
      </x:c>
      <x:c r="L53" s="33" t="str">
        <x:v>Rotación baja</x:v>
      </x:c>
    </x:row>
    <x:row r="54">
      <x:c r="A54" s="31" t="str">
        <x:v>MOTS1081</x:v>
      </x:c>
      <x:c r="B54" s="53" t="str">
        <x:v>RETEN 30-40-7</x:v>
      </x:c>
      <x:c r="C54" s="38" t="n">
        <x:v>9</x:v>
      </x:c>
      <x:c r="D54" s="181" t="n">
        <x:v>27000</x:v>
      </x:c>
      <x:c r="E54" s="38" t="n">
        <x:v>9</x:v>
      </x:c>
      <x:c r="F54" s="181" t="n">
        <x:v>27000</x:v>
      </x:c>
      <x:c r="G54" s="38" t="n">
        <x:v>0</x:v>
      </x:c>
      <x:c r="H54" s="38" t="n">
        <x:v>0</x:v>
      </x:c>
      <x:c r="I54" s="38"/>
      <x:c r="J54" s="47" t="n">
        <x:v>0</x:v>
      </x:c>
      <x:c r="K54" s="181" t="n">
        <x:v>27000</x:v>
      </x:c>
      <x:c r="L54" s="33" t="str">
        <x:v>Sin ventas desde compra</x:v>
      </x:c>
    </x:row>
    <x:row r="55">
      <x:c r="A55" s="31" t="str">
        <x:v>1004143</x:v>
      </x:c>
      <x:c r="B55" s="53" t="str">
        <x:v>KIT DISTRIBUCCION ECO DELUXE 22K 130 LB CROWN</x:v>
      </x:c>
      <x:c r="C55" s="38" t="n">
        <x:v>1</x:v>
      </x:c>
      <x:c r="D55" s="181" t="n">
        <x:v>26000</x:v>
      </x:c>
      <x:c r="E55" s="38" t="n">
        <x:v>1</x:v>
      </x:c>
      <x:c r="F55" s="181" t="n">
        <x:v>26000</x:v>
      </x:c>
      <x:c r="G55" s="38" t="n">
        <x:v>0</x:v>
      </x:c>
      <x:c r="H55" s="38" t="n">
        <x:v>0</x:v>
      </x:c>
      <x:c r="I55" s="38"/>
      <x:c r="J55" s="47" t="n">
        <x:v>0</x:v>
      </x:c>
      <x:c r="K55" s="181" t="n">
        <x:v>26000</x:v>
      </x:c>
      <x:c r="L55" s="33" t="str">
        <x:v>Sin ventas desde compra</x:v>
      </x:c>
    </x:row>
    <x:row r="56">
      <x:c r="A56" s="31" t="str">
        <x:v>11576</x:v>
      </x:c>
      <x:c r="B56" s="53" t="str">
        <x:v>GUAYA CLUCTH GS 125 MOTOTEC</x:v>
      </x:c>
      <x:c r="C56" s="38" t="n">
        <x:v>1</x:v>
      </x:c>
      <x:c r="D56" s="181" t="n">
        <x:v>5000</x:v>
      </x:c>
      <x:c r="E56" s="38" t="n">
        <x:v>5</x:v>
      </x:c>
      <x:c r="F56" s="181" t="n">
        <x:v>25000</x:v>
      </x:c>
      <x:c r="G56" s="38" t="n">
        <x:v>0</x:v>
      </x:c>
      <x:c r="H56" s="38" t="n">
        <x:v>0</x:v>
      </x:c>
      <x:c r="I56" s="38"/>
      <x:c r="J56" s="47" t="n">
        <x:v>0</x:v>
      </x:c>
      <x:c r="K56" s="181" t="n">
        <x:v>5000</x:v>
      </x:c>
      <x:c r="L56" s="33" t="str">
        <x:v>Sin ventas desde compra</x:v>
      </x:c>
    </x:row>
    <x:row r="57">
      <x:c r="A57" s="31" t="str">
        <x:v>MOTS1183</x:v>
      </x:c>
      <x:c r="B57" s="53" t="str">
        <x:v>MANIGUETA DER  VARIOS</x:v>
      </x:c>
      <x:c r="C57" s="38" t="n">
        <x:v>7</x:v>
      </x:c>
      <x:c r="D57" s="181" t="n">
        <x:v>24500</x:v>
      </x:c>
      <x:c r="E57" s="38" t="n">
        <x:v>7</x:v>
      </x:c>
      <x:c r="F57" s="181" t="n">
        <x:v>24500</x:v>
      </x:c>
      <x:c r="G57" s="38" t="n">
        <x:v>0</x:v>
      </x:c>
      <x:c r="H57" s="38" t="n">
        <x:v>0</x:v>
      </x:c>
      <x:c r="I57" s="38"/>
      <x:c r="J57" s="47" t="n">
        <x:v>0</x:v>
      </x:c>
      <x:c r="K57" s="181" t="n">
        <x:v>24500</x:v>
      </x:c>
      <x:c r="L57" s="33" t="str">
        <x:v>Sin ventas desde compra</x:v>
      </x:c>
    </x:row>
    <x:row r="58">
      <x:c r="A58" s="31" t="str">
        <x:v>MOTS1077</x:v>
      </x:c>
      <x:c r="B58" s="53" t="str">
        <x:v>RETEN 14-25-5</x:v>
      </x:c>
      <x:c r="C58" s="38" t="n">
        <x:v>13</x:v>
      </x:c>
      <x:c r="D58" s="181" t="n">
        <x:v>26000</x:v>
      </x:c>
      <x:c r="E58" s="38" t="n">
        <x:v>12</x:v>
      </x:c>
      <x:c r="F58" s="181" t="n">
        <x:v>24000</x:v>
      </x:c>
      <x:c r="G58" s="38" t="n">
        <x:v>1</x:v>
      </x:c>
      <x:c r="H58" s="38" t="n">
        <x:v>0</x:v>
      </x:c>
      <x:c r="I58" s="38" t="n">
        <x:v>742</x:v>
      </x:c>
      <x:c r="J58" s="47" t="n">
        <x:v>0.07692307692307693</x:v>
      </x:c>
      <x:c r="K58" s="181" t="n">
        <x:v>24000</x:v>
      </x:c>
      <x:c r="L58" s="33" t="str">
        <x:v>Con stock, sin ventas 365d</x:v>
      </x:c>
    </x:row>
    <x:row r="59">
      <x:c r="A59" s="31" t="str">
        <x:v>MOTS1121</x:v>
      </x:c>
      <x:c r="B59" s="53" t="str">
        <x:v>SWICHE FZ - YB1 - XT2 - 125 MIYAZURA</x:v>
      </x:c>
      <x:c r="C59" s="38" t="n">
        <x:v>1</x:v>
      </x:c>
      <x:c r="D59" s="181" t="n">
        <x:v>24000</x:v>
      </x:c>
      <x:c r="E59" s="38" t="n">
        <x:v>1</x:v>
      </x:c>
      <x:c r="F59" s="181" t="n">
        <x:v>24000</x:v>
      </x:c>
      <x:c r="G59" s="38" t="n">
        <x:v>1</x:v>
      </x:c>
      <x:c r="H59" s="38" t="n">
        <x:v>0</x:v>
      </x:c>
      <x:c r="I59" s="38" t="n">
        <x:v>702</x:v>
      </x:c>
      <x:c r="J59" s="47" t="n">
        <x:v>1</x:v>
      </x:c>
      <x:c r="K59" s="181" t="n">
        <x:v>0</x:v>
      </x:c>
      <x:c r="L59" s="33" t="str">
        <x:v>Con stock, sin ventas 365d</x:v>
      </x:c>
    </x:row>
    <x:row r="60">
      <x:c r="A60" s="31" t="str">
        <x:v>MOTS1063</x:v>
      </x:c>
      <x:c r="B60" s="53" t="str">
        <x:v>RETEN 26-36-10-5</x:v>
      </x:c>
      <x:c r="C60" s="38" t="n">
        <x:v>10</x:v>
      </x:c>
      <x:c r="D60" s="181" t="n">
        <x:v>30000</x:v>
      </x:c>
      <x:c r="E60" s="38" t="n">
        <x:v>8</x:v>
      </x:c>
      <x:c r="F60" s="181" t="n">
        <x:v>24000</x:v>
      </x:c>
      <x:c r="G60" s="38" t="n">
        <x:v>2</x:v>
      </x:c>
      <x:c r="H60" s="38" t="n">
        <x:v>0</x:v>
      </x:c>
      <x:c r="I60" s="38" t="n">
        <x:v>684</x:v>
      </x:c>
      <x:c r="J60" s="47" t="n">
        <x:v>0.2</x:v>
      </x:c>
      <x:c r="K60" s="181" t="n">
        <x:v>24000</x:v>
      </x:c>
      <x:c r="L60" s="33" t="str">
        <x:v>Con stock, sin ventas 365d</x:v>
      </x:c>
    </x:row>
    <x:row r="61">
      <x:c r="A61" s="31" t="str">
        <x:v>MOTS1113</x:v>
      </x:c>
      <x:c r="B61" s="53" t="str">
        <x:v>PATA LATERAL VARIAS</x:v>
      </x:c>
      <x:c r="C61" s="38" t="n">
        <x:v>4</x:v>
      </x:c>
      <x:c r="D61" s="181" t="n">
        <x:v>32000</x:v>
      </x:c>
      <x:c r="E61" s="38" t="n">
        <x:v>3</x:v>
      </x:c>
      <x:c r="F61" s="181" t="n">
        <x:v>24000</x:v>
      </x:c>
      <x:c r="G61" s="38" t="n">
        <x:v>2</x:v>
      </x:c>
      <x:c r="H61" s="38" t="n">
        <x:v>0</x:v>
      </x:c>
      <x:c r="I61" s="38" t="n">
        <x:v>392</x:v>
      </x:c>
      <x:c r="J61" s="47" t="n">
        <x:v>0.5</x:v>
      </x:c>
      <x:c r="K61" s="181" t="n">
        <x:v>16000</x:v>
      </x:c>
      <x:c r="L61" s="33" t="str">
        <x:v>Con stock, sin ventas 365d</x:v>
      </x:c>
    </x:row>
    <x:row r="62">
      <x:c r="A62" s="31" t="str">
        <x:v>822204</x:v>
      </x:c>
      <x:c r="B62" s="53" t="str">
        <x:v>BUJIA NXR 125 / 130 BROS EVEREST</x:v>
      </x:c>
      <x:c r="C62" s="38" t="n">
        <x:v>7</x:v>
      </x:c>
      <x:c r="D62" s="181" t="n">
        <x:v>28000</x:v>
      </x:c>
      <x:c r="E62" s="38" t="n">
        <x:v>6</x:v>
      </x:c>
      <x:c r="F62" s="181" t="n">
        <x:v>24000</x:v>
      </x:c>
      <x:c r="G62" s="38" t="n">
        <x:v>1</x:v>
      </x:c>
      <x:c r="H62" s="38" t="n">
        <x:v>1</x:v>
      </x:c>
      <x:c r="I62" s="38" t="n">
        <x:v>253</x:v>
      </x:c>
      <x:c r="J62" s="47" t="n">
        <x:v>0.14285714285714285</x:v>
      </x:c>
      <x:c r="K62" s="181" t="n">
        <x:v>24000</x:v>
      </x:c>
      <x:c r="L62" s="33" t="str">
        <x:v>Rotación baja</x:v>
      </x:c>
    </x:row>
    <x:row r="63">
      <x:c r="A63" s="31" t="str">
        <x:v>MOTS1223</x:v>
      </x:c>
      <x:c r="B63" s="53" t="str">
        <x:v>BALINERA 6004 2RS E500</x:v>
      </x:c>
      <x:c r="C63" s="38" t="n">
        <x:v>9</x:v>
      </x:c>
      <x:c r="D63" s="181" t="n">
        <x:v>36000</x:v>
      </x:c>
      <x:c r="E63" s="38" t="n">
        <x:v>6</x:v>
      </x:c>
      <x:c r="F63" s="181" t="n">
        <x:v>24000</x:v>
      </x:c>
      <x:c r="G63" s="38" t="n">
        <x:v>3</x:v>
      </x:c>
      <x:c r="H63" s="38" t="n">
        <x:v>2</x:v>
      </x:c>
      <x:c r="I63" s="38" t="n">
        <x:v>208</x:v>
      </x:c>
      <x:c r="J63" s="47" t="n">
        <x:v>0.3333333333333333</x:v>
      </x:c>
      <x:c r="K63" s="181" t="n">
        <x:v>24000</x:v>
      </x:c>
      <x:c r="L63" s="33" t="str">
        <x:v>Rotación baja</x:v>
      </x:c>
    </x:row>
    <x:row r="64">
      <x:c r="A64" s="31" t="str">
        <x:v>101025</x:v>
      </x:c>
      <x:c r="B64" s="53" t="str">
        <x:v>BASE MANIGUETA XL 100-125/85 JAPAN</x:v>
      </x:c>
      <x:c r="C64" s="38" t="n">
        <x:v>3</x:v>
      </x:c>
      <x:c r="D64" s="181" t="n">
        <x:v>24000</x:v>
      </x:c>
      <x:c r="E64" s="38" t="n">
        <x:v>3</x:v>
      </x:c>
      <x:c r="F64" s="181" t="n">
        <x:v>24000</x:v>
      </x:c>
      <x:c r="G64" s="38" t="n">
        <x:v>0</x:v>
      </x:c>
      <x:c r="H64" s="38" t="n">
        <x:v>0</x:v>
      </x:c>
      <x:c r="I64" s="38"/>
      <x:c r="J64" s="47" t="n">
        <x:v>0</x:v>
      </x:c>
      <x:c r="K64" s="181" t="n">
        <x:v>24000</x:v>
      </x:c>
      <x:c r="L64" s="33" t="str">
        <x:v>Sin ventas desde compra</x:v>
      </x:c>
    </x:row>
    <x:row r="65">
      <x:c r="A65" s="31" t="str">
        <x:v>MOTS1262</x:v>
      </x:c>
      <x:c r="B65" s="53" t="str">
        <x:v>GUAYA CLUCTH PULSAR NS CUPRAPARTS</x:v>
      </x:c>
      <x:c r="C65" s="38" t="n">
        <x:v>2</x:v>
      </x:c>
      <x:c r="D65" s="181" t="n">
        <x:v>24000</x:v>
      </x:c>
      <x:c r="E65" s="38" t="n">
        <x:v>2</x:v>
      </x:c>
      <x:c r="F65" s="181" t="n">
        <x:v>24000</x:v>
      </x:c>
      <x:c r="G65" s="38" t="n">
        <x:v>0</x:v>
      </x:c>
      <x:c r="H65" s="38" t="n">
        <x:v>0</x:v>
      </x:c>
      <x:c r="I65" s="38"/>
      <x:c r="J65" s="47" t="n">
        <x:v>0</x:v>
      </x:c>
      <x:c r="K65" s="181" t="n">
        <x:v>24000</x:v>
      </x:c>
      <x:c r="L65" s="33" t="str">
        <x:v>Sin ventas desde compra</x:v>
      </x:c>
    </x:row>
    <x:row r="66">
      <x:c r="A66" s="31" t="str">
        <x:v>MOTS1016</x:v>
      </x:c>
      <x:c r="B66" s="53" t="str">
        <x:v>ACEITE MOBIL 20W-50 PREMIUM 4T MOBIL SUPER</x:v>
      </x:c>
      <x:c r="C66" s="38" t="n">
        <x:v>4</x:v>
      </x:c>
      <x:c r="D66" s="181" t="n">
        <x:v>92000</x:v>
      </x:c>
      <x:c r="E66" s="38" t="n">
        <x:v>1</x:v>
      </x:c>
      <x:c r="F66" s="181" t="n">
        <x:v>23000</x:v>
      </x:c>
      <x:c r="G66" s="38" t="n">
        <x:v>4</x:v>
      </x:c>
      <x:c r="H66" s="38" t="n">
        <x:v>0</x:v>
      </x:c>
      <x:c r="I66" s="38" t="n">
        <x:v>756</x:v>
      </x:c>
      <x:c r="J66" s="47" t="n">
        <x:v>1</x:v>
      </x:c>
      <x:c r="K66" s="181" t="n">
        <x:v>0</x:v>
      </x:c>
      <x:c r="L66" s="33" t="str">
        <x:v>Con stock, sin ventas 365d</x:v>
      </x:c>
    </x:row>
    <x:row r="67">
      <x:c r="A67" s="31" t="str">
        <x:v>MOTS1206</x:v>
      </x:c>
      <x:c r="B67" s="53" t="str">
        <x:v>JUEGO RADIOS 9 X 164 NITROX</x:v>
      </x:c>
      <x:c r="C67" s="38" t="n">
        <x:v>2</x:v>
      </x:c>
      <x:c r="D67" s="181" t="n">
        <x:v>23000</x:v>
      </x:c>
      <x:c r="E67" s="38" t="n">
        <x:v>2</x:v>
      </x:c>
      <x:c r="F67" s="181" t="n">
        <x:v>23000</x:v>
      </x:c>
      <x:c r="G67" s="38" t="n">
        <x:v>0</x:v>
      </x:c>
      <x:c r="H67" s="38" t="n">
        <x:v>0</x:v>
      </x:c>
      <x:c r="I67" s="38"/>
      <x:c r="J67" s="47" t="n">
        <x:v>0</x:v>
      </x:c>
      <x:c r="K67" s="181" t="n">
        <x:v>23000</x:v>
      </x:c>
      <x:c r="L67" s="33" t="str">
        <x:v>Sin ventas desde compra</x:v>
      </x:c>
    </x:row>
    <x:row r="68">
      <x:c r="A68" s="31" t="str">
        <x:v>KIT - 043572</x:v>
      </x:c>
      <x:c r="B68" s="53" t="str">
        <x:v>KIT EMPAQUE COMPLETO CB 110 / DREAM NEO SYK</x:v>
      </x:c>
      <x:c r="C68" s="38" t="n">
        <x:v>3</x:v>
      </x:c>
      <x:c r="D68" s="181" t="n">
        <x:v>34011</x:v>
      </x:c>
      <x:c r="E68" s="38" t="n">
        <x:v>2</x:v>
      </x:c>
      <x:c r="F68" s="181" t="n">
        <x:v>22674</x:v>
      </x:c>
      <x:c r="G68" s="38" t="n">
        <x:v>2</x:v>
      </x:c>
      <x:c r="H68" s="38" t="n">
        <x:v>0</x:v>
      </x:c>
      <x:c r="I68" s="38" t="n">
        <x:v>678</x:v>
      </x:c>
      <x:c r="J68" s="47" t="n">
        <x:v>0.6666666666666666</x:v>
      </x:c>
      <x:c r="K68" s="181" t="n">
        <x:v>11337</x:v>
      </x:c>
      <x:c r="L68" s="33" t="str">
        <x:v>Con stock, sin ventas 365d</x:v>
      </x:c>
    </x:row>
    <x:row r="69">
      <x:c r="A69" s="31" t="str">
        <x:v>CAU - 132</x:v>
      </x:c>
      <x:c r="B69" s="53" t="str">
        <x:v>CAUCHOS TORQUE DT 125</x:v>
      </x:c>
      <x:c r="C69" s="38" t="n">
        <x:v>3</x:v>
      </x:c>
      <x:c r="D69" s="181" t="n">
        <x:v>31800</x:v>
      </x:c>
      <x:c r="E69" s="38" t="n">
        <x:v>2</x:v>
      </x:c>
      <x:c r="F69" s="181" t="n">
        <x:v>21200</x:v>
      </x:c>
      <x:c r="G69" s="38" t="n">
        <x:v>1</x:v>
      </x:c>
      <x:c r="H69" s="38" t="n">
        <x:v>1</x:v>
      </x:c>
      <x:c r="I69" s="38" t="n">
        <x:v>234</x:v>
      </x:c>
      <x:c r="J69" s="47" t="n">
        <x:v>0.3333333333333333</x:v>
      </x:c>
      <x:c r="K69" s="181" t="n">
        <x:v>21200</x:v>
      </x:c>
      <x:c r="L69" s="33" t="str">
        <x:v>Rotación baja</x:v>
      </x:c>
    </x:row>
    <x:row r="70">
      <x:c r="A70" s="31" t="str">
        <x:v>203259</x:v>
      </x:c>
      <x:c r="B70" s="53" t="str">
        <x:v>GUAYA ACELERADOR FZ 16 MN EVERESTT</x:v>
      </x:c>
      <x:c r="C70" s="38" t="n">
        <x:v>7</x:v>
      </x:c>
      <x:c r="D70" s="181" t="n">
        <x:v>49000</x:v>
      </x:c>
      <x:c r="E70" s="38" t="n">
        <x:v>3</x:v>
      </x:c>
      <x:c r="F70" s="181" t="n">
        <x:v>21000</x:v>
      </x:c>
      <x:c r="G70" s="38" t="n">
        <x:v>5</x:v>
      </x:c>
      <x:c r="H70" s="38" t="n">
        <x:v>0</x:v>
      </x:c>
      <x:c r="I70" s="38" t="n">
        <x:v>456</x:v>
      </x:c>
      <x:c r="J70" s="47" t="n">
        <x:v>0.7142857142857143</x:v>
      </x:c>
      <x:c r="K70" s="181" t="n">
        <x:v>14000</x:v>
      </x:c>
      <x:c r="L70" s="33" t="str">
        <x:v>Con stock, sin ventas 365d</x:v>
      </x:c>
    </x:row>
    <x:row r="71">
      <x:c r="A71" s="31" t="str">
        <x:v>MOTS1054</x:v>
      </x:c>
      <x:c r="B71" s="53" t="str">
        <x:v>RETEN 25-44-7</x:v>
      </x:c>
      <x:c r="C71" s="38" t="n">
        <x:v>8</x:v>
      </x:c>
      <x:c r="D71" s="181" t="n">
        <x:v>24000</x:v>
      </x:c>
      <x:c r="E71" s="38" t="n">
        <x:v>7</x:v>
      </x:c>
      <x:c r="F71" s="181" t="n">
        <x:v>21000</x:v>
      </x:c>
      <x:c r="G71" s="38" t="n">
        <x:v>1</x:v>
      </x:c>
      <x:c r="H71" s="38" t="n">
        <x:v>1</x:v>
      </x:c>
      <x:c r="I71" s="38" t="n">
        <x:v>322</x:v>
      </x:c>
      <x:c r="J71" s="47" t="n">
        <x:v>0.125</x:v>
      </x:c>
      <x:c r="K71" s="181" t="n">
        <x:v>21000</x:v>
      </x:c>
      <x:c r="L71" s="33" t="str">
        <x:v>Rotación baja</x:v>
      </x:c>
    </x:row>
    <x:row r="72">
      <x:c r="A72" s="31" t="str">
        <x:v>MOTS1094</x:v>
      </x:c>
      <x:c r="B72" s="53" t="str">
        <x:v>RETEN 4.8-22-7</x:v>
      </x:c>
      <x:c r="C72" s="38" t="n">
        <x:v>14</x:v>
      </x:c>
      <x:c r="D72" s="181" t="n">
        <x:v>21000</x:v>
      </x:c>
      <x:c r="E72" s="38" t="n">
        <x:v>14</x:v>
      </x:c>
      <x:c r="F72" s="181" t="n">
        <x:v>21000</x:v>
      </x:c>
      <x:c r="G72" s="38" t="n">
        <x:v>0</x:v>
      </x:c>
      <x:c r="H72" s="38" t="n">
        <x:v>0</x:v>
      </x:c>
      <x:c r="I72" s="38"/>
      <x:c r="J72" s="47" t="n">
        <x:v>0</x:v>
      </x:c>
      <x:c r="K72" s="181" t="n">
        <x:v>21000</x:v>
      </x:c>
      <x:c r="L72" s="33" t="str">
        <x:v>Sin ventas desde compra</x:v>
      </x:c>
    </x:row>
    <x:row r="73">
      <x:c r="A73" s="31" t="str">
        <x:v>MOTS1141</x:v>
      </x:c>
      <x:c r="B73" s="53" t="str">
        <x:v>DONAS MOFLE VARIAS</x:v>
      </x:c>
      <x:c r="C73" s="38" t="n">
        <x:v>6</x:v>
      </x:c>
      <x:c r="D73" s="181" t="n">
        <x:v>21000</x:v>
      </x:c>
      <x:c r="E73" s="38" t="n">
        <x:v>6</x:v>
      </x:c>
      <x:c r="F73" s="181" t="n">
        <x:v>21000</x:v>
      </x:c>
      <x:c r="G73" s="38" t="n">
        <x:v>0</x:v>
      </x:c>
      <x:c r="H73" s="38" t="n">
        <x:v>0</x:v>
      </x:c>
      <x:c r="I73" s="38"/>
      <x:c r="J73" s="47" t="n">
        <x:v>0</x:v>
      </x:c>
      <x:c r="K73" s="181" t="n">
        <x:v>21000</x:v>
      </x:c>
      <x:c r="L73" s="33" t="str">
        <x:v>Sin ventas desde compra</x:v>
      </x:c>
    </x:row>
    <x:row r="74">
      <x:c r="A74" s="31" t="str">
        <x:v>MOTS1179</x:v>
      </x:c>
      <x:c r="B74" s="53" t="str">
        <x:v>MANIGUETA DER CB 110 SAI MOTOR CYCLE</x:v>
      </x:c>
      <x:c r="C74" s="38" t="n">
        <x:v>6</x:v>
      </x:c>
      <x:c r="D74" s="181" t="n">
        <x:v>21000</x:v>
      </x:c>
      <x:c r="E74" s="38" t="n">
        <x:v>6</x:v>
      </x:c>
      <x:c r="F74" s="181" t="n">
        <x:v>21000</x:v>
      </x:c>
      <x:c r="G74" s="38" t="n">
        <x:v>0</x:v>
      </x:c>
      <x:c r="H74" s="38" t="n">
        <x:v>0</x:v>
      </x:c>
      <x:c r="I74" s="38"/>
      <x:c r="J74" s="47" t="n">
        <x:v>0</x:v>
      </x:c>
      <x:c r="K74" s="181" t="n">
        <x:v>21000</x:v>
      </x:c>
      <x:c r="L74" s="33" t="str">
        <x:v>Sin ventas desde compra</x:v>
      </x:c>
    </x:row>
    <x:row r="75">
      <x:c r="A75" s="31" t="str">
        <x:v>TAP-006</x:v>
      </x:c>
      <x:c r="B75" s="53" t="str">
        <x:v>TAPON CARTER # 14</x:v>
      </x:c>
      <x:c r="C75" s="38" t="n">
        <x:v>11</x:v>
      </x:c>
      <x:c r="D75" s="181" t="n">
        <x:v>20900</x:v>
      </x:c>
      <x:c r="E75" s="38" t="n">
        <x:v>11</x:v>
      </x:c>
      <x:c r="F75" s="181" t="n">
        <x:v>20900</x:v>
      </x:c>
      <x:c r="G75" s="38" t="n">
        <x:v>0</x:v>
      </x:c>
      <x:c r="H75" s="38" t="n">
        <x:v>0</x:v>
      </x:c>
      <x:c r="I75" s="38"/>
      <x:c r="J75" s="47" t="n">
        <x:v>0</x:v>
      </x:c>
      <x:c r="K75" s="181" t="n">
        <x:v>20900</x:v>
      </x:c>
      <x:c r="L75" s="33" t="str">
        <x:v>Sin ventas desde compra</x:v>
      </x:c>
    </x:row>
    <x:row r="76">
      <x:c r="A76" s="31" t="str">
        <x:v>MOTS1023</x:v>
      </x:c>
      <x:c r="B76" s="53" t="str">
        <x:v>RUM COMPLETO NEGRO NIP POW</x:v>
      </x:c>
      <x:c r="C76" s="38" t="n">
        <x:v>9</x:v>
      </x:c>
      <x:c r="D76" s="181" t="n">
        <x:v>61200</x:v>
      </x:c>
      <x:c r="E76" s="38" t="n">
        <x:v>3</x:v>
      </x:c>
      <x:c r="F76" s="181" t="n">
        <x:v>20400</x:v>
      </x:c>
      <x:c r="G76" s="38" t="n">
        <x:v>9</x:v>
      </x:c>
      <x:c r="H76" s="38" t="n">
        <x:v>0</x:v>
      </x:c>
      <x:c r="I76" s="38" t="n">
        <x:v>492</x:v>
      </x:c>
      <x:c r="J76" s="47" t="n">
        <x:v>1</x:v>
      </x:c>
      <x:c r="K76" s="181" t="n">
        <x:v>0</x:v>
      </x:c>
      <x:c r="L76" s="33" t="str">
        <x:v>Con stock, sin ventas 365d</x:v>
      </x:c>
    </x:row>
    <x:row r="77">
      <x:c r="A77" s="31" t="str">
        <x:v>CAD-041</x:v>
      </x:c>
      <x:c r="B77" s="53" t="str">
        <x:v>CADENILLA CB 110X88 HONDA</x:v>
      </x:c>
      <x:c r="C77" s="38" t="n">
        <x:v>2</x:v>
      </x:c>
      <x:c r="D77" s="181" t="n">
        <x:v>20000</x:v>
      </x:c>
      <x:c r="E77" s="38" t="n">
        <x:v>2</x:v>
      </x:c>
      <x:c r="F77" s="181" t="n">
        <x:v>20000</x:v>
      </x:c>
      <x:c r="G77" s="38" t="n">
        <x:v>1</x:v>
      </x:c>
      <x:c r="H77" s="38" t="n">
        <x:v>0</x:v>
      </x:c>
      <x:c r="I77" s="38" t="n">
        <x:v>636</x:v>
      </x:c>
      <x:c r="J77" s="47" t="n">
        <x:v>0.5</x:v>
      </x:c>
      <x:c r="K77" s="181" t="n">
        <x:v>10000</x:v>
      </x:c>
      <x:c r="L77" s="33" t="str">
        <x:v>Con stock, sin ventas 365d</x:v>
      </x:c>
    </x:row>
    <x:row r="78">
      <x:c r="A78" s="31" t="str">
        <x:v>MOTS1098</x:v>
      </x:c>
      <x:c r="B78" s="53" t="str">
        <x:v>RETEN 15-26-6</x:v>
      </x:c>
      <x:c r="C78" s="38" t="n">
        <x:v>11</x:v>
      </x:c>
      <x:c r="D78" s="181" t="n">
        <x:v>22000</x:v>
      </x:c>
      <x:c r="E78" s="38" t="n">
        <x:v>10</x:v>
      </x:c>
      <x:c r="F78" s="181" t="n">
        <x:v>20000</x:v>
      </x:c>
      <x:c r="G78" s="38" t="n">
        <x:v>1</x:v>
      </x:c>
      <x:c r="H78" s="38" t="n">
        <x:v>1</x:v>
      </x:c>
      <x:c r="I78" s="38" t="n">
        <x:v>256</x:v>
      </x:c>
      <x:c r="J78" s="47" t="n">
        <x:v>0.09090909090909091</x:v>
      </x:c>
      <x:c r="K78" s="181" t="n">
        <x:v>20000</x:v>
      </x:c>
      <x:c r="L78" s="33" t="str">
        <x:v>Rotación baja</x:v>
      </x:c>
    </x:row>
    <x:row r="79">
      <x:c r="A79" s="31" t="str">
        <x:v>60187</x:v>
      </x:c>
      <x:c r="B79" s="53" t="str">
        <x:v>GUAYA ACELERADOR XLR 125 GUAYAS Y PARTES</x:v>
      </x:c>
      <x:c r="C79" s="38" t="n">
        <x:v>4</x:v>
      </x:c>
      <x:c r="D79" s="181" t="n">
        <x:v>20000</x:v>
      </x:c>
      <x:c r="E79" s="38" t="n">
        <x:v>4</x:v>
      </x:c>
      <x:c r="F79" s="181" t="n">
        <x:v>20000</x:v>
      </x:c>
      <x:c r="G79" s="38" t="n">
        <x:v>0</x:v>
      </x:c>
      <x:c r="H79" s="38" t="n">
        <x:v>0</x:v>
      </x:c>
      <x:c r="I79" s="38"/>
      <x:c r="J79" s="47" t="n">
        <x:v>0</x:v>
      </x:c>
      <x:c r="K79" s="181" t="n">
        <x:v>20000</x:v>
      </x:c>
      <x:c r="L79" s="33" t="str">
        <x:v>Sin ventas desde compra</x:v>
      </x:c>
    </x:row>
    <x:row r="80">
      <x:c r="A80" s="31" t="str">
        <x:v>MOTS1058</x:v>
      </x:c>
      <x:c r="B80" s="53" t="str">
        <x:v>RETEN 30-44-7</x:v>
      </x:c>
      <x:c r="C80" s="38" t="n">
        <x:v>5</x:v>
      </x:c>
      <x:c r="D80" s="181" t="n">
        <x:v>20000</x:v>
      </x:c>
      <x:c r="E80" s="38" t="n">
        <x:v>5</x:v>
      </x:c>
      <x:c r="F80" s="181" t="n">
        <x:v>20000</x:v>
      </x:c>
      <x:c r="G80" s="38" t="n">
        <x:v>0</x:v>
      </x:c>
      <x:c r="H80" s="38" t="n">
        <x:v>0</x:v>
      </x:c>
      <x:c r="I80" s="38"/>
      <x:c r="J80" s="47" t="n">
        <x:v>0</x:v>
      </x:c>
      <x:c r="K80" s="181" t="n">
        <x:v>20000</x:v>
      </x:c>
      <x:c r="L80" s="33" t="str">
        <x:v>Sin ventas desde compra</x:v>
      </x:c>
    </x:row>
    <x:row r="81">
      <x:c r="A81" s="31" t="str">
        <x:v>MOTS1080</x:v>
      </x:c>
      <x:c r="B81" s="53" t="str">
        <x:v>RETEN 7-26-5-5</x:v>
      </x:c>
      <x:c r="C81" s="38" t="n">
        <x:v>10</x:v>
      </x:c>
      <x:c r="D81" s="181" t="n">
        <x:v>20000</x:v>
      </x:c>
      <x:c r="E81" s="38" t="n">
        <x:v>10</x:v>
      </x:c>
      <x:c r="F81" s="181" t="n">
        <x:v>20000</x:v>
      </x:c>
      <x:c r="G81" s="38" t="n">
        <x:v>0</x:v>
      </x:c>
      <x:c r="H81" s="38" t="n">
        <x:v>0</x:v>
      </x:c>
      <x:c r="I81" s="38"/>
      <x:c r="J81" s="47" t="n">
        <x:v>0</x:v>
      </x:c>
      <x:c r="K81" s="181" t="n">
        <x:v>20000</x:v>
      </x:c>
      <x:c r="L81" s="33" t="str">
        <x:v>Sin ventas desde compra</x:v>
      </x:c>
    </x:row>
    <x:row r="82">
      <x:c r="A82" s="31" t="str">
        <x:v>MOTS1096</x:v>
      </x:c>
      <x:c r="B82" s="53" t="str">
        <x:v>RETEN 15-28-7</x:v>
      </x:c>
      <x:c r="C82" s="38" t="n">
        <x:v>10</x:v>
      </x:c>
      <x:c r="D82" s="181" t="n">
        <x:v>20000</x:v>
      </x:c>
      <x:c r="E82" s="38" t="n">
        <x:v>10</x:v>
      </x:c>
      <x:c r="F82" s="181" t="n">
        <x:v>20000</x:v>
      </x:c>
      <x:c r="G82" s="38" t="n">
        <x:v>0</x:v>
      </x:c>
      <x:c r="H82" s="38" t="n">
        <x:v>0</x:v>
      </x:c>
      <x:c r="I82" s="38"/>
      <x:c r="J82" s="47" t="n">
        <x:v>0</x:v>
      </x:c>
      <x:c r="K82" s="181" t="n">
        <x:v>20000</x:v>
      </x:c>
      <x:c r="L82" s="33" t="str">
        <x:v>Sin ventas desde compra</x:v>
      </x:c>
    </x:row>
    <x:row r="83">
      <x:c r="A83" s="31" t="str">
        <x:v>MOTS1202</x:v>
      </x:c>
      <x:c r="B83" s="53" t="str">
        <x:v>CADENA 420 -1/2 X 1/4 TECCHAM</x:v>
      </x:c>
      <x:c r="C83" s="38" t="n">
        <x:v>1</x:v>
      </x:c>
      <x:c r="D83" s="181" t="n">
        <x:v>19800</x:v>
      </x:c>
      <x:c r="E83" s="38" t="n">
        <x:v>1</x:v>
      </x:c>
      <x:c r="F83" s="181" t="n">
        <x:v>19800</x:v>
      </x:c>
      <x:c r="G83" s="38" t="n">
        <x:v>0</x:v>
      </x:c>
      <x:c r="H83" s="38" t="n">
        <x:v>0</x:v>
      </x:c>
      <x:c r="I83" s="38"/>
      <x:c r="J83" s="47" t="n">
        <x:v>0</x:v>
      </x:c>
      <x:c r="K83" s="181" t="n">
        <x:v>19800</x:v>
      </x:c>
      <x:c r="L83" s="33" t="str">
        <x:v>Sin ventas desde compra</x:v>
      </x:c>
    </x:row>
    <x:row r="84">
      <x:c r="A84" s="31" t="str">
        <x:v>19L295E</x:v>
      </x:c>
      <x:c r="B84" s="53" t="str">
        <x:v>KIT MEDIO XT2 125 DAIR ROW</x:v>
      </x:c>
      <x:c r="C84" s="38" t="n">
        <x:v>2</x:v>
      </x:c>
      <x:c r="D84" s="181" t="n">
        <x:v>13000</x:v>
      </x:c>
      <x:c r="E84" s="38" t="n">
        <x:v>3</x:v>
      </x:c>
      <x:c r="F84" s="181" t="n">
        <x:v>19500</x:v>
      </x:c>
      <x:c r="G84" s="38" t="n">
        <x:v>1</x:v>
      </x:c>
      <x:c r="H84" s="38" t="n">
        <x:v>0</x:v>
      </x:c>
      <x:c r="I84" s="38" t="n">
        <x:v>410</x:v>
      </x:c>
      <x:c r="J84" s="47" t="n">
        <x:v>0.5</x:v>
      </x:c>
      <x:c r="K84" s="181" t="n">
        <x:v>6500</x:v>
      </x:c>
      <x:c r="L84" s="33" t="str">
        <x:v>Con stock, sin ventas 365d</x:v>
      </x:c>
    </x:row>
    <x:row r="85">
      <x:c r="A85" s="31" t="str">
        <x:v>MOTS1037</x:v>
      </x:c>
      <x:c r="B85" s="53" t="str">
        <x:v>RETEN 25-40-8</x:v>
      </x:c>
      <x:c r="C85" s="38" t="n">
        <x:v>19</x:v>
      </x:c>
      <x:c r="D85" s="181" t="n">
        <x:v>28500</x:v>
      </x:c>
      <x:c r="E85" s="38" t="n">
        <x:v>13</x:v>
      </x:c>
      <x:c r="F85" s="181" t="n">
        <x:v>19500</x:v>
      </x:c>
      <x:c r="G85" s="38" t="n">
        <x:v>6</x:v>
      </x:c>
      <x:c r="H85" s="38" t="n">
        <x:v>4</x:v>
      </x:c>
      <x:c r="I85" s="38" t="n">
        <x:v>96</x:v>
      </x:c>
      <x:c r="J85" s="47" t="n">
        <x:v>0.3157894736842105</x:v>
      </x:c>
      <x:c r="K85" s="181" t="n">
        <x:v>19500</x:v>
      </x:c>
      <x:c r="L85" s="33" t="str">
        <x:v>Rotación baja</x:v>
      </x:c>
    </x:row>
    <x:row r="86">
      <x:c r="A86" s="31" t="str">
        <x:v>87737025</x:v>
      </x:c>
      <x:c r="B86" s="53" t="str">
        <x:v>ESCOBILLAS ARRANQUE XR 150 L / CB 125 ROCHIN</x:v>
      </x:c>
      <x:c r="C86" s="38" t="n">
        <x:v>2</x:v>
      </x:c>
      <x:c r="D86" s="181" t="n">
        <x:v>19200</x:v>
      </x:c>
      <x:c r="E86" s="38" t="n">
        <x:v>2</x:v>
      </x:c>
      <x:c r="F86" s="181" t="n">
        <x:v>19200</x:v>
      </x:c>
      <x:c r="G86" s="38" t="n">
        <x:v>0</x:v>
      </x:c>
      <x:c r="H86" s="38" t="n">
        <x:v>0</x:v>
      </x:c>
      <x:c r="I86" s="38"/>
      <x:c r="J86" s="47" t="n">
        <x:v>0</x:v>
      </x:c>
      <x:c r="K86" s="181" t="n">
        <x:v>19200</x:v>
      </x:c>
      <x:c r="L86" s="33" t="str">
        <x:v>Sin ventas desde compra</x:v>
      </x:c>
    </x:row>
    <x:row r="87">
      <x:c r="A87" s="31" t="str">
        <x:v>MOTS1240</x:v>
      </x:c>
      <x:c r="B87" s="53" t="str">
        <x:v>BALINERA 6205 C3 AKITA</x:v>
      </x:c>
      <x:c r="C87" s="38" t="n">
        <x:v>6</x:v>
      </x:c>
      <x:c r="D87" s="181" t="n">
        <x:v>22800</x:v>
      </x:c>
      <x:c r="E87" s="38" t="n">
        <x:v>5</x:v>
      </x:c>
      <x:c r="F87" s="181" t="n">
        <x:v>19000</x:v>
      </x:c>
      <x:c r="G87" s="38" t="n">
        <x:v>1</x:v>
      </x:c>
      <x:c r="H87" s="38" t="n">
        <x:v>1</x:v>
      </x:c>
      <x:c r="I87" s="38" t="n">
        <x:v>169</x:v>
      </x:c>
      <x:c r="J87" s="47" t="n">
        <x:v>0.16666666666666666</x:v>
      </x:c>
      <x:c r="K87" s="181" t="n">
        <x:v>19000</x:v>
      </x:c>
      <x:c r="L87" s="33" t="str">
        <x:v>Rotación baja</x:v>
      </x:c>
    </x:row>
    <x:row r="88">
      <x:c r="A88" s="31" t="str">
        <x:v>27278</x:v>
      </x:c>
      <x:c r="B88" s="53" t="str">
        <x:v>CADENILLA CB 110 ANANT</x:v>
      </x:c>
      <x:c r="C88" s="38" t="n">
        <x:v>2</x:v>
      </x:c>
      <x:c r="D88" s="181" t="n">
        <x:v>19000</x:v>
      </x:c>
      <x:c r="E88" s="38" t="n">
        <x:v>2</x:v>
      </x:c>
      <x:c r="F88" s="181" t="n">
        <x:v>19000</x:v>
      </x:c>
      <x:c r="G88" s="38" t="n">
        <x:v>0</x:v>
      </x:c>
      <x:c r="H88" s="38" t="n">
        <x:v>0</x:v>
      </x:c>
      <x:c r="I88" s="38"/>
      <x:c r="J88" s="47" t="n">
        <x:v>0</x:v>
      </x:c>
      <x:c r="K88" s="181" t="n">
        <x:v>19000</x:v>
      </x:c>
      <x:c r="L88" s="33" t="str">
        <x:v>Sin ventas desde compra</x:v>
      </x:c>
    </x:row>
    <x:row r="89">
      <x:c r="A89" s="31" t="str">
        <x:v>COM - O96</x:v>
      </x:c>
      <x:c r="B89" s="53" t="str">
        <x:v>COMANDO IZQUIERDO ECO HONDA</x:v>
      </x:c>
      <x:c r="C89" s="38" t="n">
        <x:v>1</x:v>
      </x:c>
      <x:c r="D89" s="181" t="n">
        <x:v>19000</x:v>
      </x:c>
      <x:c r="E89" s="38" t="n">
        <x:v>1</x:v>
      </x:c>
      <x:c r="F89" s="181" t="n">
        <x:v>19000</x:v>
      </x:c>
      <x:c r="G89" s="38" t="n">
        <x:v>0</x:v>
      </x:c>
      <x:c r="H89" s="38" t="n">
        <x:v>0</x:v>
      </x:c>
      <x:c r="I89" s="38"/>
      <x:c r="J89" s="47" t="n">
        <x:v>0</x:v>
      </x:c>
      <x:c r="K89" s="181" t="n">
        <x:v>19000</x:v>
      </x:c>
      <x:c r="L89" s="33" t="str">
        <x:v>Sin ventas desde compra</x:v>
      </x:c>
    </x:row>
    <x:row r="90">
      <x:c r="A90" s="31" t="str">
        <x:v>902263</x:v>
      </x:c>
      <x:c r="B90" s="53" t="str">
        <x:v>MANIGUETA DER CA 100 SPLENDOR JAPAN</x:v>
      </x:c>
      <x:c r="C90" s="38" t="n">
        <x:v>10</x:v>
      </x:c>
      <x:c r="D90" s="181" t="n">
        <x:v>63000</x:v>
      </x:c>
      <x:c r="E90" s="38" t="n">
        <x:v>3</x:v>
      </x:c>
      <x:c r="F90" s="181" t="n">
        <x:v>18900</x:v>
      </x:c>
      <x:c r="G90" s="38" t="n">
        <x:v>10</x:v>
      </x:c>
      <x:c r="H90" s="38" t="n">
        <x:v>0</x:v>
      </x:c>
      <x:c r="I90" s="38" t="n">
        <x:v>523</x:v>
      </x:c>
      <x:c r="J90" s="47" t="n">
        <x:v>1</x:v>
      </x:c>
      <x:c r="K90" s="181" t="n">
        <x:v>0</x:v>
      </x:c>
      <x:c r="L90" s="33" t="str">
        <x:v>Con stock, sin ventas 365d</x:v>
      </x:c>
    </x:row>
    <x:row r="91">
      <x:c r="A91" s="31" t="str">
        <x:v>DAD - 001</x:v>
      </x:c>
      <x:c r="B91" s="53" t="str">
        <x:v>DADOS BWS YAMAHA</x:v>
      </x:c>
      <x:c r="C91" s="38" t="n">
        <x:v>2</x:v>
      </x:c>
      <x:c r="D91" s="181" t="n">
        <x:v>37000</x:v>
      </x:c>
      <x:c r="E91" s="38" t="n">
        <x:v>1</x:v>
      </x:c>
      <x:c r="F91" s="181" t="n">
        <x:v>18500</x:v>
      </x:c>
      <x:c r="G91" s="38" t="n">
        <x:v>2</x:v>
      </x:c>
      <x:c r="H91" s="38" t="n">
        <x:v>0</x:v>
      </x:c>
      <x:c r="I91" s="38" t="n">
        <x:v>494</x:v>
      </x:c>
      <x:c r="J91" s="47" t="n">
        <x:v>1</x:v>
      </x:c>
      <x:c r="K91" s="181" t="n">
        <x:v>0</x:v>
      </x:c>
      <x:c r="L91" s="33" t="str">
        <x:v>Con stock, sin ventas 365d</x:v>
      </x:c>
    </x:row>
    <x:row r="92">
      <x:c r="A92" s="31" t="str">
        <x:v>MOTS1105</x:v>
      </x:c>
      <x:c r="B92" s="53" t="str">
        <x:v>PIÑON GUIA CADENILLA CB110</x:v>
      </x:c>
      <x:c r="C92" s="38" t="n">
        <x:v>13</x:v>
      </x:c>
      <x:c r="D92" s="181" t="n">
        <x:v>29900</x:v>
      </x:c>
      <x:c r="E92" s="38" t="n">
        <x:v>8</x:v>
      </x:c>
      <x:c r="F92" s="181" t="n">
        <x:v>18400</x:v>
      </x:c>
      <x:c r="G92" s="38" t="n">
        <x:v>5</x:v>
      </x:c>
      <x:c r="H92" s="38" t="n">
        <x:v>1</x:v>
      </x:c>
      <x:c r="I92" s="38" t="n">
        <x:v>292</x:v>
      </x:c>
      <x:c r="J92" s="47" t="n">
        <x:v>0.38461538461538464</x:v>
      </x:c>
      <x:c r="K92" s="181" t="n">
        <x:v>18400</x:v>
      </x:c>
      <x:c r="L92" s="33" t="str">
        <x:v>Rotación baja</x:v>
      </x:c>
    </x:row>
    <x:row r="93">
      <x:c r="A93" s="31" t="str">
        <x:v>A181A1</x:v>
      </x:c>
      <x:c r="B93" s="53" t="str">
        <x:v>KIT MEDIO FZ 16 EMP.  AMERICA</x:v>
      </x:c>
      <x:c r="C93" s="38" t="n">
        <x:v>4</x:v>
      </x:c>
      <x:c r="D93" s="181" t="n">
        <x:v>18400</x:v>
      </x:c>
      <x:c r="E93" s="38" t="n">
        <x:v>4</x:v>
      </x:c>
      <x:c r="F93" s="181" t="n">
        <x:v>18400</x:v>
      </x:c>
      <x:c r="G93" s="38" t="n">
        <x:v>0</x:v>
      </x:c>
      <x:c r="H93" s="38" t="n">
        <x:v>0</x:v>
      </x:c>
      <x:c r="I93" s="38"/>
      <x:c r="J93" s="47" t="n">
        <x:v>0</x:v>
      </x:c>
      <x:c r="K93" s="181" t="n">
        <x:v>18400</x:v>
      </x:c>
      <x:c r="L93" s="33" t="str">
        <x:v>Sin ventas desde compra</x:v>
      </x:c>
    </x:row>
    <x:row r="94">
      <x:c r="A94" s="31" t="str">
        <x:v>ESC - 061</x:v>
      </x:c>
      <x:c r="B94" s="53" t="str">
        <x:v>ESCOBILLAS ARRANQUE XT2 125 YAMAHA</x:v>
      </x:c>
      <x:c r="C94" s="38" t="n">
        <x:v>5</x:v>
      </x:c>
      <x:c r="D94" s="181" t="n">
        <x:v>30000</x:v>
      </x:c>
      <x:c r="E94" s="38" t="n">
        <x:v>3</x:v>
      </x:c>
      <x:c r="F94" s="181" t="n">
        <x:v>18000</x:v>
      </x:c>
      <x:c r="G94" s="38" t="n">
        <x:v>2</x:v>
      </x:c>
      <x:c r="H94" s="38" t="n">
        <x:v>0</x:v>
      </x:c>
      <x:c r="I94" s="38" t="n">
        <x:v>699</x:v>
      </x:c>
      <x:c r="J94" s="47" t="n">
        <x:v>0.4</x:v>
      </x:c>
      <x:c r="K94" s="181" t="n">
        <x:v>18000</x:v>
      </x:c>
      <x:c r="L94" s="33" t="str">
        <x:v>Con stock, sin ventas 365d</x:v>
      </x:c>
    </x:row>
    <x:row r="95">
      <x:c r="A95" s="31" t="str">
        <x:v>HDR - C01</x:v>
      </x:c>
      <x:c r="B95" s="53" t="str">
        <x:v>HORQUILLAS ECO DELUXE HERO</x:v>
      </x:c>
      <x:c r="C95" s="38" t="n">
        <x:v>5</x:v>
      </x:c>
      <x:c r="D95" s="181" t="n">
        <x:v>90000</x:v>
      </x:c>
      <x:c r="E95" s="38" t="n">
        <x:v>1</x:v>
      </x:c>
      <x:c r="F95" s="181" t="n">
        <x:v>18000</x:v>
      </x:c>
      <x:c r="G95" s="38" t="n">
        <x:v>4</x:v>
      </x:c>
      <x:c r="H95" s="38" t="n">
        <x:v>0</x:v>
      </x:c>
      <x:c r="I95" s="38" t="n">
        <x:v>669</x:v>
      </x:c>
      <x:c r="J95" s="47" t="n">
        <x:v>0.8</x:v>
      </x:c>
      <x:c r="K95" s="181" t="n">
        <x:v>18000</x:v>
      </x:c>
      <x:c r="L95" s="33" t="str">
        <x:v>Con stock, sin ventas 365d</x:v>
      </x:c>
    </x:row>
    <x:row r="96">
      <x:c r="A96" s="31" t="str">
        <x:v>ESP 022 - 203A</x:v>
      </x:c>
      <x:c r="B96" s="53" t="str">
        <x:v>ESPEJOS YAMAHA V80 ROSCA No. 8</x:v>
      </x:c>
      <x:c r="C96" s="38" t="n">
        <x:v>2</x:v>
      </x:c>
      <x:c r="D96" s="181" t="n">
        <x:v>18000</x:v>
      </x:c>
      <x:c r="E96" s="38" t="n">
        <x:v>2</x:v>
      </x:c>
      <x:c r="F96" s="181" t="n">
        <x:v>18000</x:v>
      </x:c>
      <x:c r="G96" s="38" t="n">
        <x:v>0</x:v>
      </x:c>
      <x:c r="H96" s="38" t="n">
        <x:v>0</x:v>
      </x:c>
      <x:c r="I96" s="38"/>
      <x:c r="J96" s="47" t="n">
        <x:v>0</x:v>
      </x:c>
      <x:c r="K96" s="181" t="n">
        <x:v>18000</x:v>
      </x:c>
      <x:c r="L96" s="33" t="str">
        <x:v>Sin ventas desde compra</x:v>
      </x:c>
    </x:row>
    <x:row r="97">
      <x:c r="A97" s="31" t="str">
        <x:v>MOTS1002</x:v>
      </x:c>
      <x:c r="B97" s="53" t="str">
        <x:v>JUEGO TAPAS LATERALES CALIMATI NEGRA DIFEL</x:v>
      </x:c>
      <x:c r="C97" s="38" t="n">
        <x:v>1</x:v>
      </x:c>
      <x:c r="D97" s="181" t="n">
        <x:v>18000</x:v>
      </x:c>
      <x:c r="E97" s="38" t="n">
        <x:v>1</x:v>
      </x:c>
      <x:c r="F97" s="181" t="n">
        <x:v>18000</x:v>
      </x:c>
      <x:c r="G97" s="38" t="n">
        <x:v>0</x:v>
      </x:c>
      <x:c r="H97" s="38" t="n">
        <x:v>0</x:v>
      </x:c>
      <x:c r="I97" s="38"/>
      <x:c r="J97" s="47" t="n">
        <x:v>0</x:v>
      </x:c>
      <x:c r="K97" s="181" t="n">
        <x:v>18000</x:v>
      </x:c>
      <x:c r="L97" s="33" t="str">
        <x:v>Sin ventas desde compra</x:v>
      </x:c>
    </x:row>
    <x:row r="98">
      <x:c r="A98" s="31" t="str">
        <x:v>MOTS1003</x:v>
      </x:c>
      <x:c r="B98" s="53" t="str">
        <x:v>JUEGO DE TAPAS LATERALES CALIMATI ROJA DIFEL</x:v>
      </x:c>
      <x:c r="C98" s="38" t="n">
        <x:v>1</x:v>
      </x:c>
      <x:c r="D98" s="181" t="n">
        <x:v>18000</x:v>
      </x:c>
      <x:c r="E98" s="38" t="n">
        <x:v>1</x:v>
      </x:c>
      <x:c r="F98" s="181" t="n">
        <x:v>18000</x:v>
      </x:c>
      <x:c r="G98" s="38" t="n">
        <x:v>0</x:v>
      </x:c>
      <x:c r="H98" s="38" t="n">
        <x:v>0</x:v>
      </x:c>
      <x:c r="I98" s="38"/>
      <x:c r="J98" s="47" t="n">
        <x:v>0</x:v>
      </x:c>
      <x:c r="K98" s="181" t="n">
        <x:v>18000</x:v>
      </x:c>
      <x:c r="L98" s="33" t="str">
        <x:v>Sin ventas desde compra</x:v>
      </x:c>
    </x:row>
    <x:row r="99">
      <x:c r="A99" s="31" t="str">
        <x:v>MOTS1049</x:v>
      </x:c>
      <x:c r="B99" s="53" t="str">
        <x:v>RETEN 22-33-7</x:v>
      </x:c>
      <x:c r="C99" s="38" t="n">
        <x:v>9</x:v>
      </x:c>
      <x:c r="D99" s="181" t="n">
        <x:v>18000</x:v>
      </x:c>
      <x:c r="E99" s="38" t="n">
        <x:v>9</x:v>
      </x:c>
      <x:c r="F99" s="181" t="n">
        <x:v>18000</x:v>
      </x:c>
      <x:c r="G99" s="38" t="n">
        <x:v>0</x:v>
      </x:c>
      <x:c r="H99" s="38" t="n">
        <x:v>0</x:v>
      </x:c>
      <x:c r="I99" s="38"/>
      <x:c r="J99" s="47" t="n">
        <x:v>0</x:v>
      </x:c>
      <x:c r="K99" s="181" t="n">
        <x:v>18000</x:v>
      </x:c>
      <x:c r="L99" s="33" t="str">
        <x:v>Sin ventas desde compra</x:v>
      </x:c>
    </x:row>
    <x:row r="100">
      <x:c r="A100" s="31" t="str">
        <x:v>MOTS1138</x:v>
      </x:c>
      <x:c r="B100" s="53" t="str">
        <x:v>PROTECTOR VENTILADOR  BWS</x:v>
      </x:c>
      <x:c r="C100" s="38" t="n">
        <x:v>3</x:v>
      </x:c>
      <x:c r="D100" s="181" t="n">
        <x:v>18000</x:v>
      </x:c>
      <x:c r="E100" s="38" t="n">
        <x:v>3</x:v>
      </x:c>
      <x:c r="F100" s="181" t="n">
        <x:v>18000</x:v>
      </x:c>
      <x:c r="G100" s="38" t="n">
        <x:v>0</x:v>
      </x:c>
      <x:c r="H100" s="38" t="n">
        <x:v>0</x:v>
      </x:c>
      <x:c r="I100" s="38"/>
      <x:c r="J100" s="47" t="n">
        <x:v>0</x:v>
      </x:c>
      <x:c r="K100" s="181" t="n">
        <x:v>18000</x:v>
      </x:c>
      <x:c r="L100" s="33" t="str">
        <x:v>Sin ventas desde compra</x:v>
      </x:c>
    </x:row>
    <x:row r="101">
      <x:c r="A101" s="31" t="str">
        <x:v>GAB - 162</x:v>
      </x:c>
      <x:c r="B101" s="53" t="str">
        <x:v>GUAYA CLUCTH PULSAR 200 NS MOTOTEC</x:v>
      </x:c>
      <x:c r="C101" s="38" t="n">
        <x:v>2</x:v>
      </x:c>
      <x:c r="D101" s="181" t="n">
        <x:v>17668</x:v>
      </x:c>
      <x:c r="E101" s="38" t="n">
        <x:v>2</x:v>
      </x:c>
      <x:c r="F101" s="181" t="n">
        <x:v>17668</x:v>
      </x:c>
      <x:c r="G101" s="38" t="n">
        <x:v>0</x:v>
      </x:c>
      <x:c r="H101" s="38" t="n">
        <x:v>0</x:v>
      </x:c>
      <x:c r="I101" s="38"/>
      <x:c r="J101" s="47" t="n">
        <x:v>0</x:v>
      </x:c>
      <x:c r="K101" s="181" t="n">
        <x:v>17668</x:v>
      </x:c>
      <x:c r="L101" s="33" t="str">
        <x:v>Sin ventas desde compra</x:v>
      </x:c>
    </x:row>
    <x:row r="102">
      <x:c r="A102" s="31" t="str">
        <x:v>MOTS1136</x:v>
      </x:c>
      <x:c r="B102" s="53" t="str">
        <x:v>EMBLEMA PALSTICO YAMAHA FAROLA RX 115</x:v>
      </x:c>
      <x:c r="C102" s="38" t="n">
        <x:v>5</x:v>
      </x:c>
      <x:c r="D102" s="181" t="n">
        <x:v>17500</x:v>
      </x:c>
      <x:c r="E102" s="38" t="n">
        <x:v>5</x:v>
      </x:c>
      <x:c r="F102" s="181" t="n">
        <x:v>17500</x:v>
      </x:c>
      <x:c r="G102" s="38" t="n">
        <x:v>0</x:v>
      </x:c>
      <x:c r="H102" s="38" t="n">
        <x:v>0</x:v>
      </x:c>
      <x:c r="I102" s="38"/>
      <x:c r="J102" s="47" t="n">
        <x:v>0</x:v>
      </x:c>
      <x:c r="K102" s="181" t="n">
        <x:v>17500</x:v>
      </x:c>
      <x:c r="L102" s="33" t="str">
        <x:v>Sin ventas desde compra</x:v>
      </x:c>
    </x:row>
    <x:row r="103">
      <x:c r="A103" s="31" t="str">
        <x:v>MOTS1177</x:v>
      </x:c>
      <x:c r="B103" s="53" t="str">
        <x:v>MANIGUETA DER YBR 125 OUGUANG</x:v>
      </x:c>
      <x:c r="C103" s="38" t="n">
        <x:v>5</x:v>
      </x:c>
      <x:c r="D103" s="181" t="n">
        <x:v>17500</x:v>
      </x:c>
      <x:c r="E103" s="38" t="n">
        <x:v>5</x:v>
      </x:c>
      <x:c r="F103" s="181" t="n">
        <x:v>17500</x:v>
      </x:c>
      <x:c r="G103" s="38" t="n">
        <x:v>0</x:v>
      </x:c>
      <x:c r="H103" s="38" t="n">
        <x:v>0</x:v>
      </x:c>
      <x:c r="I103" s="38"/>
      <x:c r="J103" s="47" t="n">
        <x:v>0</x:v>
      </x:c>
      <x:c r="K103" s="181" t="n">
        <x:v>17500</x:v>
      </x:c>
      <x:c r="L103" s="33" t="str">
        <x:v>Sin ventas desde compra</x:v>
      </x:c>
    </x:row>
    <x:row r="104">
      <x:c r="A104" s="31" t="str">
        <x:v>MOTS1030</x:v>
      </x:c>
      <x:c r="B104" s="53" t="str">
        <x:v>CAUCHO ANTIVIBRANTE CILINDRO DT PENIEL</x:v>
      </x:c>
      <x:c r="C104" s="38" t="n">
        <x:v>6</x:v>
      </x:c>
      <x:c r="D104" s="181" t="n">
        <x:v>17400</x:v>
      </x:c>
      <x:c r="E104" s="38" t="n">
        <x:v>6</x:v>
      </x:c>
      <x:c r="F104" s="181" t="n">
        <x:v>17400</x:v>
      </x:c>
      <x:c r="G104" s="38" t="n">
        <x:v>0</x:v>
      </x:c>
      <x:c r="H104" s="38" t="n">
        <x:v>0</x:v>
      </x:c>
      <x:c r="I104" s="38"/>
      <x:c r="J104" s="47" t="n">
        <x:v>0</x:v>
      </x:c>
      <x:c r="K104" s="181" t="n">
        <x:v>17400</x:v>
      </x:c>
      <x:c r="L104" s="33" t="str">
        <x:v>Sin ventas desde compra</x:v>
      </x:c>
    </x:row>
    <x:row r="105">
      <x:c r="A105" s="31" t="str">
        <x:v>MOTS1031</x:v>
      </x:c>
      <x:c r="B105" s="53" t="str">
        <x:v>CAUCHO ANTIVIBRANTE CULATA DT PENIIEL</x:v>
      </x:c>
      <x:c r="C105" s="38" t="n">
        <x:v>6</x:v>
      </x:c>
      <x:c r="D105" s="181" t="n">
        <x:v>17400</x:v>
      </x:c>
      <x:c r="E105" s="38" t="n">
        <x:v>6</x:v>
      </x:c>
      <x:c r="F105" s="181" t="n">
        <x:v>17400</x:v>
      </x:c>
      <x:c r="G105" s="38" t="n">
        <x:v>0</x:v>
      </x:c>
      <x:c r="H105" s="38" t="n">
        <x:v>0</x:v>
      </x:c>
      <x:c r="I105" s="38"/>
      <x:c r="J105" s="47" t="n">
        <x:v>0</x:v>
      </x:c>
      <x:c r="K105" s="181" t="n">
        <x:v>17400</x:v>
      </x:c>
      <x:c r="L105" s="33" t="str">
        <x:v>Sin ventas desde compra</x:v>
      </x:c>
    </x:row>
    <x:row r="106">
      <x:c r="A106" s="31" t="str">
        <x:v>A171A1</x:v>
      </x:c>
      <x:c r="B106" s="53" t="str">
        <x:v>KIT MEDIO YAMAHA BWS 125 4T EMP AMERICA</x:v>
      </x:c>
      <x:c r="C106" s="38" t="n">
        <x:v>4</x:v>
      </x:c>
      <x:c r="D106" s="181" t="n">
        <x:v>34000</x:v>
      </x:c>
      <x:c r="E106" s="38" t="n">
        <x:v>2</x:v>
      </x:c>
      <x:c r="F106" s="181" t="n">
        <x:v>17000</x:v>
      </x:c>
      <x:c r="G106" s="38" t="n">
        <x:v>3</x:v>
      </x:c>
      <x:c r="H106" s="38" t="n">
        <x:v>0</x:v>
      </x:c>
      <x:c r="I106" s="38" t="n">
        <x:v>635</x:v>
      </x:c>
      <x:c r="J106" s="47" t="n">
        <x:v>0.75</x:v>
      </x:c>
      <x:c r="K106" s="181" t="n">
        <x:v>8500</x:v>
      </x:c>
      <x:c r="L106" s="33" t="str">
        <x:v>Con stock, sin ventas 365d</x:v>
      </x:c>
    </x:row>
    <x:row r="107">
      <x:c r="A107" s="31" t="str">
        <x:v>TAP-005</x:v>
      </x:c>
      <x:c r="B107" s="53" t="str">
        <x:v>TAPON CARTER # 12</x:v>
      </x:c>
      <x:c r="C107" s="38" t="n">
        <x:v>10</x:v>
      </x:c>
      <x:c r="D107" s="181" t="n">
        <x:v>21000</x:v>
      </x:c>
      <x:c r="E107" s="38" t="n">
        <x:v>8</x:v>
      </x:c>
      <x:c r="F107" s="181" t="n">
        <x:v>16800</x:v>
      </x:c>
      <x:c r="G107" s="38" t="n">
        <x:v>2</x:v>
      </x:c>
      <x:c r="H107" s="38" t="n">
        <x:v>0</x:v>
      </x:c>
      <x:c r="I107" s="38" t="n">
        <x:v>680</x:v>
      </x:c>
      <x:c r="J107" s="47" t="n">
        <x:v>0.2</x:v>
      </x:c>
      <x:c r="K107" s="181" t="n">
        <x:v>16800</x:v>
      </x:c>
      <x:c r="L107" s="33" t="str">
        <x:v>Con stock, sin ventas 365d</x:v>
      </x:c>
    </x:row>
    <x:row r="108">
      <x:c r="A108" s="31" t="str">
        <x:v>MOTS1095</x:v>
      </x:c>
      <x:c r="B108" s="53" t="str">
        <x:v>RETEN 20-27-05</x:v>
      </x:c>
      <x:c r="C108" s="38" t="n">
        <x:v>11</x:v>
      </x:c>
      <x:c r="D108" s="181" t="n">
        <x:v>16500</x:v>
      </x:c>
      <x:c r="E108" s="38" t="n">
        <x:v>11</x:v>
      </x:c>
      <x:c r="F108" s="181" t="n">
        <x:v>16500</x:v>
      </x:c>
      <x:c r="G108" s="38" t="n">
        <x:v>0</x:v>
      </x:c>
      <x:c r="H108" s="38" t="n">
        <x:v>0</x:v>
      </x:c>
      <x:c r="I108" s="38"/>
      <x:c r="J108" s="47" t="n">
        <x:v>0</x:v>
      </x:c>
      <x:c r="K108" s="181" t="n">
        <x:v>16500</x:v>
      </x:c>
      <x:c r="L108" s="33" t="str">
        <x:v>Sin ventas desde compra</x:v>
      </x:c>
    </x:row>
    <x:row r="109">
      <x:c r="A109" s="31" t="str">
        <x:v>MOTS1112</x:v>
      </x:c>
      <x:c r="B109" s="53" t="str">
        <x:v>PATA LATERAL CB110</x:v>
      </x:c>
      <x:c r="C109" s="38" t="n">
        <x:v>4</x:v>
      </x:c>
      <x:c r="D109" s="181" t="n">
        <x:v>32000</x:v>
      </x:c>
      <x:c r="E109" s="38" t="n">
        <x:v>2</x:v>
      </x:c>
      <x:c r="F109" s="181" t="n">
        <x:v>16000</x:v>
      </x:c>
      <x:c r="G109" s="38" t="n">
        <x:v>2</x:v>
      </x:c>
      <x:c r="H109" s="38" t="n">
        <x:v>0</x:v>
      </x:c>
      <x:c r="I109" s="38" t="n">
        <x:v>497</x:v>
      </x:c>
      <x:c r="J109" s="47" t="n">
        <x:v>0.5</x:v>
      </x:c>
      <x:c r="K109" s="181" t="n">
        <x:v>16000</x:v>
      </x:c>
      <x:c r="L109" s="33" t="str">
        <x:v>Con stock, sin ventas 365d</x:v>
      </x:c>
    </x:row>
    <x:row r="110">
      <x:c r="A110" s="31" t="str">
        <x:v>MOTS1225</x:v>
      </x:c>
      <x:c r="B110" s="53" t="str">
        <x:v>BALINERA 6205 C3 KOYO</x:v>
      </x:c>
      <x:c r="C110" s="38" t="n">
        <x:v>8</x:v>
      </x:c>
      <x:c r="D110" s="181" t="n">
        <x:v>32000</x:v>
      </x:c>
      <x:c r="E110" s="38" t="n">
        <x:v>4</x:v>
      </x:c>
      <x:c r="F110" s="181" t="n">
        <x:v>16000</x:v>
      </x:c>
      <x:c r="G110" s="38" t="n">
        <x:v>8</x:v>
      </x:c>
      <x:c r="H110" s="38" t="n">
        <x:v>0</x:v>
      </x:c>
      <x:c r="I110" s="38" t="n">
        <x:v>443</x:v>
      </x:c>
      <x:c r="J110" s="47" t="n">
        <x:v>1</x:v>
      </x:c>
      <x:c r="K110" s="181" t="n">
        <x:v>0</x:v>
      </x:c>
      <x:c r="L110" s="33" t="str">
        <x:v>Con stock, sin ventas 365d</x:v>
      </x:c>
    </x:row>
    <x:row r="111">
      <x:c r="A111" s="31" t="str">
        <x:v>MOTS1046</x:v>
      </x:c>
      <x:c r="B111" s="53" t="str">
        <x:v>RETEN 13-22-5-5</x:v>
      </x:c>
      <x:c r="C111" s="38" t="n">
        <x:v>9</x:v>
      </x:c>
      <x:c r="D111" s="181" t="n">
        <x:v>18000</x:v>
      </x:c>
      <x:c r="E111" s="38" t="n">
        <x:v>8</x:v>
      </x:c>
      <x:c r="F111" s="181" t="n">
        <x:v>16000</x:v>
      </x:c>
      <x:c r="G111" s="38" t="n">
        <x:v>1</x:v>
      </x:c>
      <x:c r="H111" s="38" t="n">
        <x:v>0</x:v>
      </x:c>
      <x:c r="I111" s="38" t="n">
        <x:v>392</x:v>
      </x:c>
      <x:c r="J111" s="47" t="n">
        <x:v>0.1111111111111111</x:v>
      </x:c>
      <x:c r="K111" s="181" t="n">
        <x:v>16000</x:v>
      </x:c>
      <x:c r="L111" s="33" t="str">
        <x:v>Con stock, sin ventas 365d</x:v>
      </x:c>
    </x:row>
    <x:row r="112">
      <x:c r="A112" s="31" t="str">
        <x:v>MOTS1045</x:v>
      </x:c>
      <x:c r="B112" s="53" t="str">
        <x:v>RETEN 20-35-7</x:v>
      </x:c>
      <x:c r="C112" s="38" t="n">
        <x:v>9</x:v>
      </x:c>
      <x:c r="D112" s="181" t="n">
        <x:v>18000</x:v>
      </x:c>
      <x:c r="E112" s="38" t="n">
        <x:v>8</x:v>
      </x:c>
      <x:c r="F112" s="181" t="n">
        <x:v>16000</x:v>
      </x:c>
      <x:c r="G112" s="38" t="n">
        <x:v>1</x:v>
      </x:c>
      <x:c r="H112" s="38" t="n">
        <x:v>1</x:v>
      </x:c>
      <x:c r="I112" s="38" t="n">
        <x:v>281</x:v>
      </x:c>
      <x:c r="J112" s="47" t="n">
        <x:v>0.1111111111111111</x:v>
      </x:c>
      <x:c r="K112" s="181" t="n">
        <x:v>16000</x:v>
      </x:c>
      <x:c r="L112" s="33" t="str">
        <x:v>Rotación baja</x:v>
      </x:c>
    </x:row>
    <x:row r="113">
      <x:c r="A113" s="31" t="str">
        <x:v>MOTS1060</x:v>
      </x:c>
      <x:c r="B113" s="53" t="str">
        <x:v>RETEN 15-23-3</x:v>
      </x:c>
      <x:c r="C113" s="38" t="n">
        <x:v>8</x:v>
      </x:c>
      <x:c r="D113" s="181" t="n">
        <x:v>16000</x:v>
      </x:c>
      <x:c r="E113" s="38" t="n">
        <x:v>8</x:v>
      </x:c>
      <x:c r="F113" s="181" t="n">
        <x:v>16000</x:v>
      </x:c>
      <x:c r="G113" s="38" t="n">
        <x:v>0</x:v>
      </x:c>
      <x:c r="H113" s="38" t="n">
        <x:v>0</x:v>
      </x:c>
      <x:c r="I113" s="38"/>
      <x:c r="J113" s="47" t="n">
        <x:v>0</x:v>
      </x:c>
      <x:c r="K113" s="181" t="n">
        <x:v>16000</x:v>
      </x:c>
      <x:c r="L113" s="33" t="str">
        <x:v>Sin ventas desde compra</x:v>
      </x:c>
    </x:row>
    <x:row r="114">
      <x:c r="A114" s="31" t="str">
        <x:v>MOTS1289</x:v>
      </x:c>
      <x:c r="B114" s="53" t="str">
        <x:v>REPOSA PIE TRA FZ  PAR YAMAHA</x:v>
      </x:c>
      <x:c r="C114" s="38" t="n">
        <x:v>1</x:v>
      </x:c>
      <x:c r="D114" s="181" t="n">
        <x:v>15900</x:v>
      </x:c>
      <x:c r="E114" s="38" t="n">
        <x:v>1</x:v>
      </x:c>
      <x:c r="F114" s="181" t="n">
        <x:v>15900</x:v>
      </x:c>
      <x:c r="G114" s="38" t="n">
        <x:v>1</x:v>
      </x:c>
      <x:c r="H114" s="38" t="n">
        <x:v>0</x:v>
      </x:c>
      <x:c r="I114" s="38" t="n">
        <x:v>618</x:v>
      </x:c>
      <x:c r="J114" s="47" t="n">
        <x:v>1</x:v>
      </x:c>
      <x:c r="K114" s="181" t="n">
        <x:v>0</x:v>
      </x:c>
      <x:c r="L114" s="33" t="str">
        <x:v>Con stock, sin ventas 365d</x:v>
      </x:c>
    </x:row>
    <x:row r="115">
      <x:c r="A115" s="31" t="str">
        <x:v>5110</x:v>
      </x:c>
      <x:c r="B115" s="53" t="str">
        <x:v>BUJIA B7HS NGK</x:v>
      </x:c>
      <x:c r="C115" s="38" t="n">
        <x:v>4</x:v>
      </x:c>
      <x:c r="D115" s="181" t="n">
        <x:v>20800</x:v>
      </x:c>
      <x:c r="E115" s="38" t="n">
        <x:v>3</x:v>
      </x:c>
      <x:c r="F115" s="181" t="n">
        <x:v>15600</x:v>
      </x:c>
      <x:c r="G115" s="38" t="n">
        <x:v>1</x:v>
      </x:c>
      <x:c r="H115" s="38" t="n">
        <x:v>0</x:v>
      </x:c>
      <x:c r="I115" s="38" t="n">
        <x:v>704</x:v>
      </x:c>
      <x:c r="J115" s="47" t="n">
        <x:v>0.25</x:v>
      </x:c>
      <x:c r="K115" s="181" t="n">
        <x:v>15600</x:v>
      </x:c>
      <x:c r="L115" s="33" t="str">
        <x:v>Con stock, sin ventas 365d</x:v>
      </x:c>
    </x:row>
    <x:row r="116">
      <x:c r="A116" s="31" t="str">
        <x:v>DIS - 00023105</x:v>
      </x:c>
      <x:c r="B116" s="53" t="str">
        <x:v>DISCOS CLUCTH PULSAR 135 ANANT</x:v>
      </x:c>
      <x:c r="C116" s="38" t="n">
        <x:v>1</x:v>
      </x:c>
      <x:c r="D116" s="181" t="n">
        <x:v>15300</x:v>
      </x:c>
      <x:c r="E116" s="38" t="n">
        <x:v>1</x:v>
      </x:c>
      <x:c r="F116" s="181" t="n">
        <x:v>15300</x:v>
      </x:c>
      <x:c r="G116" s="38" t="n">
        <x:v>0</x:v>
      </x:c>
      <x:c r="H116" s="38" t="n">
        <x:v>0</x:v>
      </x:c>
      <x:c r="I116" s="38"/>
      <x:c r="J116" s="47" t="n">
        <x:v>0</x:v>
      </x:c>
      <x:c r="K116" s="181" t="n">
        <x:v>15300</x:v>
      </x:c>
      <x:c r="L116" s="33" t="str">
        <x:v>Sin ventas desde compra</x:v>
      </x:c>
    </x:row>
    <x:row r="117">
      <x:c r="A117" s="31" t="str">
        <x:v>4400</x:v>
      </x:c>
      <x:c r="B117" s="53" t="str">
        <x:v>CUNAS DIRECCION XL 125 / ECO 100 / TT 125 BALIN ARITA</x:v>
      </x:c>
      <x:c r="C117" s="38" t="n">
        <x:v>3</x:v>
      </x:c>
      <x:c r="D117" s="181" t="n">
        <x:v>22500</x:v>
      </x:c>
      <x:c r="E117" s="38" t="n">
        <x:v>2</x:v>
      </x:c>
      <x:c r="F117" s="181" t="n">
        <x:v>15000</x:v>
      </x:c>
      <x:c r="G117" s="38" t="n">
        <x:v>1</x:v>
      </x:c>
      <x:c r="H117" s="38" t="n">
        <x:v>0</x:v>
      </x:c>
      <x:c r="I117" s="38" t="n">
        <x:v>522</x:v>
      </x:c>
      <x:c r="J117" s="47" t="n">
        <x:v>0.3333333333333333</x:v>
      </x:c>
      <x:c r="K117" s="181" t="n">
        <x:v>15000</x:v>
      </x:c>
      <x:c r="L117" s="33" t="str">
        <x:v>Con stock, sin ventas 365d</x:v>
      </x:c>
    </x:row>
    <x:row r="118">
      <x:c r="A118" s="31" t="str">
        <x:v>F6335</x:v>
      </x:c>
      <x:c r="B118" s="53" t="str">
        <x:v>GUAYA CLUCTH XT2 125 NKY</x:v>
      </x:c>
      <x:c r="C118" s="38" t="n">
        <x:v>3</x:v>
      </x:c>
      <x:c r="D118" s="181" t="n">
        <x:v>15000</x:v>
      </x:c>
      <x:c r="E118" s="38" t="n">
        <x:v>3</x:v>
      </x:c>
      <x:c r="F118" s="181" t="n">
        <x:v>15000</x:v>
      </x:c>
      <x:c r="G118" s="38" t="n">
        <x:v>0</x:v>
      </x:c>
      <x:c r="H118" s="38" t="n">
        <x:v>0</x:v>
      </x:c>
      <x:c r="I118" s="38"/>
      <x:c r="J118" s="47" t="n">
        <x:v>0</x:v>
      </x:c>
      <x:c r="K118" s="181" t="n">
        <x:v>15000</x:v>
      </x:c>
      <x:c r="L118" s="33" t="str">
        <x:v>Sin ventas desde compra</x:v>
      </x:c>
    </x:row>
    <x:row r="119">
      <x:c r="A119" s="31" t="str">
        <x:v>MOTS1021</x:v>
      </x:c>
      <x:c r="B119" s="53" t="str">
        <x:v>CADENILLA CNT - 25H X 88L 15 NITROX</x:v>
      </x:c>
      <x:c r="C119" s="38" t="n">
        <x:v>2</x:v>
      </x:c>
      <x:c r="D119" s="181" t="n">
        <x:v>15000</x:v>
      </x:c>
      <x:c r="E119" s="38" t="n">
        <x:v>2</x:v>
      </x:c>
      <x:c r="F119" s="181" t="n">
        <x:v>15000</x:v>
      </x:c>
      <x:c r="G119" s="38" t="n">
        <x:v>0</x:v>
      </x:c>
      <x:c r="H119" s="38" t="n">
        <x:v>0</x:v>
      </x:c>
      <x:c r="I119" s="38"/>
      <x:c r="J119" s="47" t="n">
        <x:v>0</x:v>
      </x:c>
      <x:c r="K119" s="181" t="n">
        <x:v>15000</x:v>
      </x:c>
      <x:c r="L119" s="33" t="str">
        <x:v>Sin ventas desde compra</x:v>
      </x:c>
    </x:row>
    <x:row r="120">
      <x:c r="A120" s="31" t="str">
        <x:v>MOTS1022</x:v>
      </x:c>
      <x:c r="B120" s="53" t="str">
        <x:v>CADENILLA CNT - 25H X 84L 15 NITROX</x:v>
      </x:c>
      <x:c r="C120" s="38" t="n">
        <x:v>2</x:v>
      </x:c>
      <x:c r="D120" s="181" t="n">
        <x:v>15000</x:v>
      </x:c>
      <x:c r="E120" s="38" t="n">
        <x:v>2</x:v>
      </x:c>
      <x:c r="F120" s="181" t="n">
        <x:v>15000</x:v>
      </x:c>
      <x:c r="G120" s="38" t="n">
        <x:v>0</x:v>
      </x:c>
      <x:c r="H120" s="38" t="n">
        <x:v>0</x:v>
      </x:c>
      <x:c r="I120" s="38"/>
      <x:c r="J120" s="47" t="n">
        <x:v>0</x:v>
      </x:c>
      <x:c r="K120" s="181" t="n">
        <x:v>15000</x:v>
      </x:c>
      <x:c r="L120" s="33" t="str">
        <x:v>Sin ventas desde compra</x:v>
      </x:c>
    </x:row>
    <x:row r="121">
      <x:c r="A121" s="31" t="str">
        <x:v>MOTS1043</x:v>
      </x:c>
      <x:c r="B121" s="53" t="str">
        <x:v>RETEN 17-40-7</x:v>
      </x:c>
      <x:c r="C121" s="38" t="n">
        <x:v>5</x:v>
      </x:c>
      <x:c r="D121" s="181" t="n">
        <x:v>15000</x:v>
      </x:c>
      <x:c r="E121" s="38" t="n">
        <x:v>5</x:v>
      </x:c>
      <x:c r="F121" s="181" t="n">
        <x:v>15000</x:v>
      </x:c>
      <x:c r="G121" s="38" t="n">
        <x:v>0</x:v>
      </x:c>
      <x:c r="H121" s="38" t="n">
        <x:v>0</x:v>
      </x:c>
      <x:c r="I121" s="38"/>
      <x:c r="J121" s="47" t="n">
        <x:v>0</x:v>
      </x:c>
      <x:c r="K121" s="181" t="n">
        <x:v>15000</x:v>
      </x:c>
      <x:c r="L121" s="33" t="str">
        <x:v>Sin ventas desde compra</x:v>
      </x:c>
    </x:row>
    <x:row r="122">
      <x:c r="A122" s="31" t="str">
        <x:v>MOTS1209</x:v>
      </x:c>
      <x:c r="B122" s="53" t="str">
        <x:v>DISCOS CLUTCH CB 110 GENZO</x:v>
      </x:c>
      <x:c r="C122" s="38" t="n">
        <x:v>1</x:v>
      </x:c>
      <x:c r="D122" s="181" t="n">
        <x:v>15000</x:v>
      </x:c>
      <x:c r="E122" s="38" t="n">
        <x:v>1</x:v>
      </x:c>
      <x:c r="F122" s="181" t="n">
        <x:v>15000</x:v>
      </x:c>
      <x:c r="G122" s="38" t="n">
        <x:v>0</x:v>
      </x:c>
      <x:c r="H122" s="38" t="n">
        <x:v>0</x:v>
      </x:c>
      <x:c r="I122" s="38"/>
      <x:c r="J122" s="47" t="n">
        <x:v>0</x:v>
      </x:c>
      <x:c r="K122" s="181" t="n">
        <x:v>15000</x:v>
      </x:c>
      <x:c r="L122" s="33" t="str">
        <x:v>Sin ventas desde compra</x:v>
      </x:c>
    </x:row>
    <x:row r="123">
      <x:c r="A123" s="31" t="str">
        <x:v>MOTS1270</x:v>
      </x:c>
      <x:c r="B123" s="53" t="str">
        <x:v>GUAYA ACELERADOR DR 200 SYK</x:v>
      </x:c>
      <x:c r="C123" s="38" t="n">
        <x:v>1</x:v>
      </x:c>
      <x:c r="D123" s="181" t="n">
        <x:v>15000</x:v>
      </x:c>
      <x:c r="E123" s="38" t="n">
        <x:v>1</x:v>
      </x:c>
      <x:c r="F123" s="181" t="n">
        <x:v>15000</x:v>
      </x:c>
      <x:c r="G123" s="38" t="n">
        <x:v>0</x:v>
      </x:c>
      <x:c r="H123" s="38" t="n">
        <x:v>0</x:v>
      </x:c>
      <x:c r="I123" s="38"/>
      <x:c r="J123" s="47" t="n">
        <x:v>0</x:v>
      </x:c>
      <x:c r="K123" s="181" t="n">
        <x:v>15000</x:v>
      </x:c>
      <x:c r="L123" s="33" t="str">
        <x:v>Sin ventas desde compra</x:v>
      </x:c>
    </x:row>
    <x:row r="124">
      <x:c r="A124" s="31" t="str">
        <x:v>MOTS1157</x:v>
      </x:c>
      <x:c r="B124" s="53" t="str">
        <x:v>CAUCHO POSA PIE TRA- ECO 100 PAR IMBRA</x:v>
      </x:c>
      <x:c r="C124" s="38" t="n">
        <x:v>4</x:v>
      </x:c>
      <x:c r="D124" s="181" t="n">
        <x:v>12000</x:v>
      </x:c>
      <x:c r="E124" s="38" t="n">
        <x:v>5</x:v>
      </x:c>
      <x:c r="F124" s="181" t="n">
        <x:v>15000</x:v>
      </x:c>
      <x:c r="G124" s="38" t="n">
        <x:v>0</x:v>
      </x:c>
      <x:c r="H124" s="38" t="n">
        <x:v>0</x:v>
      </x:c>
      <x:c r="I124" s="38"/>
      <x:c r="J124" s="47" t="n">
        <x:v>0</x:v>
      </x:c>
      <x:c r="K124" s="181" t="n">
        <x:v>12000</x:v>
      </x:c>
      <x:c r="L124" s="33" t="str">
        <x:v>Sin ventas desde compra</x:v>
      </x:c>
    </x:row>
    <x:row r="125">
      <x:c r="A125" s="31" t="str">
        <x:v>PIN - 034</x:v>
      </x:c>
      <x:c r="B125" s="53" t="str">
        <x:v>PIÑON TERCERA ECO DELUXE HERO</x:v>
      </x:c>
      <x:c r="C125" s="38" t="n">
        <x:v>2</x:v>
      </x:c>
      <x:c r="D125" s="181" t="n">
        <x:v>29000</x:v>
      </x:c>
      <x:c r="E125" s="38" t="n">
        <x:v>1</x:v>
      </x:c>
      <x:c r="F125" s="181" t="n">
        <x:v>14500</x:v>
      </x:c>
      <x:c r="G125" s="38" t="n">
        <x:v>2</x:v>
      </x:c>
      <x:c r="H125" s="38" t="n">
        <x:v>0</x:v>
      </x:c>
      <x:c r="I125" s="38" t="n">
        <x:v>659</x:v>
      </x:c>
      <x:c r="J125" s="47" t="n">
        <x:v>1</x:v>
      </x:c>
      <x:c r="K125" s="181" t="n">
        <x:v>0</x:v>
      </x:c>
      <x:c r="L125" s="33" t="str">
        <x:v>Con stock, sin ventas 365d</x:v>
      </x:c>
    </x:row>
    <x:row r="126">
      <x:c r="A126" s="31" t="str">
        <x:v>MAN - 003040</x:v>
      </x:c>
      <x:c r="B126" s="53" t="str">
        <x:v>MANIGUETA IZQ AX LIT TXS</x:v>
      </x:c>
      <x:c r="C126" s="38" t="n">
        <x:v>3</x:v>
      </x:c>
      <x:c r="D126" s="181" t="n">
        <x:v>14400</x:v>
      </x:c>
      <x:c r="E126" s="38" t="n">
        <x:v>3</x:v>
      </x:c>
      <x:c r="F126" s="181" t="n">
        <x:v>14400</x:v>
      </x:c>
      <x:c r="G126" s="38" t="n">
        <x:v>0</x:v>
      </x:c>
      <x:c r="H126" s="38" t="n">
        <x:v>0</x:v>
      </x:c>
      <x:c r="I126" s="38"/>
      <x:c r="J126" s="47" t="n">
        <x:v>0</x:v>
      </x:c>
      <x:c r="K126" s="181" t="n">
        <x:v>14400</x:v>
      </x:c>
      <x:c r="L126" s="33" t="str">
        <x:v>Sin ventas desde compra</x:v>
      </x:c>
    </x:row>
    <x:row r="127">
      <x:c r="A127" s="31" t="str">
        <x:v>CUN - 107</x:v>
      </x:c>
      <x:c r="B127" s="53" t="str">
        <x:v>CUNAS DIRECCION ECO  DELUXE BALIN HERO</x:v>
      </x:c>
      <x:c r="C127" s="38" t="n">
        <x:v>2</x:v>
      </x:c>
      <x:c r="D127" s="181" t="n">
        <x:v>28400</x:v>
      </x:c>
      <x:c r="E127" s="38" t="n">
        <x:v>1</x:v>
      </x:c>
      <x:c r="F127" s="181" t="n">
        <x:v>14200</x:v>
      </x:c>
      <x:c r="G127" s="38" t="n">
        <x:v>2</x:v>
      </x:c>
      <x:c r="H127" s="38" t="n">
        <x:v>0</x:v>
      </x:c>
      <x:c r="I127" s="38" t="n">
        <x:v>695</x:v>
      </x:c>
      <x:c r="J127" s="47" t="n">
        <x:v>1</x:v>
      </x:c>
      <x:c r="K127" s="181" t="n">
        <x:v>0</x:v>
      </x:c>
      <x:c r="L127" s="33" t="str">
        <x:v>Con stock, sin ventas 365d</x:v>
      </x:c>
    </x:row>
    <x:row r="128">
      <x:c r="A128" s="31" t="str">
        <x:v>MOTS1044</x:v>
      </x:c>
      <x:c r="B128" s="53" t="str">
        <x:v>RETEN 17-28-7</x:v>
      </x:c>
      <x:c r="C128" s="38" t="n">
        <x:v>7</x:v>
      </x:c>
      <x:c r="D128" s="181" t="n">
        <x:v>14000</x:v>
      </x:c>
      <x:c r="E128" s="38" t="n">
        <x:v>7</x:v>
      </x:c>
      <x:c r="F128" s="181" t="n">
        <x:v>14000</x:v>
      </x:c>
      <x:c r="G128" s="38" t="n">
        <x:v>0</x:v>
      </x:c>
      <x:c r="H128" s="38" t="n">
        <x:v>0</x:v>
      </x:c>
      <x:c r="I128" s="38"/>
      <x:c r="J128" s="47" t="n">
        <x:v>0</x:v>
      </x:c>
      <x:c r="K128" s="181" t="n">
        <x:v>14000</x:v>
      </x:c>
      <x:c r="L128" s="33" t="str">
        <x:v>Sin ventas desde compra</x:v>
      </x:c>
    </x:row>
    <x:row r="129">
      <x:c r="A129" s="31" t="str">
        <x:v>MOTS1056</x:v>
      </x:c>
      <x:c r="B129" s="53" t="str">
        <x:v>RETEN 26-32-5</x:v>
      </x:c>
      <x:c r="C129" s="38" t="n">
        <x:v>2</x:v>
      </x:c>
      <x:c r="D129" s="181" t="n">
        <x:v>14000</x:v>
      </x:c>
      <x:c r="E129" s="38" t="n">
        <x:v>2</x:v>
      </x:c>
      <x:c r="F129" s="181" t="n">
        <x:v>14000</x:v>
      </x:c>
      <x:c r="G129" s="38" t="n">
        <x:v>0</x:v>
      </x:c>
      <x:c r="H129" s="38" t="n">
        <x:v>0</x:v>
      </x:c>
      <x:c r="I129" s="38"/>
      <x:c r="J129" s="47" t="n">
        <x:v>0</x:v>
      </x:c>
      <x:c r="K129" s="181" t="n">
        <x:v>14000</x:v>
      </x:c>
      <x:c r="L129" s="33" t="str">
        <x:v>Sin ventas desde compra</x:v>
      </x:c>
    </x:row>
    <x:row r="130">
      <x:c r="A130" s="31" t="str">
        <x:v>MOTS1264</x:v>
      </x:c>
      <x:c r="B130" s="53" t="str">
        <x:v>GUAYA VELOCIMETRO DT 125 / GS 125 FAMA</x:v>
      </x:c>
      <x:c r="C130" s="38" t="n">
        <x:v>2</x:v>
      </x:c>
      <x:c r="D130" s="181" t="n">
        <x:v>14000</x:v>
      </x:c>
      <x:c r="E130" s="38" t="n">
        <x:v>2</x:v>
      </x:c>
      <x:c r="F130" s="181" t="n">
        <x:v>14000</x:v>
      </x:c>
      <x:c r="G130" s="38" t="n">
        <x:v>0</x:v>
      </x:c>
      <x:c r="H130" s="38" t="n">
        <x:v>0</x:v>
      </x:c>
      <x:c r="I130" s="38"/>
      <x:c r="J130" s="47" t="n">
        <x:v>0</x:v>
      </x:c>
      <x:c r="K130" s="181" t="n">
        <x:v>14000</x:v>
      </x:c>
      <x:c r="L130" s="33" t="str">
        <x:v>Sin ventas desde compra</x:v>
      </x:c>
    </x:row>
    <x:row r="131">
      <x:c r="A131" s="31" t="str">
        <x:v>MOTS1266</x:v>
      </x:c>
      <x:c r="B131" s="53" t="str">
        <x:v>GUAYA VELOCIMETRO DT 125 GUAYAS Y PARTES</x:v>
      </x:c>
      <x:c r="C131" s="38" t="n">
        <x:v>2</x:v>
      </x:c>
      <x:c r="D131" s="181" t="n">
        <x:v>14000</x:v>
      </x:c>
      <x:c r="E131" s="38" t="n">
        <x:v>2</x:v>
      </x:c>
      <x:c r="F131" s="181" t="n">
        <x:v>14000</x:v>
      </x:c>
      <x:c r="G131" s="38" t="n">
        <x:v>0</x:v>
      </x:c>
      <x:c r="H131" s="38" t="n">
        <x:v>0</x:v>
      </x:c>
      <x:c r="I131" s="38"/>
      <x:c r="J131" s="47" t="n">
        <x:v>0</x:v>
      </x:c>
      <x:c r="K131" s="181" t="n">
        <x:v>14000</x:v>
      </x:c>
      <x:c r="L131" s="33" t="str">
        <x:v>Sin ventas desde compra</x:v>
      </x:c>
    </x:row>
    <x:row r="132">
      <x:c r="A132" s="31" t="str">
        <x:v>KIT - 051069</x:v>
      </x:c>
      <x:c r="B132" s="53" t="str">
        <x:v>KIT TIJERA TEFLON ECO 100 SYK</x:v>
      </x:c>
      <x:c r="C132" s="38" t="n">
        <x:v>1</x:v>
      </x:c>
      <x:c r="D132" s="181" t="n">
        <x:v>13950</x:v>
      </x:c>
      <x:c r="E132" s="38" t="n">
        <x:v>1</x:v>
      </x:c>
      <x:c r="F132" s="181" t="n">
        <x:v>13950</x:v>
      </x:c>
      <x:c r="G132" s="38" t="n">
        <x:v>0</x:v>
      </x:c>
      <x:c r="H132" s="38" t="n">
        <x:v>0</x:v>
      </x:c>
      <x:c r="I132" s="38"/>
      <x:c r="J132" s="47" t="n">
        <x:v>0</x:v>
      </x:c>
      <x:c r="K132" s="181" t="n">
        <x:v>13950</x:v>
      </x:c>
      <x:c r="L132" s="33" t="str">
        <x:v>Sin ventas desde compra</x:v>
      </x:c>
    </x:row>
    <x:row r="133">
      <x:c r="A133" s="31" t="str">
        <x:v>RES - 027</x:v>
      </x:c>
      <x:c r="B133" s="53" t="str">
        <x:v>RESORTE FRENO SURTIDO</x:v>
      </x:c>
      <x:c r="C133" s="38" t="n">
        <x:v>21</x:v>
      </x:c>
      <x:c r="D133" s="181" t="n">
        <x:v>26250</x:v>
      </x:c>
      <x:c r="E133" s="38" t="n">
        <x:v>11</x:v>
      </x:c>
      <x:c r="F133" s="181" t="n">
        <x:v>13750</x:v>
      </x:c>
      <x:c r="G133" s="38" t="n">
        <x:v>10</x:v>
      </x:c>
      <x:c r="H133" s="38" t="n">
        <x:v>1</x:v>
      </x:c>
      <x:c r="I133" s="38" t="n">
        <x:v>21</x:v>
      </x:c>
      <x:c r="J133" s="47" t="n">
        <x:v>0.47619047619047616</x:v>
      </x:c>
      <x:c r="K133" s="181" t="n">
        <x:v>13750</x:v>
      </x:c>
      <x:c r="L133" s="33" t="str">
        <x:v>Rotación baja</x:v>
      </x:c>
    </x:row>
    <x:row r="134">
      <x:c r="A134" s="31" t="str">
        <x:v>MOTS1238</x:v>
      </x:c>
      <x:c r="B134" s="53" t="str">
        <x:v>BALINERA 6001 2RS C3 RNV</x:v>
      </x:c>
      <x:c r="C134" s="38" t="n">
        <x:v>5</x:v>
      </x:c>
      <x:c r="D134" s="181" t="n">
        <x:v>22500</x:v>
      </x:c>
      <x:c r="E134" s="38" t="n">
        <x:v>3</x:v>
      </x:c>
      <x:c r="F134" s="181" t="n">
        <x:v>13500</x:v>
      </x:c>
      <x:c r="G134" s="38" t="n">
        <x:v>2</x:v>
      </x:c>
      <x:c r="H134" s="38" t="n">
        <x:v>0</x:v>
      </x:c>
      <x:c r="I134" s="38" t="n">
        <x:v>567</x:v>
      </x:c>
      <x:c r="J134" s="47" t="n">
        <x:v>0.4</x:v>
      </x:c>
      <x:c r="K134" s="181" t="n">
        <x:v>13500</x:v>
      </x:c>
      <x:c r="L134" s="33" t="str">
        <x:v>Con stock, sin ventas 365d</x:v>
      </x:c>
    </x:row>
    <x:row r="135">
      <x:c r="A135" s="31" t="str">
        <x:v>MOTS1248</x:v>
      </x:c>
      <x:c r="B135" s="53" t="str">
        <x:v>PASTILLAS FRENO BWS DEI JAPAN</x:v>
      </x:c>
      <x:c r="C135" s="38" t="n">
        <x:v>2</x:v>
      </x:c>
      <x:c r="D135" s="181" t="n">
        <x:v>27000</x:v>
      </x:c>
      <x:c r="E135" s="38" t="n">
        <x:v>1</x:v>
      </x:c>
      <x:c r="F135" s="181" t="n">
        <x:v>13500</x:v>
      </x:c>
      <x:c r="G135" s="38" t="n">
        <x:v>2</x:v>
      </x:c>
      <x:c r="H135" s="38" t="n">
        <x:v>0</x:v>
      </x:c>
      <x:c r="I135" s="38" t="n">
        <x:v>534</x:v>
      </x:c>
      <x:c r="J135" s="47" t="n">
        <x:v>1</x:v>
      </x:c>
      <x:c r="K135" s="181" t="n">
        <x:v>0</x:v>
      </x:c>
      <x:c r="L135" s="33" t="str">
        <x:v>Con stock, sin ventas 365d</x:v>
      </x:c>
    </x:row>
    <x:row r="136">
      <x:c r="A136" s="31" t="str">
        <x:v>MAN - 000979</x:v>
      </x:c>
      <x:c r="B136" s="53" t="str">
        <x:v>MANIGUETA DER RX 135 - 115 JAPON</x:v>
      </x:c>
      <x:c r="C136" s="38" t="n">
        <x:v>3</x:v>
      </x:c>
      <x:c r="D136" s="181" t="n">
        <x:v>13500</x:v>
      </x:c>
      <x:c r="E136" s="38" t="n">
        <x:v>3</x:v>
      </x:c>
      <x:c r="F136" s="181" t="n">
        <x:v>13500</x:v>
      </x:c>
      <x:c r="G136" s="38" t="n">
        <x:v>0</x:v>
      </x:c>
      <x:c r="H136" s="38" t="n">
        <x:v>0</x:v>
      </x:c>
      <x:c r="I136" s="38"/>
      <x:c r="J136" s="47" t="n">
        <x:v>0</x:v>
      </x:c>
      <x:c r="K136" s="181" t="n">
        <x:v>13500</x:v>
      </x:c>
      <x:c r="L136" s="33" t="str">
        <x:v>Sin ventas desde compra</x:v>
      </x:c>
    </x:row>
    <x:row r="137">
      <x:c r="A137" s="31" t="str">
        <x:v>MOTS1126</x:v>
      </x:c>
      <x:c r="B137" s="53" t="str">
        <x:v>TAPA VALVULA TUERCA</x:v>
      </x:c>
      <x:c r="C137" s="38" t="n">
        <x:v>18</x:v>
      </x:c>
      <x:c r="D137" s="181" t="n">
        <x:v>13500</x:v>
      </x:c>
      <x:c r="E137" s="38" t="n">
        <x:v>18</x:v>
      </x:c>
      <x:c r="F137" s="181" t="n">
        <x:v>13500</x:v>
      </x:c>
      <x:c r="G137" s="38" t="n">
        <x:v>0</x:v>
      </x:c>
      <x:c r="H137" s="38" t="n">
        <x:v>0</x:v>
      </x:c>
      <x:c r="I137" s="38"/>
      <x:c r="J137" s="47" t="n">
        <x:v>0</x:v>
      </x:c>
      <x:c r="K137" s="181" t="n">
        <x:v>13500</x:v>
      </x:c>
      <x:c r="L137" s="33" t="str">
        <x:v>Sin ventas desde compra</x:v>
      </x:c>
    </x:row>
    <x:row r="138">
      <x:c r="A138" s="31" t="str">
        <x:v>MOTS1033</x:v>
      </x:c>
      <x:c r="B138" s="53" t="str">
        <x:v>DIRECCIONAL TRAS FZ 20 TRANSPARENTE  SET X2 SYK</x:v>
      </x:c>
      <x:c r="C138" s="38" t="n">
        <x:v>1</x:v>
      </x:c>
      <x:c r="D138" s="181" t="n">
        <x:v>13150</x:v>
      </x:c>
      <x:c r="E138" s="38" t="n">
        <x:v>1</x:v>
      </x:c>
      <x:c r="F138" s="181" t="n">
        <x:v>13150</x:v>
      </x:c>
      <x:c r="G138" s="38" t="n">
        <x:v>1</x:v>
      </x:c>
      <x:c r="H138" s="38" t="n">
        <x:v>0</x:v>
      </x:c>
      <x:c r="I138" s="38" t="n">
        <x:v>703</x:v>
      </x:c>
      <x:c r="J138" s="47" t="n">
        <x:v>1</x:v>
      </x:c>
      <x:c r="K138" s="181" t="n">
        <x:v>0</x:v>
      </x:c>
      <x:c r="L138" s="33" t="str">
        <x:v>Con stock, sin ventas 365d</x:v>
      </x:c>
    </x:row>
    <x:row r="139">
      <x:c r="A139" s="31" t="str">
        <x:v>MOTS1155</x:v>
      </x:c>
      <x:c r="B139" s="53" t="str">
        <x:v>CAUCHOS PATADACARIOS</x:v>
      </x:c>
      <x:c r="C139" s="38" t="n">
        <x:v>20</x:v>
      </x:c>
      <x:c r="D139" s="181" t="n">
        <x:v>20000</x:v>
      </x:c>
      <x:c r="E139" s="38" t="n">
        <x:v>13</x:v>
      </x:c>
      <x:c r="F139" s="181" t="n">
        <x:v>13000</x:v>
      </x:c>
      <x:c r="G139" s="38" t="n">
        <x:v>7</x:v>
      </x:c>
      <x:c r="H139" s="38" t="n">
        <x:v>0</x:v>
      </x:c>
      <x:c r="I139" s="38" t="n">
        <x:v>585</x:v>
      </x:c>
      <x:c r="J139" s="47" t="n">
        <x:v>0.35</x:v>
      </x:c>
      <x:c r="K139" s="181" t="n">
        <x:v>13000</x:v>
      </x:c>
      <x:c r="L139" s="33" t="str">
        <x:v>Con stock, sin ventas 365d</x:v>
      </x:c>
    </x:row>
    <x:row r="140">
      <x:c r="A140" s="31" t="str">
        <x:v>MOTS1125</x:v>
      </x:c>
      <x:c r="B140" s="53" t="str">
        <x:v>TAPA VALVULA VARIAS</x:v>
      </x:c>
      <x:c r="C140" s="38" t="n">
        <x:v>17</x:v>
      </x:c>
      <x:c r="D140" s="181" t="n">
        <x:v>17000</x:v>
      </x:c>
      <x:c r="E140" s="38" t="n">
        <x:v>13</x:v>
      </x:c>
      <x:c r="F140" s="181" t="n">
        <x:v>13000</x:v>
      </x:c>
      <x:c r="G140" s="38" t="n">
        <x:v>4</x:v>
      </x:c>
      <x:c r="H140" s="38" t="n">
        <x:v>0</x:v>
      </x:c>
      <x:c r="I140" s="38" t="n">
        <x:v>469</x:v>
      </x:c>
      <x:c r="J140" s="47" t="n">
        <x:v>0.23529411764705882</x:v>
      </x:c>
      <x:c r="K140" s="181" t="n">
        <x:v>13000</x:v>
      </x:c>
      <x:c r="L140" s="33" t="str">
        <x:v>Con stock, sin ventas 365d</x:v>
      </x:c>
    </x:row>
    <x:row r="141">
      <x:c r="A141" s="31" t="str">
        <x:v>MOTS1318</x:v>
      </x:c>
      <x:c r="B141" s="53" t="str">
        <x:v>BOMBILLO TABLERO 6V</x:v>
      </x:c>
      <x:c r="C141" s="38" t="n">
        <x:v>53</x:v>
      </x:c>
      <x:c r="D141" s="181" t="n">
        <x:v>10600</x:v>
      </x:c>
      <x:c r="E141" s="38" t="n">
        <x:v>64</x:v>
      </x:c>
      <x:c r="F141" s="181" t="n">
        <x:v>12800</x:v>
      </x:c>
      <x:c r="G141" s="38" t="n">
        <x:v>5</x:v>
      </x:c>
      <x:c r="H141" s="38" t="n">
        <x:v>5</x:v>
      </x:c>
      <x:c r="I141" s="38" t="n">
        <x:v>261</x:v>
      </x:c>
      <x:c r="J141" s="47" t="n">
        <x:v>0.09433962264150944</x:v>
      </x:c>
      <x:c r="K141" s="181" t="n">
        <x:v>9600</x:v>
      </x:c>
      <x:c r="L141" s="33" t="str">
        <x:v>Rotación baja</x:v>
      </x:c>
    </x:row>
    <x:row r="142">
      <x:c r="A142" s="31" t="str">
        <x:v>MOTS1304</x:v>
      </x:c>
      <x:c r="B142" s="53" t="str">
        <x:v>CABLE CLUTCH TRENZADO</x:v>
      </x:c>
      <x:c r="C142" s="38" t="n">
        <x:v>23</x:v>
      </x:c>
      <x:c r="D142" s="181" t="n">
        <x:v>16100</x:v>
      </x:c>
      <x:c r="E142" s="38" t="n">
        <x:v>18</x:v>
      </x:c>
      <x:c r="F142" s="181" t="n">
        <x:v>12600</x:v>
      </x:c>
      <x:c r="G142" s="38" t="n">
        <x:v>5</x:v>
      </x:c>
      <x:c r="H142" s="38" t="n">
        <x:v>0</x:v>
      </x:c>
      <x:c r="I142" s="38" t="n">
        <x:v>538</x:v>
      </x:c>
      <x:c r="J142" s="47" t="n">
        <x:v>0.21739130434782608</x:v>
      </x:c>
      <x:c r="K142" s="181" t="n">
        <x:v>12600</x:v>
      </x:c>
      <x:c r="L142" s="33" t="str">
        <x:v>Con stock, sin ventas 365d</x:v>
      </x:c>
    </x:row>
    <x:row r="143">
      <x:c r="A143" s="31" t="str">
        <x:v>MOTS1285</x:v>
      </x:c>
      <x:c r="B143" s="53" t="str">
        <x:v>DISCOS CLUCTH FZ -16 YAMAHA</x:v>
      </x:c>
      <x:c r="C143" s="38" t="n">
        <x:v>3</x:v>
      </x:c>
      <x:c r="D143" s="181" t="n">
        <x:v>36000</x:v>
      </x:c>
      <x:c r="E143" s="38" t="n">
        <x:v>1</x:v>
      </x:c>
      <x:c r="F143" s="181" t="n">
        <x:v>12000</x:v>
      </x:c>
      <x:c r="G143" s="38" t="n">
        <x:v>2</x:v>
      </x:c>
      <x:c r="H143" s="38" t="n">
        <x:v>0</x:v>
      </x:c>
      <x:c r="I143" s="38" t="n">
        <x:v>698</x:v>
      </x:c>
      <x:c r="J143" s="47" t="n">
        <x:v>0.6666666666666666</x:v>
      </x:c>
      <x:c r="K143" s="181" t="n">
        <x:v>12000</x:v>
      </x:c>
      <x:c r="L143" s="33" t="str">
        <x:v>Con stock, sin ventas 365d</x:v>
      </x:c>
    </x:row>
    <x:row r="144">
      <x:c r="A144" s="31" t="str">
        <x:v>MOTS1213</x:v>
      </x:c>
      <x:c r="B144" s="53" t="str">
        <x:v>BANDA FRENO TRA  ECO DELUXE CROWN</x:v>
      </x:c>
      <x:c r="C144" s="38" t="n">
        <x:v>5</x:v>
      </x:c>
      <x:c r="D144" s="181" t="n">
        <x:v>60000</x:v>
      </x:c>
      <x:c r="E144" s="38" t="n">
        <x:v>1</x:v>
      </x:c>
      <x:c r="F144" s="181" t="n">
        <x:v>12000</x:v>
      </x:c>
      <x:c r="G144" s="38" t="n">
        <x:v>5</x:v>
      </x:c>
      <x:c r="H144" s="38" t="n">
        <x:v>0</x:v>
      </x:c>
      <x:c r="I144" s="38" t="n">
        <x:v>366</x:v>
      </x:c>
      <x:c r="J144" s="47" t="n">
        <x:v>1</x:v>
      </x:c>
      <x:c r="K144" s="181" t="n">
        <x:v>0</x:v>
      </x:c>
      <x:c r="L144" s="33" t="str">
        <x:v>Con stock, sin ventas 365d</x:v>
      </x:c>
    </x:row>
    <x:row r="145">
      <x:c r="A145" s="31" t="str">
        <x:v>MOTS1315</x:v>
      </x:c>
      <x:c r="B145" s="53" t="str">
        <x:v>BOMBILLO DIRECCIONAL 12V DUNA</x:v>
      </x:c>
      <x:c r="C145" s="38" t="n">
        <x:v>26</x:v>
      </x:c>
      <x:c r="D145" s="181" t="n">
        <x:v>13000</x:v>
      </x:c>
      <x:c r="E145" s="38" t="n">
        <x:v>24</x:v>
      </x:c>
      <x:c r="F145" s="181" t="n">
        <x:v>12000</x:v>
      </x:c>
      <x:c r="G145" s="38" t="n">
        <x:v>2</x:v>
      </x:c>
      <x:c r="H145" s="38" t="n">
        <x:v>1</x:v>
      </x:c>
      <x:c r="I145" s="38" t="n">
        <x:v>273</x:v>
      </x:c>
      <x:c r="J145" s="47" t="n">
        <x:v>0.07692307692307693</x:v>
      </x:c>
      <x:c r="K145" s="181" t="n">
        <x:v>12000</x:v>
      </x:c>
      <x:c r="L145" s="33" t="str">
        <x:v>Rotación baja</x:v>
      </x:c>
    </x:row>
    <x:row r="146">
      <x:c r="A146" s="31" t="str">
        <x:v>MOTS1047</x:v>
      </x:c>
      <x:c r="B146" s="53" t="str">
        <x:v>RETEN 28-40-8</x:v>
      </x:c>
      <x:c r="C146" s="38" t="n">
        <x:v>5</x:v>
      </x:c>
      <x:c r="D146" s="181" t="n">
        <x:v>15000</x:v>
      </x:c>
      <x:c r="E146" s="38" t="n">
        <x:v>4</x:v>
      </x:c>
      <x:c r="F146" s="181" t="n">
        <x:v>12000</x:v>
      </x:c>
      <x:c r="G146" s="38" t="n">
        <x:v>1</x:v>
      </x:c>
      <x:c r="H146" s="38" t="n">
        <x:v>1</x:v>
      </x:c>
      <x:c r="I146" s="38" t="n">
        <x:v>264</x:v>
      </x:c>
      <x:c r="J146" s="47" t="n">
        <x:v>0.2</x:v>
      </x:c>
      <x:c r="K146" s="181" t="n">
        <x:v>12000</x:v>
      </x:c>
      <x:c r="L146" s="33" t="str">
        <x:v>Rotación baja</x:v>
      </x:c>
    </x:row>
    <x:row r="147">
      <x:c r="A147" s="31" t="str">
        <x:v>FIL - 001018</x:v>
      </x:c>
      <x:c r="B147" s="53" t="str">
        <x:v>FILTRO AIRE ECO DELUXE GRAYONES FILTROS</x:v>
      </x:c>
      <x:c r="C147" s="38" t="n">
        <x:v>3</x:v>
      </x:c>
      <x:c r="D147" s="181" t="n">
        <x:v>12000</x:v>
      </x:c>
      <x:c r="E147" s="38" t="n">
        <x:v>3</x:v>
      </x:c>
      <x:c r="F147" s="181" t="n">
        <x:v>12000</x:v>
      </x:c>
      <x:c r="G147" s="38" t="n">
        <x:v>0</x:v>
      </x:c>
      <x:c r="H147" s="38" t="n">
        <x:v>0</x:v>
      </x:c>
      <x:c r="I147" s="38"/>
      <x:c r="J147" s="47" t="n">
        <x:v>0</x:v>
      </x:c>
      <x:c r="K147" s="181" t="n">
        <x:v>12000</x:v>
      </x:c>
      <x:c r="L147" s="33" t="str">
        <x:v>Sin ventas desde compra</x:v>
      </x:c>
    </x:row>
    <x:row r="148">
      <x:c r="A148" s="31" t="str">
        <x:v>MOTS1057</x:v>
      </x:c>
      <x:c r="B148" s="53" t="str">
        <x:v>RETEN 20-35-5</x:v>
      </x:c>
      <x:c r="C148" s="38" t="n">
        <x:v>6</x:v>
      </x:c>
      <x:c r="D148" s="181" t="n">
        <x:v>12000</x:v>
      </x:c>
      <x:c r="E148" s="38" t="n">
        <x:v>6</x:v>
      </x:c>
      <x:c r="F148" s="181" t="n">
        <x:v>12000</x:v>
      </x:c>
      <x:c r="G148" s="38" t="n">
        <x:v>0</x:v>
      </x:c>
      <x:c r="H148" s="38" t="n">
        <x:v>0</x:v>
      </x:c>
      <x:c r="I148" s="38"/>
      <x:c r="J148" s="47" t="n">
        <x:v>0</x:v>
      </x:c>
      <x:c r="K148" s="181" t="n">
        <x:v>12000</x:v>
      </x:c>
      <x:c r="L148" s="33" t="str">
        <x:v>Sin ventas desde compra</x:v>
      </x:c>
    </x:row>
    <x:row r="149">
      <x:c r="A149" s="31" t="str">
        <x:v>MOTS1079</x:v>
      </x:c>
      <x:c r="B149" s="53" t="str">
        <x:v>RETEN 65-14-5</x:v>
      </x:c>
      <x:c r="C149" s="38" t="n">
        <x:v>8</x:v>
      </x:c>
      <x:c r="D149" s="181" t="n">
        <x:v>12000</x:v>
      </x:c>
      <x:c r="E149" s="38" t="n">
        <x:v>8</x:v>
      </x:c>
      <x:c r="F149" s="181" t="n">
        <x:v>12000</x:v>
      </x:c>
      <x:c r="G149" s="38" t="n">
        <x:v>0</x:v>
      </x:c>
      <x:c r="H149" s="38" t="n">
        <x:v>0</x:v>
      </x:c>
      <x:c r="I149" s="38"/>
      <x:c r="J149" s="47" t="n">
        <x:v>0</x:v>
      </x:c>
      <x:c r="K149" s="181" t="n">
        <x:v>12000</x:v>
      </x:c>
      <x:c r="L149" s="33" t="str">
        <x:v>Sin ventas desde compra</x:v>
      </x:c>
    </x:row>
    <x:row r="150">
      <x:c r="A150" s="31" t="str">
        <x:v>MOTS1103</x:v>
      </x:c>
      <x:c r="B150" s="53" t="str">
        <x:v>RETEN 17-25-4</x:v>
      </x:c>
      <x:c r="C150" s="38" t="n">
        <x:v>8</x:v>
      </x:c>
      <x:c r="D150" s="181" t="n">
        <x:v>12000</x:v>
      </x:c>
      <x:c r="E150" s="38" t="n">
        <x:v>8</x:v>
      </x:c>
      <x:c r="F150" s="181" t="n">
        <x:v>12000</x:v>
      </x:c>
      <x:c r="G150" s="38" t="n">
        <x:v>0</x:v>
      </x:c>
      <x:c r="H150" s="38" t="n">
        <x:v>0</x:v>
      </x:c>
      <x:c r="I150" s="38"/>
      <x:c r="J150" s="47" t="n">
        <x:v>0</x:v>
      </x:c>
      <x:c r="K150" s="181" t="n">
        <x:v>12000</x:v>
      </x:c>
      <x:c r="L150" s="33" t="str">
        <x:v>Sin ventas desde compra</x:v>
      </x:c>
    </x:row>
    <x:row r="151">
      <x:c r="A151" s="31" t="str">
        <x:v>MOTS1137</x:v>
      </x:c>
      <x:c r="B151" s="53" t="str">
        <x:v>PROTECTOR TAPA TANQUE PULSAR ALUMINIO</x:v>
      </x:c>
      <x:c r="C151" s="38" t="n">
        <x:v>2</x:v>
      </x:c>
      <x:c r="D151" s="181" t="n">
        <x:v>12000</x:v>
      </x:c>
      <x:c r="E151" s="38" t="n">
        <x:v>2</x:v>
      </x:c>
      <x:c r="F151" s="181" t="n">
        <x:v>12000</x:v>
      </x:c>
      <x:c r="G151" s="38" t="n">
        <x:v>0</x:v>
      </x:c>
      <x:c r="H151" s="38" t="n">
        <x:v>0</x:v>
      </x:c>
      <x:c r="I151" s="38"/>
      <x:c r="J151" s="47" t="n">
        <x:v>0</x:v>
      </x:c>
      <x:c r="K151" s="181" t="n">
        <x:v>12000</x:v>
      </x:c>
      <x:c r="L151" s="33" t="str">
        <x:v>Sin ventas desde compra</x:v>
      </x:c>
    </x:row>
    <x:row r="152">
      <x:c r="A152" s="31" t="str">
        <x:v>MOTS1255</x:v>
      </x:c>
      <x:c r="B152" s="53" t="str">
        <x:v>PASTILLAS FRENO SIN EMPAQUE</x:v>
      </x:c>
      <x:c r="C152" s="38" t="n">
        <x:v>2</x:v>
      </x:c>
      <x:c r="D152" s="181" t="n">
        <x:v>12000</x:v>
      </x:c>
      <x:c r="E152" s="38" t="n">
        <x:v>2</x:v>
      </x:c>
      <x:c r="F152" s="181" t="n">
        <x:v>12000</x:v>
      </x:c>
      <x:c r="G152" s="38" t="n">
        <x:v>0</x:v>
      </x:c>
      <x:c r="H152" s="38" t="n">
        <x:v>0</x:v>
      </x:c>
      <x:c r="I152" s="38"/>
      <x:c r="J152" s="47" t="n">
        <x:v>0</x:v>
      </x:c>
      <x:c r="K152" s="181" t="n">
        <x:v>12000</x:v>
      </x:c>
      <x:c r="L152" s="33" t="str">
        <x:v>Sin ventas desde compra</x:v>
      </x:c>
    </x:row>
    <x:row r="153">
      <x:c r="A153" s="31" t="str">
        <x:v>TOR - 4369</x:v>
      </x:c>
      <x:c r="B153" s="53" t="str">
        <x:v>TORNILLO BRISTOL 8 X70 TORNIFRENOS</x:v>
      </x:c>
      <x:c r="C153" s="38" t="n">
        <x:v>16</x:v>
      </x:c>
      <x:c r="D153" s="181" t="n">
        <x:v>12656</x:v>
      </x:c>
      <x:c r="E153" s="38" t="n">
        <x:v>15</x:v>
      </x:c>
      <x:c r="F153" s="181" t="n">
        <x:v>11865</x:v>
      </x:c>
      <x:c r="G153" s="38" t="n">
        <x:v>1</x:v>
      </x:c>
      <x:c r="H153" s="38" t="n">
        <x:v>0</x:v>
      </x:c>
      <x:c r="I153" s="38" t="n">
        <x:v>586</x:v>
      </x:c>
      <x:c r="J153" s="47" t="n">
        <x:v>0.0625</x:v>
      </x:c>
      <x:c r="K153" s="181" t="n">
        <x:v>11865</x:v>
      </x:c>
      <x:c r="L153" s="33" t="str">
        <x:v>Con stock, sin ventas 365d</x:v>
      </x:c>
    </x:row>
    <x:row r="154">
      <x:c r="A154" s="31" t="str">
        <x:v>TAP-004</x:v>
      </x:c>
      <x:c r="B154" s="53" t="str">
        <x:v>TAPON CARTER # 10</x:v>
      </x:c>
      <x:c r="C154" s="38" t="n">
        <x:v>10</x:v>
      </x:c>
      <x:c r="D154" s="181" t="n">
        <x:v>13000</x:v>
      </x:c>
      <x:c r="E154" s="38" t="n">
        <x:v>9</x:v>
      </x:c>
      <x:c r="F154" s="181" t="n">
        <x:v>11700</x:v>
      </x:c>
      <x:c r="G154" s="38" t="n">
        <x:v>1</x:v>
      </x:c>
      <x:c r="H154" s="38" t="n">
        <x:v>1</x:v>
      </x:c>
      <x:c r="I154" s="38" t="n">
        <x:v>158</x:v>
      </x:c>
      <x:c r="J154" s="47" t="n">
        <x:v>0.1</x:v>
      </x:c>
      <x:c r="K154" s="181" t="n">
        <x:v>11700</x:v>
      </x:c>
      <x:c r="L154" s="33" t="str">
        <x:v>Rotación baja</x:v>
      </x:c>
    </x:row>
    <x:row r="155">
      <x:c r="A155" s="31" t="str">
        <x:v>6511</x:v>
      </x:c>
      <x:c r="B155" s="53" t="str">
        <x:v>BUJIA BP5HS NGK</x:v>
      </x:c>
      <x:c r="C155" s="38" t="n">
        <x:v>3</x:v>
      </x:c>
      <x:c r="D155" s="181" t="n">
        <x:v>17400</x:v>
      </x:c>
      <x:c r="E155" s="38" t="n">
        <x:v>2</x:v>
      </x:c>
      <x:c r="F155" s="181" t="n">
        <x:v>11600</x:v>
      </x:c>
      <x:c r="G155" s="38" t="n">
        <x:v>1</x:v>
      </x:c>
      <x:c r="H155" s="38" t="n">
        <x:v>1</x:v>
      </x:c>
      <x:c r="I155" s="38" t="n">
        <x:v>327</x:v>
      </x:c>
      <x:c r="J155" s="47" t="n">
        <x:v>0.3333333333333333</x:v>
      </x:c>
      <x:c r="K155" s="181" t="n">
        <x:v>11600</x:v>
      </x:c>
      <x:c r="L155" s="33" t="str">
        <x:v>Rotación baja</x:v>
      </x:c>
    </x:row>
    <x:row r="156">
      <x:c r="A156" s="31" t="str">
        <x:v>MOTS1087</x:v>
      </x:c>
      <x:c r="B156" s="53" t="str">
        <x:v>RETEN 30-02-10-5 BARAI</x:v>
      </x:c>
      <x:c r="C156" s="38" t="n">
        <x:v>12</x:v>
      </x:c>
      <x:c r="D156" s="181" t="n">
        <x:v>27600</x:v>
      </x:c>
      <x:c r="E156" s="38" t="n">
        <x:v>5</x:v>
      </x:c>
      <x:c r="F156" s="181" t="n">
        <x:v>11500</x:v>
      </x:c>
      <x:c r="G156" s="38" t="n">
        <x:v>7</x:v>
      </x:c>
      <x:c r="H156" s="38" t="n">
        <x:v>0</x:v>
      </x:c>
      <x:c r="I156" s="38" t="n">
        <x:v>663</x:v>
      </x:c>
      <x:c r="J156" s="47" t="n">
        <x:v>0.5833333333333334</x:v>
      </x:c>
      <x:c r="K156" s="181" t="n">
        <x:v>11500</x:v>
      </x:c>
      <x:c r="L156" s="33" t="str">
        <x:v>Con stock, sin ventas 365d</x:v>
      </x:c>
    </x:row>
    <x:row r="157">
      <x:c r="A157" s="31" t="str">
        <x:v>MOTS1278</x:v>
      </x:c>
      <x:c r="B157" s="53" t="str">
        <x:v>JUEGO RADIOS 8 X180 NIT ROX</x:v>
      </x:c>
      <x:c r="C157" s="38" t="n">
        <x:v>1</x:v>
      </x:c>
      <x:c r="D157" s="181" t="n">
        <x:v>11500</x:v>
      </x:c>
      <x:c r="E157" s="38" t="n">
        <x:v>1</x:v>
      </x:c>
      <x:c r="F157" s="181" t="n">
        <x:v>11500</x:v>
      </x:c>
      <x:c r="G157" s="38" t="n">
        <x:v>0</x:v>
      </x:c>
      <x:c r="H157" s="38" t="n">
        <x:v>0</x:v>
      </x:c>
      <x:c r="I157" s="38"/>
      <x:c r="J157" s="47" t="n">
        <x:v>0</x:v>
      </x:c>
      <x:c r="K157" s="181" t="n">
        <x:v>11500</x:v>
      </x:c>
      <x:c r="L157" s="33" t="str">
        <x:v>Sin ventas desde compra</x:v>
      </x:c>
    </x:row>
    <x:row r="158">
      <x:c r="A158" s="31" t="str">
        <x:v>MOTS1279</x:v>
      </x:c>
      <x:c r="B158" s="53" t="str">
        <x:v>JUEGO RADIOS 9 X 190 NITROX</x:v>
      </x:c>
      <x:c r="C158" s="38" t="n">
        <x:v>1</x:v>
      </x:c>
      <x:c r="D158" s="181" t="n">
        <x:v>11500</x:v>
      </x:c>
      <x:c r="E158" s="38" t="n">
        <x:v>1</x:v>
      </x:c>
      <x:c r="F158" s="181" t="n">
        <x:v>11500</x:v>
      </x:c>
      <x:c r="G158" s="38" t="n">
        <x:v>0</x:v>
      </x:c>
      <x:c r="H158" s="38" t="n">
        <x:v>0</x:v>
      </x:c>
      <x:c r="I158" s="38"/>
      <x:c r="J158" s="47" t="n">
        <x:v>0</x:v>
      </x:c>
      <x:c r="K158" s="181" t="n">
        <x:v>11500</x:v>
      </x:c>
      <x:c r="L158" s="33" t="str">
        <x:v>Sin ventas desde compra</x:v>
      </x:c>
    </x:row>
    <x:row r="159">
      <x:c r="A159" s="31" t="str">
        <x:v>4215</x:v>
      </x:c>
      <x:c r="B159" s="53" t="str">
        <x:v>TORNILLO FLANGE 6X 75 LLAVE 8 TORNIFRENOS</x:v>
      </x:c>
      <x:c r="C159" s="38" t="n">
        <x:v>15</x:v>
      </x:c>
      <x:c r="D159" s="181" t="n">
        <x:v>11430</x:v>
      </x:c>
      <x:c r="E159" s="38" t="n">
        <x:v>15</x:v>
      </x:c>
      <x:c r="F159" s="181" t="n">
        <x:v>11430</x:v>
      </x:c>
      <x:c r="G159" s="38" t="n">
        <x:v>0</x:v>
      </x:c>
      <x:c r="H159" s="38" t="n">
        <x:v>0</x:v>
      </x:c>
      <x:c r="I159" s="38"/>
      <x:c r="J159" s="47" t="n">
        <x:v>0</x:v>
      </x:c>
      <x:c r="K159" s="181" t="n">
        <x:v>11430</x:v>
      </x:c>
      <x:c r="L159" s="33" t="str">
        <x:v>Sin ventas desde compra</x:v>
      </x:c>
    </x:row>
    <x:row r="160">
      <x:c r="A160" s="31" t="str">
        <x:v>B2208559</x:v>
      </x:c>
      <x:c r="B160" s="53" t="str">
        <x:v>MANIGUETA DER CB 110 GOLIMPORTACIONES</x:v>
      </x:c>
      <x:c r="C160" s="38" t="n">
        <x:v>4</x:v>
      </x:c>
      <x:c r="D160" s="181" t="n">
        <x:v>22000</x:v>
      </x:c>
      <x:c r="E160" s="38" t="n">
        <x:v>2</x:v>
      </x:c>
      <x:c r="F160" s="181" t="n">
        <x:v>11000</x:v>
      </x:c>
      <x:c r="G160" s="38" t="n">
        <x:v>2</x:v>
      </x:c>
      <x:c r="H160" s="38" t="n">
        <x:v>0</x:v>
      </x:c>
      <x:c r="I160" s="38" t="n">
        <x:v>483</x:v>
      </x:c>
      <x:c r="J160" s="47" t="n">
        <x:v>0.5</x:v>
      </x:c>
      <x:c r="K160" s="181" t="n">
        <x:v>11000</x:v>
      </x:c>
      <x:c r="L160" s="33" t="str">
        <x:v>Con stock, sin ventas 365d</x:v>
      </x:c>
    </x:row>
    <x:row r="161">
      <x:c r="A161" s="31" t="str">
        <x:v>MOTS1237</x:v>
      </x:c>
      <x:c r="B161" s="53" t="str">
        <x:v>BALINERA 6303 2RS C3 PFI BEARING</x:v>
      </x:c>
      <x:c r="C161" s="38" t="n">
        <x:v>4</x:v>
      </x:c>
      <x:c r="D161" s="181" t="n">
        <x:v>22000</x:v>
      </x:c>
      <x:c r="E161" s="38" t="n">
        <x:v>2</x:v>
      </x:c>
      <x:c r="F161" s="181" t="n">
        <x:v>11000</x:v>
      </x:c>
      <x:c r="G161" s="38" t="n">
        <x:v>4</x:v>
      </x:c>
      <x:c r="H161" s="38" t="n">
        <x:v>0</x:v>
      </x:c>
      <x:c r="I161" s="38" t="n">
        <x:v>440</x:v>
      </x:c>
      <x:c r="J161" s="47" t="n">
        <x:v>1</x:v>
      </x:c>
      <x:c r="K161" s="181" t="n">
        <x:v>0</x:v>
      </x:c>
      <x:c r="L161" s="33" t="str">
        <x:v>Con stock, sin ventas 365d</x:v>
      </x:c>
    </x:row>
    <x:row r="162">
      <x:c r="A162" s="31" t="str">
        <x:v>MOTS1312</x:v>
      </x:c>
      <x:c r="B162" s="53" t="str">
        <x:v>BOMBA ACEITE ECO HERO</x:v>
      </x:c>
      <x:c r="C162" s="38" t="n">
        <x:v>2</x:v>
      </x:c>
      <x:c r="D162" s="181" t="n">
        <x:v>21000</x:v>
      </x:c>
      <x:c r="E162" s="38" t="n">
        <x:v>1</x:v>
      </x:c>
      <x:c r="F162" s="181" t="n">
        <x:v>10500</x:v>
      </x:c>
      <x:c r="G162" s="38" t="n">
        <x:v>2</x:v>
      </x:c>
      <x:c r="H162" s="38" t="n">
        <x:v>0</x:v>
      </x:c>
      <x:c r="I162" s="38" t="n">
        <x:v>644</x:v>
      </x:c>
      <x:c r="J162" s="47" t="n">
        <x:v>1</x:v>
      </x:c>
      <x:c r="K162" s="181" t="n">
        <x:v>0</x:v>
      </x:c>
      <x:c r="L162" s="33" t="str">
        <x:v>Con stock, sin ventas 365d</x:v>
      </x:c>
    </x:row>
    <x:row r="163">
      <x:c r="A163" s="31" t="str">
        <x:v>MOTS1228</x:v>
      </x:c>
      <x:c r="B163" s="53" t="str">
        <x:v>BALINERA 6002 2PS C3 AFI BEARING</x:v>
      </x:c>
      <x:c r="C163" s="38" t="n">
        <x:v>4</x:v>
      </x:c>
      <x:c r="D163" s="181" t="n">
        <x:v>14000</x:v>
      </x:c>
      <x:c r="E163" s="38" t="n">
        <x:v>3</x:v>
      </x:c>
      <x:c r="F163" s="181" t="n">
        <x:v>10500</x:v>
      </x:c>
      <x:c r="G163" s="38" t="n">
        <x:v>1</x:v>
      </x:c>
      <x:c r="H163" s="38" t="n">
        <x:v>0</x:v>
      </x:c>
      <x:c r="I163" s="38" t="n">
        <x:v>539</x:v>
      </x:c>
      <x:c r="J163" s="47" t="n">
        <x:v>0.25</x:v>
      </x:c>
      <x:c r="K163" s="181" t="n">
        <x:v>10500</x:v>
      </x:c>
      <x:c r="L163" s="33" t="str">
        <x:v>Con stock, sin ventas 365d</x:v>
      </x:c>
    </x:row>
    <x:row r="164">
      <x:c r="A164" s="31" t="str">
        <x:v>11067142</x:v>
      </x:c>
      <x:c r="B164" s="53" t="str">
        <x:v>PASTILLA FRENO PULSAR BAJA 180 MARINO</x:v>
      </x:c>
      <x:c r="C164" s="38" t="n">
        <x:v>2</x:v>
      </x:c>
      <x:c r="D164" s="181" t="n">
        <x:v>21000</x:v>
      </x:c>
      <x:c r="E164" s="38" t="n">
        <x:v>1</x:v>
      </x:c>
      <x:c r="F164" s="181" t="n">
        <x:v>10500</x:v>
      </x:c>
      <x:c r="G164" s="38" t="n">
        <x:v>2</x:v>
      </x:c>
      <x:c r="H164" s="38" t="n">
        <x:v>0</x:v>
      </x:c>
      <x:c r="I164" s="38" t="n">
        <x:v>519</x:v>
      </x:c>
      <x:c r="J164" s="47" t="n">
        <x:v>1</x:v>
      </x:c>
      <x:c r="K164" s="181" t="n">
        <x:v>0</x:v>
      </x:c>
      <x:c r="L164" s="33" t="str">
        <x:v>Con stock, sin ventas 365d</x:v>
      </x:c>
    </x:row>
    <x:row r="165">
      <x:c r="A165" s="31" t="str">
        <x:v>901037</x:v>
      </x:c>
      <x:c r="B165" s="53" t="str">
        <x:v>MANIGUETA DER RX/AT100 - 125</x:v>
      </x:c>
      <x:c r="C165" s="38" t="n">
        <x:v>3</x:v>
      </x:c>
      <x:c r="D165" s="181" t="n">
        <x:v>10500</x:v>
      </x:c>
      <x:c r="E165" s="38" t="n">
        <x:v>3</x:v>
      </x:c>
      <x:c r="F165" s="181" t="n">
        <x:v>10500</x:v>
      </x:c>
      <x:c r="G165" s="38" t="n">
        <x:v>0</x:v>
      </x:c>
      <x:c r="H165" s="38" t="n">
        <x:v>0</x:v>
      </x:c>
      <x:c r="I165" s="38"/>
      <x:c r="J165" s="47" t="n">
        <x:v>0</x:v>
      </x:c>
      <x:c r="K165" s="181" t="n">
        <x:v>10500</x:v>
      </x:c>
      <x:c r="L165" s="33" t="str">
        <x:v>Sin ventas desde compra</x:v>
      </x:c>
    </x:row>
    <x:row r="166">
      <x:c r="A166" s="31" t="str">
        <x:v>MOTS1099</x:v>
      </x:c>
      <x:c r="B166" s="53" t="str">
        <x:v>RETEN 12-20-5</x:v>
      </x:c>
      <x:c r="C166" s="38" t="n">
        <x:v>7</x:v>
      </x:c>
      <x:c r="D166" s="181" t="n">
        <x:v>10500</x:v>
      </x:c>
      <x:c r="E166" s="38" t="n">
        <x:v>7</x:v>
      </x:c>
      <x:c r="F166" s="181" t="n">
        <x:v>10500</x:v>
      </x:c>
      <x:c r="G166" s="38" t="n">
        <x:v>0</x:v>
      </x:c>
      <x:c r="H166" s="38" t="n">
        <x:v>0</x:v>
      </x:c>
      <x:c r="I166" s="38"/>
      <x:c r="J166" s="47" t="n">
        <x:v>0</x:v>
      </x:c>
      <x:c r="K166" s="181" t="n">
        <x:v>10500</x:v>
      </x:c>
      <x:c r="L166" s="33" t="str">
        <x:v>Sin ventas desde compra</x:v>
      </x:c>
    </x:row>
    <x:row r="167">
      <x:c r="A167" s="31" t="str">
        <x:v>MOTS1221</x:v>
      </x:c>
      <x:c r="B167" s="53" t="str">
        <x:v>BALINERA 6203 2RS YAHASUKA</x:v>
      </x:c>
      <x:c r="C167" s="38" t="n">
        <x:v>5</x:v>
      </x:c>
      <x:c r="D167" s="181" t="n">
        <x:v>26000</x:v>
      </x:c>
      <x:c r="E167" s="38" t="n">
        <x:v>2</x:v>
      </x:c>
      <x:c r="F167" s="181" t="n">
        <x:v>10400</x:v>
      </x:c>
      <x:c r="G167" s="38" t="n">
        <x:v>5</x:v>
      </x:c>
      <x:c r="H167" s="38" t="n">
        <x:v>0</x:v>
      </x:c>
      <x:c r="I167" s="38" t="n">
        <x:v>478</x:v>
      </x:c>
      <x:c r="J167" s="47" t="n">
        <x:v>1</x:v>
      </x:c>
      <x:c r="K167" s="181" t="n">
        <x:v>0</x:v>
      </x:c>
      <x:c r="L167" s="33" t="str">
        <x:v>Con stock, sin ventas 365d</x:v>
      </x:c>
    </x:row>
    <x:row r="168">
      <x:c r="A168" s="31" t="str">
        <x:v>MOTS1111</x:v>
      </x:c>
      <x:c r="B168" s="53" t="str">
        <x:v>TORNILLO PATA LATERAL</x:v>
      </x:c>
      <x:c r="C168" s="38" t="n">
        <x:v>13</x:v>
      </x:c>
      <x:c r="D168" s="181" t="n">
        <x:v>16900</x:v>
      </x:c>
      <x:c r="E168" s="38" t="n">
        <x:v>8</x:v>
      </x:c>
      <x:c r="F168" s="181" t="n">
        <x:v>10400</x:v>
      </x:c>
      <x:c r="G168" s="38" t="n">
        <x:v>5</x:v>
      </x:c>
      <x:c r="H168" s="38" t="n">
        <x:v>1</x:v>
      </x:c>
      <x:c r="I168" s="38" t="n">
        <x:v>272</x:v>
      </x:c>
      <x:c r="J168" s="47" t="n">
        <x:v>0.38461538461538464</x:v>
      </x:c>
      <x:c r="K168" s="181" t="n">
        <x:v>10400</x:v>
      </x:c>
      <x:c r="L168" s="33" t="str">
        <x:v>Rotación baja</x:v>
      </x:c>
    </x:row>
    <x:row r="169">
      <x:c r="A169" s="31" t="str">
        <x:v>MOTS1189</x:v>
      </x:c>
      <x:c r="B169" s="53" t="str">
        <x:v>AMPOYECTAS FRENO VARIAS</x:v>
      </x:c>
      <x:c r="C169" s="38" t="n">
        <x:v>7</x:v>
      </x:c>
      <x:c r="D169" s="181" t="n">
        <x:v>14000</x:v>
      </x:c>
      <x:c r="E169" s="38" t="n">
        <x:v>5</x:v>
      </x:c>
      <x:c r="F169" s="181" t="n">
        <x:v>10000</x:v>
      </x:c>
      <x:c r="G169" s="38" t="n">
        <x:v>2</x:v>
      </x:c>
      <x:c r="H169" s="38" t="n">
        <x:v>0</x:v>
      </x:c>
      <x:c r="I169" s="38" t="n">
        <x:v>749</x:v>
      </x:c>
      <x:c r="J169" s="47" t="n">
        <x:v>0.2857142857142857</x:v>
      </x:c>
      <x:c r="K169" s="181" t="n">
        <x:v>10000</x:v>
      </x:c>
      <x:c r="L169" s="33" t="str">
        <x:v>Con stock, sin ventas 365d</x:v>
      </x:c>
    </x:row>
    <x:row r="170">
      <x:c r="A170" s="31" t="str">
        <x:v>4141011</x:v>
      </x:c>
      <x:c r="B170" s="53" t="str">
        <x:v>REPOSA PIE TRA ECO / SPLENDOR PAR FABRIPARTES</x:v>
      </x:c>
      <x:c r="C170" s="38" t="n">
        <x:v>2</x:v>
      </x:c>
      <x:c r="D170" s="181" t="n">
        <x:v>20000</x:v>
      </x:c>
      <x:c r="E170" s="38" t="n">
        <x:v>1</x:v>
      </x:c>
      <x:c r="F170" s="181" t="n">
        <x:v>10000</x:v>
      </x:c>
      <x:c r="G170" s="38" t="n">
        <x:v>1</x:v>
      </x:c>
      <x:c r="H170" s="38" t="n">
        <x:v>0</x:v>
      </x:c>
      <x:c r="I170" s="38" t="n">
        <x:v>679</x:v>
      </x:c>
      <x:c r="J170" s="47" t="n">
        <x:v>0.5</x:v>
      </x:c>
      <x:c r="K170" s="181" t="n">
        <x:v>10000</x:v>
      </x:c>
      <x:c r="L170" s="33" t="str">
        <x:v>Con stock, sin ventas 365d</x:v>
      </x:c>
    </x:row>
    <x:row r="171">
      <x:c r="A171" s="31" t="str">
        <x:v>MOTS1194</x:v>
      </x:c>
      <x:c r="B171" s="53" t="str">
        <x:v>SOKE DIRECCIONAL</x:v>
      </x:c>
      <x:c r="C171" s="38" t="n">
        <x:v>8</x:v>
      </x:c>
      <x:c r="D171" s="181" t="n">
        <x:v>16000</x:v>
      </x:c>
      <x:c r="E171" s="38" t="n">
        <x:v>5</x:v>
      </x:c>
      <x:c r="F171" s="181" t="n">
        <x:v>10000</x:v>
      </x:c>
      <x:c r="G171" s="38" t="n">
        <x:v>3</x:v>
      </x:c>
      <x:c r="H171" s="38" t="n">
        <x:v>1</x:v>
      </x:c>
      <x:c r="I171" s="38" t="n">
        <x:v>313</x:v>
      </x:c>
      <x:c r="J171" s="47" t="n">
        <x:v>0.375</x:v>
      </x:c>
      <x:c r="K171" s="181" t="n">
        <x:v>10000</x:v>
      </x:c>
      <x:c r="L171" s="33" t="str">
        <x:v>Rotación baja</x:v>
      </x:c>
    </x:row>
    <x:row r="172">
      <x:c r="A172" s="31" t="str">
        <x:v>ESC-025</x:v>
      </x:c>
      <x:c r="B172" s="53" t="str">
        <x:v>ESCOBILLAS ARRANQUE CB 110 HONDA</x:v>
      </x:c>
      <x:c r="C172" s="38" t="n">
        <x:v>2</x:v>
      </x:c>
      <x:c r="D172" s="181" t="n">
        <x:v>10000</x:v>
      </x:c>
      <x:c r="E172" s="38" t="n">
        <x:v>2</x:v>
      </x:c>
      <x:c r="F172" s="181" t="n">
        <x:v>10000</x:v>
      </x:c>
      <x:c r="G172" s="38" t="n">
        <x:v>0</x:v>
      </x:c>
      <x:c r="H172" s="38" t="n">
        <x:v>0</x:v>
      </x:c>
      <x:c r="I172" s="38"/>
      <x:c r="J172" s="47" t="n">
        <x:v>0</x:v>
      </x:c>
      <x:c r="K172" s="181" t="n">
        <x:v>10000</x:v>
      </x:c>
      <x:c r="L172" s="33" t="str">
        <x:v>Sin ventas desde compra</x:v>
      </x:c>
    </x:row>
    <x:row r="173">
      <x:c r="A173" s="31" t="str">
        <x:v>MOTS1162</x:v>
      </x:c>
      <x:c r="B173" s="53" t="str">
        <x:v>ESPEJOS BWS ROSCA No. 3 PAR VEKTRA</x:v>
      </x:c>
      <x:c r="C173" s="38" t="n">
        <x:v>1</x:v>
      </x:c>
      <x:c r="D173" s="181" t="n">
        <x:v>10000</x:v>
      </x:c>
      <x:c r="E173" s="38" t="n">
        <x:v>1</x:v>
      </x:c>
      <x:c r="F173" s="181" t="n">
        <x:v>10000</x:v>
      </x:c>
      <x:c r="G173" s="38" t="n">
        <x:v>0</x:v>
      </x:c>
      <x:c r="H173" s="38" t="n">
        <x:v>0</x:v>
      </x:c>
      <x:c r="I173" s="38"/>
      <x:c r="J173" s="47" t="n">
        <x:v>0</x:v>
      </x:c>
      <x:c r="K173" s="181" t="n">
        <x:v>10000</x:v>
      </x:c>
      <x:c r="L173" s="33" t="str">
        <x:v>Sin ventas desde compra</x:v>
      </x:c>
    </x:row>
    <x:row r="174">
      <x:c r="A174" s="31" t="str">
        <x:v>MOTS1163</x:v>
      </x:c>
      <x:c r="B174" s="53" t="str">
        <x:v>ESPEJOS BWS ROSCA No. 10 PAR MODO PITS</x:v>
      </x:c>
      <x:c r="C174" s="38" t="n">
        <x:v>1</x:v>
      </x:c>
      <x:c r="D174" s="181" t="n">
        <x:v>10000</x:v>
      </x:c>
      <x:c r="E174" s="38" t="n">
        <x:v>1</x:v>
      </x:c>
      <x:c r="F174" s="181" t="n">
        <x:v>10000</x:v>
      </x:c>
      <x:c r="G174" s="38" t="n">
        <x:v>0</x:v>
      </x:c>
      <x:c r="H174" s="38" t="n">
        <x:v>0</x:v>
      </x:c>
      <x:c r="I174" s="38"/>
      <x:c r="J174" s="47" t="n">
        <x:v>0</x:v>
      </x:c>
      <x:c r="K174" s="181" t="n">
        <x:v>10000</x:v>
      </x:c>
      <x:c r="L174" s="33" t="str">
        <x:v>Sin ventas desde compra</x:v>
      </x:c>
    </x:row>
    <x:row r="175">
      <x:c r="A175" s="31" t="str">
        <x:v>EMP - 0212129</x:v>
      </x:c>
      <x:c r="B175" s="53" t="str">
        <x:v>EMPAQUE CILINDRO ECO / C70 / C90 / EPLENDOR DARROW</x:v>
      </x:c>
      <x:c r="C175" s="38" t="n">
        <x:v>9</x:v>
      </x:c>
      <x:c r="D175" s="181" t="n">
        <x:v>10800</x:v>
      </x:c>
      <x:c r="E175" s="38" t="n">
        <x:v>8</x:v>
      </x:c>
      <x:c r="F175" s="181" t="n">
        <x:v>9600</x:v>
      </x:c>
      <x:c r="G175" s="38" t="n">
        <x:v>1</x:v>
      </x:c>
      <x:c r="H175" s="38" t="n">
        <x:v>0</x:v>
      </x:c>
      <x:c r="I175" s="38" t="n">
        <x:v>491</x:v>
      </x:c>
      <x:c r="J175" s="47" t="n">
        <x:v>0.1111111111111111</x:v>
      </x:c>
      <x:c r="K175" s="181" t="n">
        <x:v>9600</x:v>
      </x:c>
      <x:c r="L175" s="33" t="str">
        <x:v>Con stock, sin ventas 365d</x:v>
      </x:c>
    </x:row>
    <x:row r="176">
      <x:c r="A176" s="31" t="str">
        <x:v>MOTS1015</x:v>
      </x:c>
      <x:c r="B176" s="53" t="str">
        <x:v>HIDRAULICO AW 68 1/4 GALON POTENSOIL</x:v>
      </x:c>
      <x:c r="C176" s="38" t="n">
        <x:v>11</x:v>
      </x:c>
      <x:c r="D176" s="181" t="n">
        <x:v>104500</x:v>
      </x:c>
      <x:c r="E176" s="38" t="n">
        <x:v>1</x:v>
      </x:c>
      <x:c r="F176" s="181" t="n">
        <x:v>9500</x:v>
      </x:c>
      <x:c r="G176" s="38" t="n">
        <x:v>11</x:v>
      </x:c>
      <x:c r="H176" s="38" t="n">
        <x:v>0</x:v>
      </x:c>
      <x:c r="I176" s="38" t="n">
        <x:v>693</x:v>
      </x:c>
      <x:c r="J176" s="47" t="n">
        <x:v>1</x:v>
      </x:c>
      <x:c r="K176" s="181" t="n">
        <x:v>0</x:v>
      </x:c>
      <x:c r="L176" s="33" t="str">
        <x:v>Con stock, sin ventas 365d</x:v>
      </x:c>
    </x:row>
    <x:row r="177">
      <x:c r="A177" s="31" t="str">
        <x:v>MOTS1253</x:v>
      </x:c>
      <x:c r="B177" s="53" t="str">
        <x:v>PASTILLAS FRENO A GLITY DEI GPP</x:v>
      </x:c>
      <x:c r="C177" s="38" t="n">
        <x:v>1</x:v>
      </x:c>
      <x:c r="D177" s="181" t="n">
        <x:v>9500</x:v>
      </x:c>
      <x:c r="E177" s="38" t="n">
        <x:v>1</x:v>
      </x:c>
      <x:c r="F177" s="181" t="n">
        <x:v>9500</x:v>
      </x:c>
      <x:c r="G177" s="38" t="n">
        <x:v>0</x:v>
      </x:c>
      <x:c r="H177" s="38" t="n">
        <x:v>0</x:v>
      </x:c>
      <x:c r="I177" s="38"/>
      <x:c r="J177" s="47" t="n">
        <x:v>0</x:v>
      </x:c>
      <x:c r="K177" s="181" t="n">
        <x:v>9500</x:v>
      </x:c>
      <x:c r="L177" s="33" t="str">
        <x:v>Sin ventas desde compra</x:v>
      </x:c>
    </x:row>
    <x:row r="178">
      <x:c r="A178" s="31" t="str">
        <x:v>TOR - 0461</x:v>
      </x:c>
      <x:c r="B178" s="53" t="str">
        <x:v>TORNILLO BRISTOL 6 X75 TORNIFRENOS</x:v>
      </x:c>
      <x:c r="C178" s="38" t="n">
        <x:v>20</x:v>
      </x:c>
      <x:c r="D178" s="181" t="n">
        <x:v>9820</x:v>
      </x:c>
      <x:c r="E178" s="38" t="n">
        <x:v>19</x:v>
      </x:c>
      <x:c r="F178" s="181" t="n">
        <x:v>9329</x:v>
      </x:c>
      <x:c r="G178" s="38" t="n">
        <x:v>1</x:v>
      </x:c>
      <x:c r="H178" s="38" t="n">
        <x:v>1</x:v>
      </x:c>
      <x:c r="I178" s="38" t="n">
        <x:v>235</x:v>
      </x:c>
      <x:c r="J178" s="47" t="n">
        <x:v>0.05</x:v>
      </x:c>
      <x:c r="K178" s="181" t="n">
        <x:v>9329</x:v>
      </x:c>
      <x:c r="L178" s="33" t="str">
        <x:v>Rotación baja</x:v>
      </x:c>
    </x:row>
    <x:row r="179">
      <x:c r="A179" s="31" t="str">
        <x:v>MDR8HAL03</x:v>
      </x:c>
      <x:c r="B179" s="53" t="str">
        <x:v>BUJIA BP7HS 54 K</x:v>
      </x:c>
      <x:c r="C179" s="38" t="n">
        <x:v>1</x:v>
      </x:c>
      <x:c r="D179" s="181" t="n">
        <x:v>9250</x:v>
      </x:c>
      <x:c r="E179" s="38" t="n">
        <x:v>1</x:v>
      </x:c>
      <x:c r="F179" s="181" t="n">
        <x:v>9250</x:v>
      </x:c>
      <x:c r="G179" s="38" t="n">
        <x:v>0</x:v>
      </x:c>
      <x:c r="H179" s="38" t="n">
        <x:v>0</x:v>
      </x:c>
      <x:c r="I179" s="38"/>
      <x:c r="J179" s="47" t="n">
        <x:v>0</x:v>
      </x:c>
      <x:c r="K179" s="181" t="n">
        <x:v>9250</x:v>
      </x:c>
      <x:c r="L179" s="33" t="str">
        <x:v>Sin ventas desde compra</x:v>
      </x:c>
    </x:row>
    <x:row r="180">
      <x:c r="A180" s="31" t="str">
        <x:v>MOTS1073</x:v>
      </x:c>
      <x:c r="B180" s="53" t="str">
        <x:v>RETEN 8-14-4</x:v>
      </x:c>
      <x:c r="C180" s="38" t="n">
        <x:v>4</x:v>
      </x:c>
      <x:c r="D180" s="181" t="n">
        <x:v>9200</x:v>
      </x:c>
      <x:c r="E180" s="38" t="n">
        <x:v>4</x:v>
      </x:c>
      <x:c r="F180" s="181" t="n">
        <x:v>9200</x:v>
      </x:c>
      <x:c r="G180" s="38" t="n">
        <x:v>0</x:v>
      </x:c>
      <x:c r="H180" s="38" t="n">
        <x:v>0</x:v>
      </x:c>
      <x:c r="I180" s="38"/>
      <x:c r="J180" s="47" t="n">
        <x:v>0</x:v>
      </x:c>
      <x:c r="K180" s="181" t="n">
        <x:v>9200</x:v>
      </x:c>
      <x:c r="L180" s="33" t="str">
        <x:v>Sin ventas desde compra</x:v>
      </x:c>
    </x:row>
    <x:row r="181">
      <x:c r="A181" s="31" t="str">
        <x:v>MOTS1232</x:v>
      </x:c>
      <x:c r="B181" s="53" t="str">
        <x:v>BALINERA 6005 ZZ C3 KOYO</x:v>
      </x:c>
      <x:c r="C181" s="38" t="n">
        <x:v>3</x:v>
      </x:c>
      <x:c r="D181" s="181" t="n">
        <x:v>27000</x:v>
      </x:c>
      <x:c r="E181" s="38" t="n">
        <x:v>1</x:v>
      </x:c>
      <x:c r="F181" s="181" t="n">
        <x:v>9000</x:v>
      </x:c>
      <x:c r="G181" s="38" t="n">
        <x:v>3</x:v>
      </x:c>
      <x:c r="H181" s="38" t="n">
        <x:v>0</x:v>
      </x:c>
      <x:c r="I181" s="38" t="n">
        <x:v>537</x:v>
      </x:c>
      <x:c r="J181" s="47" t="n">
        <x:v>1</x:v>
      </x:c>
      <x:c r="K181" s="181" t="n">
        <x:v>0</x:v>
      </x:c>
      <x:c r="L181" s="33" t="str">
        <x:v>Con stock, sin ventas 365d</x:v>
      </x:c>
    </x:row>
    <x:row r="182">
      <x:c r="A182" s="31" t="str">
        <x:v>MOTS1300</x:v>
      </x:c>
      <x:c r="B182" s="53" t="str">
        <x:v>EMPAQUE TAPA CLUCTH YAMAHA YBR / XT2 / 25 GPP</x:v>
      </x:c>
      <x:c r="C182" s="38" t="n">
        <x:v>5</x:v>
      </x:c>
      <x:c r="D182" s="181" t="n">
        <x:v>15000</x:v>
      </x:c>
      <x:c r="E182" s="38" t="n">
        <x:v>3</x:v>
      </x:c>
      <x:c r="F182" s="181" t="n">
        <x:v>9000</x:v>
      </x:c>
      <x:c r="G182" s="38" t="n">
        <x:v>4</x:v>
      </x:c>
      <x:c r="H182" s="38" t="n">
        <x:v>0</x:v>
      </x:c>
      <x:c r="I182" s="38" t="n">
        <x:v>510</x:v>
      </x:c>
      <x:c r="J182" s="47" t="n">
        <x:v>0.8</x:v>
      </x:c>
      <x:c r="K182" s="181" t="n">
        <x:v>3000</x:v>
      </x:c>
      <x:c r="L182" s="33" t="str">
        <x:v>Con stock, sin ventas 365d</x:v>
      </x:c>
    </x:row>
    <x:row r="183">
      <x:c r="A183" s="31" t="str">
        <x:v>OYQ 179M</x:v>
      </x:c>
      <x:c r="B183" s="53" t="str">
        <x:v>EMPAQUE EXOSTO PULSAR 150 760 / PULSAR 180 06 -200-220</x:v>
      </x:c>
      <x:c r="C183" s="38" t="n">
        <x:v>9</x:v>
      </x:c>
      <x:c r="D183" s="181" t="n">
        <x:v>13500</x:v>
      </x:c>
      <x:c r="E183" s="38" t="n">
        <x:v>6</x:v>
      </x:c>
      <x:c r="F183" s="181" t="n">
        <x:v>9000</x:v>
      </x:c>
      <x:c r="G183" s="38" t="n">
        <x:v>3</x:v>
      </x:c>
      <x:c r="H183" s="38" t="n">
        <x:v>1</x:v>
      </x:c>
      <x:c r="I183" s="38" t="n">
        <x:v>165</x:v>
      </x:c>
      <x:c r="J183" s="47" t="n">
        <x:v>0.3333333333333333</x:v>
      </x:c>
      <x:c r="K183" s="181" t="n">
        <x:v>9000</x:v>
      </x:c>
      <x:c r="L183" s="33" t="str">
        <x:v>Rotación baja</x:v>
      </x:c>
    </x:row>
    <x:row r="184">
      <x:c r="A184" s="31" t="str">
        <x:v>MOTS1059</x:v>
      </x:c>
      <x:c r="B184" s="53" t="str">
        <x:v>RETEN 32-43-10</x:v>
      </x:c>
      <x:c r="C184" s="38" t="n">
        <x:v>3</x:v>
      </x:c>
      <x:c r="D184" s="181" t="n">
        <x:v>9000</x:v>
      </x:c>
      <x:c r="E184" s="38" t="n">
        <x:v>3</x:v>
      </x:c>
      <x:c r="F184" s="181" t="n">
        <x:v>9000</x:v>
      </x:c>
      <x:c r="G184" s="38" t="n">
        <x:v>0</x:v>
      </x:c>
      <x:c r="H184" s="38" t="n">
        <x:v>0</x:v>
      </x:c>
      <x:c r="I184" s="38"/>
      <x:c r="J184" s="47" t="n">
        <x:v>0</x:v>
      </x:c>
      <x:c r="K184" s="181" t="n">
        <x:v>9000</x:v>
      </x:c>
      <x:c r="L184" s="33" t="str">
        <x:v>Sin ventas desde compra</x:v>
      </x:c>
    </x:row>
    <x:row r="185">
      <x:c r="A185" s="31" t="str">
        <x:v>MOTS1272</x:v>
      </x:c>
      <x:c r="B185" s="53" t="str">
        <x:v>GUAYA VELOCIMETRO ECO SYK</x:v>
      </x:c>
      <x:c r="C185" s="38" t="n">
        <x:v>3</x:v>
      </x:c>
      <x:c r="D185" s="181" t="n">
        <x:v>9000</x:v>
      </x:c>
      <x:c r="E185" s="38" t="n">
        <x:v>3</x:v>
      </x:c>
      <x:c r="F185" s="181" t="n">
        <x:v>9000</x:v>
      </x:c>
      <x:c r="G185" s="38" t="n">
        <x:v>0</x:v>
      </x:c>
      <x:c r="H185" s="38" t="n">
        <x:v>0</x:v>
      </x:c>
      <x:c r="I185" s="38"/>
      <x:c r="J185" s="47" t="n">
        <x:v>0</x:v>
      </x:c>
      <x:c r="K185" s="181" t="n">
        <x:v>9000</x:v>
      </x:c>
      <x:c r="L185" s="33" t="str">
        <x:v>Sin ventas desde compra</x:v>
      </x:c>
    </x:row>
    <x:row r="186">
      <x:c r="A186" s="31" t="str">
        <x:v>MOTS1106</x:v>
      </x:c>
      <x:c r="B186" s="53" t="str">
        <x:v>PIÑON BAMBA ACEITE ECO</x:v>
      </x:c>
      <x:c r="C186" s="38" t="n">
        <x:v>5</x:v>
      </x:c>
      <x:c r="D186" s="181" t="n">
        <x:v>11000</x:v>
      </x:c>
      <x:c r="E186" s="38" t="n">
        <x:v>4</x:v>
      </x:c>
      <x:c r="F186" s="181" t="n">
        <x:v>8800</x:v>
      </x:c>
      <x:c r="G186" s="38" t="n">
        <x:v>1</x:v>
      </x:c>
      <x:c r="H186" s="38" t="n">
        <x:v>0</x:v>
      </x:c>
      <x:c r="I186" s="38" t="n">
        <x:v>714</x:v>
      </x:c>
      <x:c r="J186" s="47" t="n">
        <x:v>0.2</x:v>
      </x:c>
      <x:c r="K186" s="181" t="n">
        <x:v>8800</x:v>
      </x:c>
      <x:c r="L186" s="33" t="str">
        <x:v>Con stock, sin ventas 365d</x:v>
      </x:c>
    </x:row>
    <x:row r="187">
      <x:c r="A187" s="31" t="str">
        <x:v>DIA-010</x:v>
      </x:c>
      <x:c r="B187" s="53" t="str">
        <x:v>DIAFRAGMA BWS 125 YAMAHA</x:v>
      </x:c>
      <x:c r="C187" s="38" t="n">
        <x:v>2</x:v>
      </x:c>
      <x:c r="D187" s="181" t="n">
        <x:v>17600</x:v>
      </x:c>
      <x:c r="E187" s="38" t="n">
        <x:v>1</x:v>
      </x:c>
      <x:c r="F187" s="181" t="n">
        <x:v>8800</x:v>
      </x:c>
      <x:c r="G187" s="38" t="n">
        <x:v>1</x:v>
      </x:c>
      <x:c r="H187" s="38" t="n">
        <x:v>0</x:v>
      </x:c>
      <x:c r="I187" s="38" t="n">
        <x:v>649</x:v>
      </x:c>
      <x:c r="J187" s="47" t="n">
        <x:v>0.5</x:v>
      </x:c>
      <x:c r="K187" s="181" t="n">
        <x:v>8800</x:v>
      </x:c>
      <x:c r="L187" s="33" t="str">
        <x:v>Con stock, sin ventas 365d</x:v>
      </x:c>
    </x:row>
    <x:row r="188">
      <x:c r="A188" s="31" t="str">
        <x:v>MOTS1294</x:v>
      </x:c>
      <x:c r="B188" s="53" t="str">
        <x:v>JUEGO FUELLE UNIVERSAL PAR N -A CAUCHOS MOTOS</x:v>
      </x:c>
      <x:c r="C188" s="38" t="n">
        <x:v>1</x:v>
      </x:c>
      <x:c r="D188" s="181" t="n">
        <x:v>8500</x:v>
      </x:c>
      <x:c r="E188" s="38" t="n">
        <x:v>1</x:v>
      </x:c>
      <x:c r="F188" s="181" t="n">
        <x:v>8500</x:v>
      </x:c>
      <x:c r="G188" s="38" t="n">
        <x:v>0</x:v>
      </x:c>
      <x:c r="H188" s="38" t="n">
        <x:v>0</x:v>
      </x:c>
      <x:c r="I188" s="38"/>
      <x:c r="J188" s="47" t="n">
        <x:v>0</x:v>
      </x:c>
      <x:c r="K188" s="181" t="n">
        <x:v>8500</x:v>
      </x:c>
      <x:c r="L188" s="33" t="str">
        <x:v>Sin ventas desde compra</x:v>
      </x:c>
    </x:row>
    <x:row r="189">
      <x:c r="A189" s="31" t="str">
        <x:v>TOR - 9442</x:v>
      </x:c>
      <x:c r="B189" s="53" t="str">
        <x:v>TORNILLO ESTRELLA 8 X15 TORNIFRENOS</x:v>
      </x:c>
      <x:c r="C189" s="38" t="n">
        <x:v>29</x:v>
      </x:c>
      <x:c r="D189" s="181" t="n">
        <x:v>8265</x:v>
      </x:c>
      <x:c r="E189" s="38" t="n">
        <x:v>29</x:v>
      </x:c>
      <x:c r="F189" s="181" t="n">
        <x:v>8265</x:v>
      </x:c>
      <x:c r="G189" s="38" t="n">
        <x:v>0</x:v>
      </x:c>
      <x:c r="H189" s="38" t="n">
        <x:v>0</x:v>
      </x:c>
      <x:c r="I189" s="38"/>
      <x:c r="J189" s="47" t="n">
        <x:v>0</x:v>
      </x:c>
      <x:c r="K189" s="181" t="n">
        <x:v>8265</x:v>
      </x:c>
      <x:c r="L189" s="33" t="str">
        <x:v>Sin ventas desde compra</x:v>
      </x:c>
    </x:row>
    <x:row r="190">
      <x:c r="A190" s="31" t="str">
        <x:v>TOR - 0472</x:v>
      </x:c>
      <x:c r="B190" s="53" t="str">
        <x:v>TORNILLO BRISTOL 8 X60 TORNIFRENOS</x:v>
      </x:c>
      <x:c r="C190" s="38" t="n">
        <x:v>14</x:v>
      </x:c>
      <x:c r="D190" s="181" t="n">
        <x:v>8028</x:v>
      </x:c>
      <x:c r="E190" s="38" t="n">
        <x:v>14</x:v>
      </x:c>
      <x:c r="F190" s="181" t="n">
        <x:v>8028</x:v>
      </x:c>
      <x:c r="G190" s="38" t="n">
        <x:v>0</x:v>
      </x:c>
      <x:c r="H190" s="38" t="n">
        <x:v>0</x:v>
      </x:c>
      <x:c r="I190" s="38"/>
      <x:c r="J190" s="47" t="n">
        <x:v>0</x:v>
      </x:c>
      <x:c r="K190" s="181" t="n">
        <x:v>8028</x:v>
      </x:c>
      <x:c r="L190" s="33" t="str">
        <x:v>Sin ventas desde compra</x:v>
      </x:c>
    </x:row>
    <x:row r="191">
      <x:c r="A191" s="31" t="str">
        <x:v>10263</x:v>
      </x:c>
      <x:c r="B191" s="53" t="str">
        <x:v>BASE MANIGUETA ESPEJO CB110 JAPAN</x:v>
      </x:c>
      <x:c r="C191" s="38" t="n">
        <x:v>2</x:v>
      </x:c>
      <x:c r="D191" s="181" t="n">
        <x:v>16000</x:v>
      </x:c>
      <x:c r="E191" s="38" t="n">
        <x:v>1</x:v>
      </x:c>
      <x:c r="F191" s="181" t="n">
        <x:v>8000</x:v>
      </x:c>
      <x:c r="G191" s="38" t="n">
        <x:v>1</x:v>
      </x:c>
      <x:c r="H191" s="38" t="n">
        <x:v>0</x:v>
      </x:c>
      <x:c r="I191" s="38" t="n">
        <x:v>620</x:v>
      </x:c>
      <x:c r="J191" s="47" t="n">
        <x:v>0.5</x:v>
      </x:c>
      <x:c r="K191" s="181" t="n">
        <x:v>8000</x:v>
      </x:c>
      <x:c r="L191" s="33" t="str">
        <x:v>Con stock, sin ventas 365d</x:v>
      </x:c>
    </x:row>
    <x:row r="192">
      <x:c r="A192" s="31" t="str">
        <x:v>MOTS1299</x:v>
      </x:c>
      <x:c r="B192" s="53" t="str">
        <x:v>EMPAQUE TAPA CLUCTH GN / GS KANUN</x:v>
      </x:c>
      <x:c r="C192" s="38" t="n">
        <x:v>5</x:v>
      </x:c>
      <x:c r="D192" s="181" t="n">
        <x:v>10000</x:v>
      </x:c>
      <x:c r="E192" s="38" t="n">
        <x:v>4</x:v>
      </x:c>
      <x:c r="F192" s="181" t="n">
        <x:v>8000</x:v>
      </x:c>
      <x:c r="G192" s="38" t="n">
        <x:v>1</x:v>
      </x:c>
      <x:c r="H192" s="38" t="n">
        <x:v>0</x:v>
      </x:c>
      <x:c r="I192" s="38" t="n">
        <x:v>614</x:v>
      </x:c>
      <x:c r="J192" s="47" t="n">
        <x:v>0.2</x:v>
      </x:c>
      <x:c r="K192" s="181" t="n">
        <x:v>8000</x:v>
      </x:c>
      <x:c r="L192" s="33" t="str">
        <x:v>Con stock, sin ventas 365d</x:v>
      </x:c>
    </x:row>
    <x:row r="193">
      <x:c r="A193" s="31" t="str">
        <x:v>MOTS1042</x:v>
      </x:c>
      <x:c r="B193" s="53" t="str">
        <x:v>RETEN 20-32-5</x:v>
      </x:c>
      <x:c r="C193" s="38" t="n">
        <x:v>4</x:v>
      </x:c>
      <x:c r="D193" s="181" t="n">
        <x:v>8000</x:v>
      </x:c>
      <x:c r="E193" s="38" t="n">
        <x:v>4</x:v>
      </x:c>
      <x:c r="F193" s="181" t="n">
        <x:v>8000</x:v>
      </x:c>
      <x:c r="G193" s="38" t="n">
        <x:v>0</x:v>
      </x:c>
      <x:c r="H193" s="38" t="n">
        <x:v>0</x:v>
      </x:c>
      <x:c r="I193" s="38"/>
      <x:c r="J193" s="47" t="n">
        <x:v>0</x:v>
      </x:c>
      <x:c r="K193" s="181" t="n">
        <x:v>8000</x:v>
      </x:c>
      <x:c r="L193" s="33" t="str">
        <x:v>Sin ventas desde compra</x:v>
      </x:c>
    </x:row>
    <x:row r="194">
      <x:c r="A194" s="31" t="str">
        <x:v>MOTS1236</x:v>
      </x:c>
      <x:c r="B194" s="53" t="str">
        <x:v>BALINERA 6000 ZZCM KOYO</x:v>
      </x:c>
      <x:c r="C194" s="38" t="n">
        <x:v>2</x:v>
      </x:c>
      <x:c r="D194" s="181" t="n">
        <x:v>8000</x:v>
      </x:c>
      <x:c r="E194" s="38" t="n">
        <x:v>2</x:v>
      </x:c>
      <x:c r="F194" s="181" t="n">
        <x:v>8000</x:v>
      </x:c>
      <x:c r="G194" s="38" t="n">
        <x:v>0</x:v>
      </x:c>
      <x:c r="H194" s="38" t="n">
        <x:v>0</x:v>
      </x:c>
      <x:c r="I194" s="38"/>
      <x:c r="J194" s="47" t="n">
        <x:v>0</x:v>
      </x:c>
      <x:c r="K194" s="181" t="n">
        <x:v>8000</x:v>
      </x:c>
      <x:c r="L194" s="33" t="str">
        <x:v>Sin ventas desde compra</x:v>
      </x:c>
    </x:row>
    <x:row r="195">
      <x:c r="A195" s="31" t="str">
        <x:v>MOTS1291</x:v>
      </x:c>
      <x:c r="B195" s="53" t="str">
        <x:v>DEFENSA CUADRADA DE POSAPIE IND</x:v>
      </x:c>
      <x:c r="C195" s="38" t="n">
        <x:v>4</x:v>
      </x:c>
      <x:c r="D195" s="181" t="n">
        <x:v>8000</x:v>
      </x:c>
      <x:c r="E195" s="38" t="n">
        <x:v>4</x:v>
      </x:c>
      <x:c r="F195" s="181" t="n">
        <x:v>8000</x:v>
      </x:c>
      <x:c r="G195" s="38" t="n">
        <x:v>0</x:v>
      </x:c>
      <x:c r="H195" s="38" t="n">
        <x:v>0</x:v>
      </x:c>
      <x:c r="I195" s="38"/>
      <x:c r="J195" s="47" t="n">
        <x:v>0</x:v>
      </x:c>
      <x:c r="K195" s="181" t="n">
        <x:v>8000</x:v>
      </x:c>
      <x:c r="L195" s="33" t="str">
        <x:v>Sin ventas desde compra</x:v>
      </x:c>
    </x:row>
    <x:row r="196">
      <x:c r="A196" s="31" t="str">
        <x:v>P1212</x:v>
      </x:c>
      <x:c r="B196" s="53" t="str">
        <x:v>BALINERA 6200 ZZC3 KOYO</x:v>
      </x:c>
      <x:c r="C196" s="38" t="n">
        <x:v>2</x:v>
      </x:c>
      <x:c r="D196" s="181" t="n">
        <x:v>8000</x:v>
      </x:c>
      <x:c r="E196" s="38" t="n">
        <x:v>2</x:v>
      </x:c>
      <x:c r="F196" s="181" t="n">
        <x:v>8000</x:v>
      </x:c>
      <x:c r="G196" s="38" t="n">
        <x:v>0</x:v>
      </x:c>
      <x:c r="H196" s="38" t="n">
        <x:v>0</x:v>
      </x:c>
      <x:c r="I196" s="38"/>
      <x:c r="J196" s="47" t="n">
        <x:v>0</x:v>
      </x:c>
      <x:c r="K196" s="181" t="n">
        <x:v>8000</x:v>
      </x:c>
      <x:c r="L196" s="33" t="str">
        <x:v>Sin ventas desde compra</x:v>
      </x:c>
    </x:row>
    <x:row r="197">
      <x:c r="A197" s="31" t="str">
        <x:v>TOR - 0459</x:v>
      </x:c>
      <x:c r="B197" s="53" t="str">
        <x:v>TORNILLO BRISTOL 6 X65 TORNIFRENOS</x:v>
      </x:c>
      <x:c r="C197" s="38" t="n">
        <x:v>20</x:v>
      </x:c>
      <x:c r="D197" s="181" t="n">
        <x:v>9320</x:v>
      </x:c>
      <x:c r="E197" s="38" t="n">
        <x:v>17</x:v>
      </x:c>
      <x:c r="F197" s="181" t="n">
        <x:v>7922</x:v>
      </x:c>
      <x:c r="G197" s="38" t="n">
        <x:v>2</x:v>
      </x:c>
      <x:c r="H197" s="38" t="n">
        <x:v>1</x:v>
      </x:c>
      <x:c r="I197" s="38" t="n">
        <x:v>299</x:v>
      </x:c>
      <x:c r="J197" s="47" t="n">
        <x:v>0.1</x:v>
      </x:c>
      <x:c r="K197" s="181" t="n">
        <x:v>7922</x:v>
      </x:c>
      <x:c r="L197" s="33" t="str">
        <x:v>Rotación baja</x:v>
      </x:c>
    </x:row>
    <x:row r="198">
      <x:c r="A198" s="31" t="str">
        <x:v>TOR - 0460</x:v>
      </x:c>
      <x:c r="B198" s="53" t="str">
        <x:v>TORNILLO BRISTOL 6 X70 TORNIFRENOS</x:v>
      </x:c>
      <x:c r="C198" s="38" t="n">
        <x:v>20</x:v>
      </x:c>
      <x:c r="D198" s="181" t="n">
        <x:v>7640</x:v>
      </x:c>
      <x:c r="E198" s="38" t="n">
        <x:v>20</x:v>
      </x:c>
      <x:c r="F198" s="181" t="n">
        <x:v>7640</x:v>
      </x:c>
      <x:c r="G198" s="38" t="n">
        <x:v>1</x:v>
      </x:c>
      <x:c r="H198" s="38" t="n">
        <x:v>1</x:v>
      </x:c>
      <x:c r="I198" s="38" t="n">
        <x:v>277</x:v>
      </x:c>
      <x:c r="J198" s="47" t="n">
        <x:v>0.05</x:v>
      </x:c>
      <x:c r="K198" s="181" t="n">
        <x:v>7258</x:v>
      </x:c>
      <x:c r="L198" s="33" t="str">
        <x:v>Rotación baja</x:v>
      </x:c>
    </x:row>
    <x:row r="199">
      <x:c r="A199" s="31" t="str">
        <x:v>MOTS1036</x:v>
      </x:c>
      <x:c r="B199" s="53" t="str">
        <x:v>CUÑAS DE VALVULA</x:v>
      </x:c>
      <x:c r="C199" s="38" t="n">
        <x:v>19</x:v>
      </x:c>
      <x:c r="D199" s="181" t="n">
        <x:v>7600</x:v>
      </x:c>
      <x:c r="E199" s="38" t="n">
        <x:v>19</x:v>
      </x:c>
      <x:c r="F199" s="181" t="n">
        <x:v>7600</x:v>
      </x:c>
      <x:c r="G199" s="38" t="n">
        <x:v>0</x:v>
      </x:c>
      <x:c r="H199" s="38" t="n">
        <x:v>0</x:v>
      </x:c>
      <x:c r="I199" s="38"/>
      <x:c r="J199" s="47" t="n">
        <x:v>0</x:v>
      </x:c>
      <x:c r="K199" s="181" t="n">
        <x:v>7600</x:v>
      </x:c>
      <x:c r="L199" s="33" t="str">
        <x:v>Sin ventas desde compra</x:v>
      </x:c>
    </x:row>
    <x:row r="200">
      <x:c r="A200" s="31" t="str">
        <x:v>4213</x:v>
      </x:c>
      <x:c r="B200" s="53" t="str">
        <x:v>TORNILLO FLANGE 6X 65 LLAVE 8 TORNIFRENOS</x:v>
      </x:c>
      <x:c r="C200" s="38" t="n">
        <x:v>11</x:v>
      </x:c>
      <x:c r="D200" s="181" t="n">
        <x:v>7513</x:v>
      </x:c>
      <x:c r="E200" s="38" t="n">
        <x:v>11</x:v>
      </x:c>
      <x:c r="F200" s="181" t="n">
        <x:v>7513</x:v>
      </x:c>
      <x:c r="G200" s="38" t="n">
        <x:v>0</x:v>
      </x:c>
      <x:c r="H200" s="38" t="n">
        <x:v>0</x:v>
      </x:c>
      <x:c r="I200" s="38"/>
      <x:c r="J200" s="47" t="n">
        <x:v>0</x:v>
      </x:c>
      <x:c r="K200" s="181" t="n">
        <x:v>7513</x:v>
      </x:c>
      <x:c r="L200" s="33" t="str">
        <x:v>Sin ventas desde compra</x:v>
      </x:c>
    </x:row>
    <x:row r="201">
      <x:c r="A201" s="31" t="str">
        <x:v>918080</x:v>
      </x:c>
      <x:c r="B201" s="53" t="str">
        <x:v>MANIGUETA IZQ PULSAR 200 NS JAPON</x:v>
      </x:c>
      <x:c r="C201" s="38" t="n">
        <x:v>2</x:v>
      </x:c>
      <x:c r="D201" s="181" t="n">
        <x:v>15000</x:v>
      </x:c>
      <x:c r="E201" s="38" t="n">
        <x:v>1</x:v>
      </x:c>
      <x:c r="F201" s="181" t="n">
        <x:v>7500</x:v>
      </x:c>
      <x:c r="G201" s="38" t="n">
        <x:v>1</x:v>
      </x:c>
      <x:c r="H201" s="38" t="n">
        <x:v>0</x:v>
      </x:c>
      <x:c r="I201" s="38" t="n">
        <x:v>760</x:v>
      </x:c>
      <x:c r="J201" s="47" t="n">
        <x:v>0.5</x:v>
      </x:c>
      <x:c r="K201" s="181" t="n">
        <x:v>7500</x:v>
      </x:c>
      <x:c r="L201" s="33" t="str">
        <x:v>Con stock, sin ventas 365d</x:v>
      </x:c>
    </x:row>
    <x:row r="202">
      <x:c r="A202" s="31" t="str">
        <x:v>CAB - 267</x:v>
      </x:c>
      <x:c r="B202" s="53" t="str">
        <x:v>GUAYA ACELERADOR ECO DELUXE EVOL</x:v>
      </x:c>
      <x:c r="C202" s="38" t="n">
        <x:v>2</x:v>
      </x:c>
      <x:c r="D202" s="181" t="n">
        <x:v>15000</x:v>
      </x:c>
      <x:c r="E202" s="38" t="n">
        <x:v>1</x:v>
      </x:c>
      <x:c r="F202" s="181" t="n">
        <x:v>7500</x:v>
      </x:c>
      <x:c r="G202" s="38" t="n">
        <x:v>2</x:v>
      </x:c>
      <x:c r="H202" s="38" t="n">
        <x:v>0</x:v>
      </x:c>
      <x:c r="I202" s="38" t="n">
        <x:v>752</x:v>
      </x:c>
      <x:c r="J202" s="47" t="n">
        <x:v>1</x:v>
      </x:c>
      <x:c r="K202" s="181" t="n">
        <x:v>0</x:v>
      </x:c>
      <x:c r="L202" s="33" t="str">
        <x:v>Con stock, sin ventas 365d</x:v>
      </x:c>
    </x:row>
    <x:row r="203">
      <x:c r="A203" s="31" t="str">
        <x:v>MOTS1175</x:v>
      </x:c>
      <x:c r="B203" s="53" t="str">
        <x:v>ALTPO GASOLINA UNIVERSAL TAPAROJA</x:v>
      </x:c>
      <x:c r="C203" s="38" t="n">
        <x:v>9</x:v>
      </x:c>
      <x:c r="D203" s="181" t="n">
        <x:v>13500</x:v>
      </x:c>
      <x:c r="E203" s="38" t="n">
        <x:v>5</x:v>
      </x:c>
      <x:c r="F203" s="181" t="n">
        <x:v>7500</x:v>
      </x:c>
      <x:c r="G203" s="38" t="n">
        <x:v>5</x:v>
      </x:c>
      <x:c r="H203" s="38" t="n">
        <x:v>0</x:v>
      </x:c>
      <x:c r="I203" s="38" t="n">
        <x:v>410</x:v>
      </x:c>
      <x:c r="J203" s="47" t="n">
        <x:v>0.5555555555555556</x:v>
      </x:c>
      <x:c r="K203" s="181" t="n">
        <x:v>6000</x:v>
      </x:c>
      <x:c r="L203" s="33" t="str">
        <x:v>Con stock, sin ventas 365d</x:v>
      </x:c>
    </x:row>
    <x:row r="204">
      <x:c r="A204" s="31" t="str">
        <x:v>MOTS1089</x:v>
      </x:c>
      <x:c r="B204" s="53" t="str">
        <x:v>RETEN 4.8-25-5.5</x:v>
      </x:c>
      <x:c r="C204" s="38" t="n">
        <x:v>6</x:v>
      </x:c>
      <x:c r="D204" s="181" t="n">
        <x:v>9000</x:v>
      </x:c>
      <x:c r="E204" s="38" t="n">
        <x:v>5</x:v>
      </x:c>
      <x:c r="F204" s="181" t="n">
        <x:v>7500</x:v>
      </x:c>
      <x:c r="G204" s="38" t="n">
        <x:v>1</x:v>
      </x:c>
      <x:c r="H204" s="38" t="n">
        <x:v>1</x:v>
      </x:c>
      <x:c r="I204" s="38" t="n">
        <x:v>280</x:v>
      </x:c>
      <x:c r="J204" s="47" t="n">
        <x:v>0.16666666666666666</x:v>
      </x:c>
      <x:c r="K204" s="181" t="n">
        <x:v>7500</x:v>
      </x:c>
      <x:c r="L204" s="33" t="str">
        <x:v>Rotación baja</x:v>
      </x:c>
    </x:row>
    <x:row r="205">
      <x:c r="A205" s="31" t="str">
        <x:v>MOTS1007</x:v>
      </x:c>
      <x:c r="B205" s="53" t="str">
        <x:v>JUEGO CORTA VIENTO LUJO</x:v>
      </x:c>
      <x:c r="C205" s="38" t="n">
        <x:v>1</x:v>
      </x:c>
      <x:c r="D205" s="181" t="n">
        <x:v>7500</x:v>
      </x:c>
      <x:c r="E205" s="38" t="n">
        <x:v>1</x:v>
      </x:c>
      <x:c r="F205" s="181" t="n">
        <x:v>7500</x:v>
      </x:c>
      <x:c r="G205" s="38" t="n">
        <x:v>0</x:v>
      </x:c>
      <x:c r="H205" s="38" t="n">
        <x:v>0</x:v>
      </x:c>
      <x:c r="I205" s="38"/>
      <x:c r="J205" s="47" t="n">
        <x:v>0</x:v>
      </x:c>
      <x:c r="K205" s="181" t="n">
        <x:v>7500</x:v>
      </x:c>
      <x:c r="L205" s="33" t="str">
        <x:v>Sin ventas desde compra</x:v>
      </x:c>
    </x:row>
    <x:row r="206">
      <x:c r="A206" s="31" t="str">
        <x:v>MOTS1050</x:v>
      </x:c>
      <x:c r="B206" s="53" t="str">
        <x:v>RETEN 20-30-7</x:v>
      </x:c>
      <x:c r="C206" s="38" t="n">
        <x:v>5</x:v>
      </x:c>
      <x:c r="D206" s="181" t="n">
        <x:v>7500</x:v>
      </x:c>
      <x:c r="E206" s="38" t="n">
        <x:v>5</x:v>
      </x:c>
      <x:c r="F206" s="181" t="n">
        <x:v>7500</x:v>
      </x:c>
      <x:c r="G206" s="38" t="n">
        <x:v>0</x:v>
      </x:c>
      <x:c r="H206" s="38" t="n">
        <x:v>0</x:v>
      </x:c>
      <x:c r="I206" s="38"/>
      <x:c r="J206" s="47" t="n">
        <x:v>0</x:v>
      </x:c>
      <x:c r="K206" s="181" t="n">
        <x:v>7500</x:v>
      </x:c>
      <x:c r="L206" s="33" t="str">
        <x:v>Sin ventas desde compra</x:v>
      </x:c>
    </x:row>
    <x:row r="207">
      <x:c r="A207" s="31" t="str">
        <x:v>MOTS1071</x:v>
      </x:c>
      <x:c r="B207" s="53" t="str">
        <x:v>RETEN 29-39-10-5</x:v>
      </x:c>
      <x:c r="C207" s="38" t="n">
        <x:v>5</x:v>
      </x:c>
      <x:c r="D207" s="181" t="n">
        <x:v>7500</x:v>
      </x:c>
      <x:c r="E207" s="38" t="n">
        <x:v>5</x:v>
      </x:c>
      <x:c r="F207" s="181" t="n">
        <x:v>7500</x:v>
      </x:c>
      <x:c r="G207" s="38" t="n">
        <x:v>0</x:v>
      </x:c>
      <x:c r="H207" s="38" t="n">
        <x:v>0</x:v>
      </x:c>
      <x:c r="I207" s="38"/>
      <x:c r="J207" s="47" t="n">
        <x:v>0</x:v>
      </x:c>
      <x:c r="K207" s="181" t="n">
        <x:v>7500</x:v>
      </x:c>
      <x:c r="L207" s="33" t="str">
        <x:v>Sin ventas desde compra</x:v>
      </x:c>
    </x:row>
    <x:row r="208">
      <x:c r="A208" s="31" t="str">
        <x:v>MOTS1083</x:v>
      </x:c>
      <x:c r="B208" s="53" t="str">
        <x:v>RETEN 17-25-4 VV MOTOR</x:v>
      </x:c>
      <x:c r="C208" s="38" t="n">
        <x:v>5</x:v>
      </x:c>
      <x:c r="D208" s="181" t="n">
        <x:v>7500</x:v>
      </x:c>
      <x:c r="E208" s="38" t="n">
        <x:v>5</x:v>
      </x:c>
      <x:c r="F208" s="181" t="n">
        <x:v>7500</x:v>
      </x:c>
      <x:c r="G208" s="38" t="n">
        <x:v>0</x:v>
      </x:c>
      <x:c r="H208" s="38" t="n">
        <x:v>0</x:v>
      </x:c>
      <x:c r="I208" s="38"/>
      <x:c r="J208" s="47" t="n">
        <x:v>0</x:v>
      </x:c>
      <x:c r="K208" s="181" t="n">
        <x:v>7500</x:v>
      </x:c>
      <x:c r="L208" s="33" t="str">
        <x:v>Sin ventas desde compra</x:v>
      </x:c>
    </x:row>
    <x:row r="209">
      <x:c r="A209" s="31" t="str">
        <x:v>MOTS1169</x:v>
      </x:c>
      <x:c r="B209" s="53" t="str">
        <x:v>CAUCHO MANZANA ECO/AM 110 / SPLENDOR YAHUSUR</x:v>
      </x:c>
      <x:c r="C209" s="38" t="n">
        <x:v>1</x:v>
      </x:c>
      <x:c r="D209" s="181" t="n">
        <x:v>7500</x:v>
      </x:c>
      <x:c r="E209" s="38" t="n">
        <x:v>1</x:v>
      </x:c>
      <x:c r="F209" s="181" t="n">
        <x:v>7500</x:v>
      </x:c>
      <x:c r="G209" s="38" t="n">
        <x:v>0</x:v>
      </x:c>
      <x:c r="H209" s="38" t="n">
        <x:v>0</x:v>
      </x:c>
      <x:c r="I209" s="38"/>
      <x:c r="J209" s="47" t="n">
        <x:v>0</x:v>
      </x:c>
      <x:c r="K209" s="181" t="n">
        <x:v>7500</x:v>
      </x:c>
      <x:c r="L209" s="33" t="str">
        <x:v>Sin ventas desde compra</x:v>
      </x:c>
    </x:row>
    <x:row r="210">
      <x:c r="A210" s="31" t="str">
        <x:v>MOTS1282</x:v>
      </x:c>
      <x:c r="B210" s="53" t="str">
        <x:v>TAPON CCATER XL - SLR / TORNADO KEYMAN</x:v>
      </x:c>
      <x:c r="C210" s="38" t="n">
        <x:v>3</x:v>
      </x:c>
      <x:c r="D210" s="181" t="n">
        <x:v>7500</x:v>
      </x:c>
      <x:c r="E210" s="38" t="n">
        <x:v>3</x:v>
      </x:c>
      <x:c r="F210" s="181" t="n">
        <x:v>7500</x:v>
      </x:c>
      <x:c r="G210" s="38" t="n">
        <x:v>0</x:v>
      </x:c>
      <x:c r="H210" s="38" t="n">
        <x:v>0</x:v>
      </x:c>
      <x:c r="I210" s="38"/>
      <x:c r="J210" s="47" t="n">
        <x:v>0</x:v>
      </x:c>
      <x:c r="K210" s="181" t="n">
        <x:v>7500</x:v>
      </x:c>
      <x:c r="L210" s="33" t="str">
        <x:v>Sin ventas desde compra</x:v>
      </x:c>
    </x:row>
    <x:row r="211">
      <x:c r="A211" s="31" t="str">
        <x:v>CAU - 159</x:v>
      </x:c>
      <x:c r="B211" s="53" t="str">
        <x:v>CAUCHO MANZANA ECO DELUXE MIN DOCTOR MOTOR</x:v>
      </x:c>
      <x:c r="C211" s="38" t="n">
        <x:v>2</x:v>
      </x:c>
      <x:c r="D211" s="181" t="n">
        <x:v>14400</x:v>
      </x:c>
      <x:c r="E211" s="38" t="n">
        <x:v>1</x:v>
      </x:c>
      <x:c r="F211" s="181" t="n">
        <x:v>7200</x:v>
      </x:c>
      <x:c r="G211" s="38" t="n">
        <x:v>1</x:v>
      </x:c>
      <x:c r="H211" s="38" t="n">
        <x:v>0</x:v>
      </x:c>
      <x:c r="I211" s="38" t="n">
        <x:v>589</x:v>
      </x:c>
      <x:c r="J211" s="47" t="n">
        <x:v>0.5</x:v>
      </x:c>
      <x:c r="K211" s="181" t="n">
        <x:v>7200</x:v>
      </x:c>
      <x:c r="L211" s="33" t="str">
        <x:v>Con stock, sin ventas 365d</x:v>
      </x:c>
    </x:row>
    <x:row r="212">
      <x:c r="A212" s="31" t="str">
        <x:v>MAN - 06108</x:v>
      </x:c>
      <x:c r="B212" s="53" t="str">
        <x:v>MANIGUETA DER AT 125 YAMAHA</x:v>
      </x:c>
      <x:c r="C212" s="38" t="n">
        <x:v>3</x:v>
      </x:c>
      <x:c r="D212" s="181" t="n">
        <x:v>10800</x:v>
      </x:c>
      <x:c r="E212" s="38" t="n">
        <x:v>2</x:v>
      </x:c>
      <x:c r="F212" s="181" t="n">
        <x:v>7200</x:v>
      </x:c>
      <x:c r="G212" s="38" t="n">
        <x:v>1</x:v>
      </x:c>
      <x:c r="H212" s="38" t="n">
        <x:v>0</x:v>
      </x:c>
      <x:c r="I212" s="38" t="n">
        <x:v>508</x:v>
      </x:c>
      <x:c r="J212" s="47" t="n">
        <x:v>0.3333333333333333</x:v>
      </x:c>
      <x:c r="K212" s="181" t="n">
        <x:v>7200</x:v>
      </x:c>
      <x:c r="L212" s="33" t="str">
        <x:v>Con stock, sin ventas 365d</x:v>
      </x:c>
    </x:row>
    <x:row r="213">
      <x:c r="A213" s="31" t="str">
        <x:v>2174</x:v>
      </x:c>
      <x:c r="B213" s="53" t="str">
        <x:v>TORNILLO HEX 8 X 10  TORNIFRENOS</x:v>
      </x:c>
      <x:c r="C213" s="38" t="n">
        <x:v>27</x:v>
      </x:c>
      <x:c r="D213" s="181" t="n">
        <x:v>7155</x:v>
      </x:c>
      <x:c r="E213" s="38" t="n">
        <x:v>27</x:v>
      </x:c>
      <x:c r="F213" s="181" t="n">
        <x:v>7155</x:v>
      </x:c>
      <x:c r="G213" s="38" t="n">
        <x:v>1</x:v>
      </x:c>
      <x:c r="H213" s="38" t="n">
        <x:v>0</x:v>
      </x:c>
      <x:c r="I213" s="38" t="n">
        <x:v>400</x:v>
      </x:c>
      <x:c r="J213" s="47" t="n">
        <x:v>0.037037037037037035</x:v>
      </x:c>
      <x:c r="K213" s="181" t="n">
        <x:v>6890</x:v>
      </x:c>
      <x:c r="L213" s="33" t="str">
        <x:v>Con stock, sin ventas 365d</x:v>
      </x:c>
    </x:row>
    <x:row r="214">
      <x:c r="A214" s="31" t="str">
        <x:v>MOTS1301</x:v>
      </x:c>
      <x:c r="B214" s="53" t="str">
        <x:v>EMPAQUE TAPA CLUCTH PULSAR 135 EMPAMERICAS</x:v>
      </x:c>
      <x:c r="C214" s="38" t="n">
        <x:v>5</x:v>
      </x:c>
      <x:c r="D214" s="181" t="n">
        <x:v>11750</x:v>
      </x:c>
      <x:c r="E214" s="38" t="n">
        <x:v>3</x:v>
      </x:c>
      <x:c r="F214" s="181" t="n">
        <x:v>7050</x:v>
      </x:c>
      <x:c r="G214" s="38" t="n">
        <x:v>2</x:v>
      </x:c>
      <x:c r="H214" s="38" t="n">
        <x:v>0</x:v>
      </x:c>
      <x:c r="I214" s="38" t="n">
        <x:v>510</x:v>
      </x:c>
      <x:c r="J214" s="47" t="n">
        <x:v>0.4</x:v>
      </x:c>
      <x:c r="K214" s="181" t="n">
        <x:v>7050</x:v>
      </x:c>
      <x:c r="L214" s="33" t="str">
        <x:v>Con stock, sin ventas 365d</x:v>
      </x:c>
    </x:row>
    <x:row r="215">
      <x:c r="A215" s="31" t="str">
        <x:v>MOTS1072</x:v>
      </x:c>
      <x:c r="B215" s="53" t="str">
        <x:v>RETEN 16-24-04</x:v>
      </x:c>
      <x:c r="C215" s="38" t="n">
        <x:v>8</x:v>
      </x:c>
      <x:c r="D215" s="181" t="n">
        <x:v>8000</x:v>
      </x:c>
      <x:c r="E215" s="38" t="n">
        <x:v>7</x:v>
      </x:c>
      <x:c r="F215" s="181" t="n">
        <x:v>7000</x:v>
      </x:c>
      <x:c r="G215" s="38" t="n">
        <x:v>1</x:v>
      </x:c>
      <x:c r="H215" s="38" t="n">
        <x:v>0</x:v>
      </x:c>
      <x:c r="I215" s="38" t="n">
        <x:v>642</x:v>
      </x:c>
      <x:c r="J215" s="47" t="n">
        <x:v>0.125</x:v>
      </x:c>
      <x:c r="K215" s="181" t="n">
        <x:v>7000</x:v>
      </x:c>
      <x:c r="L215" s="33" t="str">
        <x:v>Con stock, sin ventas 365d</x:v>
      </x:c>
    </x:row>
    <x:row r="216">
      <x:c r="A216" s="31" t="str">
        <x:v>MOTS1171</x:v>
      </x:c>
      <x:c r="B216" s="53" t="str">
        <x:v>CAUCHO MANZANA ECO / 090 / AKT 110 FACTORY</x:v>
      </x:c>
      <x:c r="C216" s="38" t="n">
        <x:v>5</x:v>
      </x:c>
      <x:c r="D216" s="181" t="n">
        <x:v>35000</x:v>
      </x:c>
      <x:c r="E216" s="38" t="n">
        <x:v>1</x:v>
      </x:c>
      <x:c r="F216" s="181" t="n">
        <x:v>7000</x:v>
      </x:c>
      <x:c r="G216" s="38" t="n">
        <x:v>5</x:v>
      </x:c>
      <x:c r="H216" s="38" t="n">
        <x:v>0</x:v>
      </x:c>
      <x:c r="I216" s="38" t="n">
        <x:v>531</x:v>
      </x:c>
      <x:c r="J216" s="47" t="n">
        <x:v>1</x:v>
      </x:c>
      <x:c r="K216" s="181" t="n">
        <x:v>0</x:v>
      </x:c>
      <x:c r="L216" s="33" t="str">
        <x:v>Con stock, sin ventas 365d</x:v>
      </x:c>
    </x:row>
    <x:row r="217">
      <x:c r="A217" s="31" t="str">
        <x:v>203281</x:v>
      </x:c>
      <x:c r="B217" s="53" t="str">
        <x:v>GUAYA ACELERADOR CB 110 YAHAZURA</x:v>
      </x:c>
      <x:c r="C217" s="38" t="n">
        <x:v>4</x:v>
      </x:c>
      <x:c r="D217" s="181" t="n">
        <x:v>28000</x:v>
      </x:c>
      <x:c r="E217" s="38" t="n">
        <x:v>1</x:v>
      </x:c>
      <x:c r="F217" s="181" t="n">
        <x:v>7000</x:v>
      </x:c>
      <x:c r="G217" s="38" t="n">
        <x:v>3</x:v>
      </x:c>
      <x:c r="H217" s="38" t="n">
        <x:v>0</x:v>
      </x:c>
      <x:c r="I217" s="38" t="n">
        <x:v>427</x:v>
      </x:c>
      <x:c r="J217" s="47" t="n">
        <x:v>0.75</x:v>
      </x:c>
      <x:c r="K217" s="181" t="n">
        <x:v>7000</x:v>
      </x:c>
      <x:c r="L217" s="33" t="str">
        <x:v>Con stock, sin ventas 365d</x:v>
      </x:c>
    </x:row>
    <x:row r="218">
      <x:c r="A218" s="31" t="str">
        <x:v>MOTS1181</x:v>
      </x:c>
      <x:c r="B218" s="53" t="str">
        <x:v>MANIGUETA DER BUJS 100 JAPAN</x:v>
      </x:c>
      <x:c r="C218" s="38" t="n">
        <x:v>5</x:v>
      </x:c>
      <x:c r="D218" s="181" t="n">
        <x:v>35000</x:v>
      </x:c>
      <x:c r="E218" s="38" t="n">
        <x:v>1</x:v>
      </x:c>
      <x:c r="F218" s="181" t="n">
        <x:v>7000</x:v>
      </x:c>
      <x:c r="G218" s="38" t="n">
        <x:v>5</x:v>
      </x:c>
      <x:c r="H218" s="38" t="n">
        <x:v>0</x:v>
      </x:c>
      <x:c r="I218" s="38" t="n">
        <x:v>392</x:v>
      </x:c>
      <x:c r="J218" s="47" t="n">
        <x:v>1</x:v>
      </x:c>
      <x:c r="K218" s="181" t="n">
        <x:v>0</x:v>
      </x:c>
      <x:c r="L218" s="33" t="str">
        <x:v>Con stock, sin ventas 365d</x:v>
      </x:c>
    </x:row>
    <x:row r="219">
      <x:c r="A219" s="31" t="str">
        <x:v>215020</x:v>
      </x:c>
      <x:c r="B219" s="53" t="str">
        <x:v>GUAYA ACELERADOR NXR BROS 125 IMBRA</x:v>
      </x:c>
      <x:c r="C219" s="38" t="n">
        <x:v>1</x:v>
      </x:c>
      <x:c r="D219" s="181" t="n">
        <x:v>7000</x:v>
      </x:c>
      <x:c r="E219" s="38" t="n">
        <x:v>1</x:v>
      </x:c>
      <x:c r="F219" s="181" t="n">
        <x:v>7000</x:v>
      </x:c>
      <x:c r="G219" s="38" t="n">
        <x:v>0</x:v>
      </x:c>
      <x:c r="H219" s="38" t="n">
        <x:v>0</x:v>
      </x:c>
      <x:c r="I219" s="38"/>
      <x:c r="J219" s="47" t="n">
        <x:v>0</x:v>
      </x:c>
      <x:c r="K219" s="181" t="n">
        <x:v>7000</x:v>
      </x:c>
      <x:c r="L219" s="33" t="str">
        <x:v>Sin ventas desde compra</x:v>
      </x:c>
    </x:row>
    <x:row r="220">
      <x:c r="A220" s="31" t="str">
        <x:v>MOTS1129</x:v>
      </x:c>
      <x:c r="B220" s="53" t="str">
        <x:v>DIRECCIONAL LED ANTI SHOK</x:v>
      </x:c>
      <x:c r="C220" s="38" t="n">
        <x:v>1</x:v>
      </x:c>
      <x:c r="D220" s="181" t="n">
        <x:v>7000</x:v>
      </x:c>
      <x:c r="E220" s="38" t="n">
        <x:v>1</x:v>
      </x:c>
      <x:c r="F220" s="181" t="n">
        <x:v>7000</x:v>
      </x:c>
      <x:c r="G220" s="38" t="n">
        <x:v>0</x:v>
      </x:c>
      <x:c r="H220" s="38" t="n">
        <x:v>0</x:v>
      </x:c>
      <x:c r="I220" s="38"/>
      <x:c r="J220" s="47" t="n">
        <x:v>0</x:v>
      </x:c>
      <x:c r="K220" s="181" t="n">
        <x:v>7000</x:v>
      </x:c>
      <x:c r="L220" s="33" t="str">
        <x:v>Sin ventas desde compra</x:v>
      </x:c>
    </x:row>
    <x:row r="221">
      <x:c r="A221" s="31" t="str">
        <x:v>MOTS1259</x:v>
      </x:c>
      <x:c r="B221" s="53" t="str">
        <x:v>GUAYA FRENO XL 125 HONDA EVERTTI</x:v>
      </x:c>
      <x:c r="C221" s="38" t="n">
        <x:v>2</x:v>
      </x:c>
      <x:c r="D221" s="181" t="n">
        <x:v>7000</x:v>
      </x:c>
      <x:c r="E221" s="38" t="n">
        <x:v>2</x:v>
      </x:c>
      <x:c r="F221" s="181" t="n">
        <x:v>7000</x:v>
      </x:c>
      <x:c r="G221" s="38" t="n">
        <x:v>0</x:v>
      </x:c>
      <x:c r="H221" s="38" t="n">
        <x:v>0</x:v>
      </x:c>
      <x:c r="I221" s="38"/>
      <x:c r="J221" s="47" t="n">
        <x:v>0</x:v>
      </x:c>
      <x:c r="K221" s="181" t="n">
        <x:v>7000</x:v>
      </x:c>
      <x:c r="L221" s="33" t="str">
        <x:v>Sin ventas desde compra</x:v>
      </x:c>
    </x:row>
    <x:row r="222">
      <x:c r="A222" s="31" t="str">
        <x:v>MOTS1265</x:v>
      </x:c>
      <x:c r="B222" s="53" t="str">
        <x:v>GUAYA VELOCIMETRO DT 125</x:v>
      </x:c>
      <x:c r="C222" s="38" t="n">
        <x:v>1</x:v>
      </x:c>
      <x:c r="D222" s="181" t="n">
        <x:v>7000</x:v>
      </x:c>
      <x:c r="E222" s="38" t="n">
        <x:v>1</x:v>
      </x:c>
      <x:c r="F222" s="181" t="n">
        <x:v>7000</x:v>
      </x:c>
      <x:c r="G222" s="38" t="n">
        <x:v>0</x:v>
      </x:c>
      <x:c r="H222" s="38" t="n">
        <x:v>0</x:v>
      </x:c>
      <x:c r="I222" s="38"/>
      <x:c r="J222" s="47" t="n">
        <x:v>0</x:v>
      </x:c>
      <x:c r="K222" s="181" t="n">
        <x:v>7000</x:v>
      </x:c>
      <x:c r="L222" s="33" t="str">
        <x:v>Sin ventas desde compra</x:v>
      </x:c>
    </x:row>
    <x:row r="223">
      <x:c r="A223" s="31" t="str">
        <x:v>MOTS1274</x:v>
      </x:c>
      <x:c r="B223" s="53" t="str">
        <x:v>GUAYA ACELERADOR AKT 110 ESPECIAL</x:v>
      </x:c>
      <x:c r="C223" s="38" t="n">
        <x:v>1</x:v>
      </x:c>
      <x:c r="D223" s="181" t="n">
        <x:v>7000</x:v>
      </x:c>
      <x:c r="E223" s="38" t="n">
        <x:v>1</x:v>
      </x:c>
      <x:c r="F223" s="181" t="n">
        <x:v>7000</x:v>
      </x:c>
      <x:c r="G223" s="38" t="n">
        <x:v>0</x:v>
      </x:c>
      <x:c r="H223" s="38" t="n">
        <x:v>0</x:v>
      </x:c>
      <x:c r="I223" s="38"/>
      <x:c r="J223" s="47" t="n">
        <x:v>0</x:v>
      </x:c>
      <x:c r="K223" s="181" t="n">
        <x:v>7000</x:v>
      </x:c>
      <x:c r="L223" s="33" t="str">
        <x:v>Sin ventas desde compra</x:v>
      </x:c>
    </x:row>
    <x:row r="224">
      <x:c r="A224" s="31" t="str">
        <x:v>TOR - 0458</x:v>
      </x:c>
      <x:c r="B224" s="53" t="str">
        <x:v>TORNILLO BRISTOL 6 X60 TORNIFRENOS</x:v>
      </x:c>
      <x:c r="C224" s="38" t="n">
        <x:v>20</x:v>
      </x:c>
      <x:c r="D224" s="181" t="n">
        <x:v>7700</x:v>
      </x:c>
      <x:c r="E224" s="38" t="n">
        <x:v>18</x:v>
      </x:c>
      <x:c r="F224" s="181" t="n">
        <x:v>6930</x:v>
      </x:c>
      <x:c r="G224" s="38" t="n">
        <x:v>2</x:v>
      </x:c>
      <x:c r="H224" s="38" t="n">
        <x:v>0</x:v>
      </x:c>
      <x:c r="I224" s="38" t="n">
        <x:v>629</x:v>
      </x:c>
      <x:c r="J224" s="47" t="n">
        <x:v>0.1</x:v>
      </x:c>
      <x:c r="K224" s="181" t="n">
        <x:v>6930</x:v>
      </x:c>
      <x:c r="L224" s="33" t="str">
        <x:v>Con stock, sin ventas 365d</x:v>
      </x:c>
    </x:row>
    <x:row r="225">
      <x:c r="A225" s="31" t="str">
        <x:v>EMP - 040508</x:v>
      </x:c>
      <x:c r="B225" s="53" t="str">
        <x:v>EMPAQUE TAPA CLUCTH FZ 16 SYK</x:v>
      </x:c>
      <x:c r="C225" s="38" t="n">
        <x:v>3</x:v>
      </x:c>
      <x:c r="D225" s="181" t="n">
        <x:v>6753</x:v>
      </x:c>
      <x:c r="E225" s="38" t="n">
        <x:v>3</x:v>
      </x:c>
      <x:c r="F225" s="181" t="n">
        <x:v>6753</x:v>
      </x:c>
      <x:c r="G225" s="38" t="n">
        <x:v>0</x:v>
      </x:c>
      <x:c r="H225" s="38" t="n">
        <x:v>0</x:v>
      </x:c>
      <x:c r="I225" s="38"/>
      <x:c r="J225" s="47" t="n">
        <x:v>0</x:v>
      </x:c>
      <x:c r="K225" s="181" t="n">
        <x:v>6753</x:v>
      </x:c>
      <x:c r="L225" s="33" t="str">
        <x:v>Sin ventas desde compra</x:v>
      </x:c>
    </x:row>
    <x:row r="226">
      <x:c r="A226" s="31" t="str">
        <x:v>215091</x:v>
      </x:c>
      <x:c r="B226" s="53" t="str">
        <x:v>GUAYA ACELERADOR DR 200 IMBRA</x:v>
      </x:c>
      <x:c r="C226" s="38" t="n">
        <x:v>1</x:v>
      </x:c>
      <x:c r="D226" s="181" t="n">
        <x:v>6500</x:v>
      </x:c>
      <x:c r="E226" s="38" t="n">
        <x:v>1</x:v>
      </x:c>
      <x:c r="F226" s="181" t="n">
        <x:v>6500</x:v>
      </x:c>
      <x:c r="G226" s="38" t="n">
        <x:v>0</x:v>
      </x:c>
      <x:c r="H226" s="38" t="n">
        <x:v>0</x:v>
      </x:c>
      <x:c r="I226" s="38"/>
      <x:c r="J226" s="47" t="n">
        <x:v>0</x:v>
      </x:c>
      <x:c r="K226" s="181" t="n">
        <x:v>6500</x:v>
      </x:c>
      <x:c r="L226" s="33" t="str">
        <x:v>Sin ventas desde compra</x:v>
      </x:c>
    </x:row>
    <x:row r="227">
      <x:c r="A227" s="31" t="str">
        <x:v>MOTS1260</x:v>
      </x:c>
      <x:c r="B227" s="53" t="str">
        <x:v>GUAYA FRENO NXR 125 BROS SYR</x:v>
      </x:c>
      <x:c r="C227" s="38" t="n">
        <x:v>1</x:v>
      </x:c>
      <x:c r="D227" s="181" t="n">
        <x:v>6500</x:v>
      </x:c>
      <x:c r="E227" s="38" t="n">
        <x:v>1</x:v>
      </x:c>
      <x:c r="F227" s="181" t="n">
        <x:v>6500</x:v>
      </x:c>
      <x:c r="G227" s="38" t="n">
        <x:v>0</x:v>
      </x:c>
      <x:c r="H227" s="38" t="n">
        <x:v>0</x:v>
      </x:c>
      <x:c r="I227" s="38"/>
      <x:c r="J227" s="47" t="n">
        <x:v>0</x:v>
      </x:c>
      <x:c r="K227" s="181" t="n">
        <x:v>6500</x:v>
      </x:c>
      <x:c r="L227" s="33" t="str">
        <x:v>Sin ventas desde compra</x:v>
      </x:c>
    </x:row>
    <x:row r="228">
      <x:c r="A228" s="31" t="str">
        <x:v>MOTS1191</x:v>
      </x:c>
      <x:c r="B228" s="53" t="str">
        <x:v>MANIQUETA IZQ RX 100 / DT 100 EVOL</x:v>
      </x:c>
      <x:c r="C228" s="38" t="n">
        <x:v>2</x:v>
      </x:c>
      <x:c r="D228" s="181" t="n">
        <x:v>12000</x:v>
      </x:c>
      <x:c r="E228" s="38" t="n">
        <x:v>1</x:v>
      </x:c>
      <x:c r="F228" s="181" t="n">
        <x:v>6000</x:v>
      </x:c>
      <x:c r="G228" s="38" t="n">
        <x:v>1</x:v>
      </x:c>
      <x:c r="H228" s="38" t="n">
        <x:v>0</x:v>
      </x:c>
      <x:c r="I228" s="38" t="n">
        <x:v>753</x:v>
      </x:c>
      <x:c r="J228" s="47" t="n">
        <x:v>0.5</x:v>
      </x:c>
      <x:c r="K228" s="181" t="n">
        <x:v>6000</x:v>
      </x:c>
      <x:c r="L228" s="33" t="str">
        <x:v>Con stock, sin ventas 365d</x:v>
      </x:c>
    </x:row>
    <x:row r="229">
      <x:c r="A229" s="31" t="str">
        <x:v>MOTS1288</x:v>
      </x:c>
      <x:c r="B229" s="53" t="str">
        <x:v>REPOSA PIE SUELTO UND</x:v>
      </x:c>
      <x:c r="C229" s="38" t="n">
        <x:v>2</x:v>
      </x:c>
      <x:c r="D229" s="181" t="n">
        <x:v>12000</x:v>
      </x:c>
      <x:c r="E229" s="38" t="n">
        <x:v>1</x:v>
      </x:c>
      <x:c r="F229" s="181" t="n">
        <x:v>6000</x:v>
      </x:c>
      <x:c r="G229" s="38" t="n">
        <x:v>1</x:v>
      </x:c>
      <x:c r="H229" s="38" t="n">
        <x:v>0</x:v>
      </x:c>
      <x:c r="I229" s="38" t="n">
        <x:v>656</x:v>
      </x:c>
      <x:c r="J229" s="47" t="n">
        <x:v>0.5</x:v>
      </x:c>
      <x:c r="K229" s="181" t="n">
        <x:v>6000</x:v>
      </x:c>
      <x:c r="L229" s="33" t="str">
        <x:v>Con stock, sin ventas 365d</x:v>
      </x:c>
    </x:row>
    <x:row r="230">
      <x:c r="A230" s="31" t="str">
        <x:v>17158</x:v>
      </x:c>
      <x:c r="B230" s="53" t="str">
        <x:v>GUAYA ACELERADOR CB 110 MOTOTEC</x:v>
      </x:c>
      <x:c r="C230" s="38" t="n">
        <x:v>2</x:v>
      </x:c>
      <x:c r="D230" s="181" t="n">
        <x:v>12000</x:v>
      </x:c>
      <x:c r="E230" s="38" t="n">
        <x:v>1</x:v>
      </x:c>
      <x:c r="F230" s="181" t="n">
        <x:v>6000</x:v>
      </x:c>
      <x:c r="G230" s="38" t="n">
        <x:v>1</x:v>
      </x:c>
      <x:c r="H230" s="38" t="n">
        <x:v>0</x:v>
      </x:c>
      <x:c r="I230" s="38" t="n">
        <x:v>653</x:v>
      </x:c>
      <x:c r="J230" s="47" t="n">
        <x:v>0.5</x:v>
      </x:c>
      <x:c r="K230" s="181" t="n">
        <x:v>6000</x:v>
      </x:c>
      <x:c r="L230" s="33" t="str">
        <x:v>Con stock, sin ventas 365d</x:v>
      </x:c>
    </x:row>
    <x:row r="231">
      <x:c r="A231" s="31" t="str">
        <x:v>MOTS1078</x:v>
      </x:c>
      <x:c r="B231" s="53" t="str">
        <x:v>RETEN 10-21-05</x:v>
      </x:c>
      <x:c r="C231" s="38" t="n">
        <x:v>6</x:v>
      </x:c>
      <x:c r="D231" s="181" t="n">
        <x:v>9000</x:v>
      </x:c>
      <x:c r="E231" s="38" t="n">
        <x:v>4</x:v>
      </x:c>
      <x:c r="F231" s="181" t="n">
        <x:v>6000</x:v>
      </x:c>
      <x:c r="G231" s="38" t="n">
        <x:v>2</x:v>
      </x:c>
      <x:c r="H231" s="38" t="n">
        <x:v>0</x:v>
      </x:c>
      <x:c r="I231" s="38" t="n">
        <x:v>576</x:v>
      </x:c>
      <x:c r="J231" s="47" t="n">
        <x:v>0.3333333333333333</x:v>
      </x:c>
      <x:c r="K231" s="181" t="n">
        <x:v>6000</x:v>
      </x:c>
      <x:c r="L231" s="33" t="str">
        <x:v>Con stock, sin ventas 365d</x:v>
      </x:c>
    </x:row>
    <x:row r="232">
      <x:c r="A232" s="31" t="str">
        <x:v>MOTS1085</x:v>
      </x:c>
      <x:c r="B232" s="53" t="str">
        <x:v>RETEN 27-37-70-5</x:v>
      </x:c>
      <x:c r="C232" s="38" t="n">
        <x:v>11</x:v>
      </x:c>
      <x:c r="D232" s="181" t="n">
        <x:v>33000</x:v>
      </x:c>
      <x:c r="E232" s="38" t="n">
        <x:v>2</x:v>
      </x:c>
      <x:c r="F232" s="181" t="n">
        <x:v>6000</x:v>
      </x:c>
      <x:c r="G232" s="38" t="n">
        <x:v>11</x:v>
      </x:c>
      <x:c r="H232" s="38" t="n">
        <x:v>0</x:v>
      </x:c>
      <x:c r="I232" s="38" t="n">
        <x:v>570</x:v>
      </x:c>
      <x:c r="J232" s="47" t="n">
        <x:v>1</x:v>
      </x:c>
      <x:c r="K232" s="181" t="n">
        <x:v>0</x:v>
      </x:c>
      <x:c r="L232" s="33" t="str">
        <x:v>Con stock, sin ventas 365d</x:v>
      </x:c>
    </x:row>
    <x:row r="233">
      <x:c r="A233" s="31" t="str">
        <x:v>MOTS1281</x:v>
      </x:c>
      <x:c r="B233" s="53" t="str">
        <x:v>SELLOS VALVULAS PULSAR 150 CROWN</x:v>
      </x:c>
      <x:c r="C233" s="38" t="n">
        <x:v>10</x:v>
      </x:c>
      <x:c r="D233" s="181" t="n">
        <x:v>10000</x:v>
      </x:c>
      <x:c r="E233" s="38" t="n">
        <x:v>6</x:v>
      </x:c>
      <x:c r="F233" s="181" t="n">
        <x:v>6000</x:v>
      </x:c>
      <x:c r="G233" s="38" t="n">
        <x:v>4</x:v>
      </x:c>
      <x:c r="H233" s="38" t="n">
        <x:v>0</x:v>
      </x:c>
      <x:c r="I233" s="38" t="n">
        <x:v>532</x:v>
      </x:c>
      <x:c r="J233" s="47" t="n">
        <x:v>0.4</x:v>
      </x:c>
      <x:c r="K233" s="181" t="n">
        <x:v>6000</x:v>
      </x:c>
      <x:c r="L233" s="33" t="str">
        <x:v>Con stock, sin ventas 365d</x:v>
      </x:c>
    </x:row>
    <x:row r="234">
      <x:c r="A234" s="31" t="str">
        <x:v>MOTS1170</x:v>
      </x:c>
      <x:c r="B234" s="53" t="str">
        <x:v>CAUCHO MANZANA CBF 125 DREAM NEO FACTORY</x:v>
      </x:c>
      <x:c r="C234" s="38" t="n">
        <x:v>5</x:v>
      </x:c>
      <x:c r="D234" s="181" t="n">
        <x:v>30000</x:v>
      </x:c>
      <x:c r="E234" s="38" t="n">
        <x:v>1</x:v>
      </x:c>
      <x:c r="F234" s="181" t="n">
        <x:v>6000</x:v>
      </x:c>
      <x:c r="G234" s="38" t="n">
        <x:v>4</x:v>
      </x:c>
      <x:c r="H234" s="38" t="n">
        <x:v>0</x:v>
      </x:c>
      <x:c r="I234" s="38" t="n">
        <x:v>481</x:v>
      </x:c>
      <x:c r="J234" s="47" t="n">
        <x:v>0.8</x:v>
      </x:c>
      <x:c r="K234" s="181" t="n">
        <x:v>6000</x:v>
      </x:c>
      <x:c r="L234" s="33" t="str">
        <x:v>Con stock, sin ventas 365d</x:v>
      </x:c>
    </x:row>
    <x:row r="235">
      <x:c r="A235" s="31" t="str">
        <x:v>MOTS1156</x:v>
      </x:c>
      <x:c r="B235" s="53" t="str">
        <x:v>RESORTE PATA LATERAL VARIOS</x:v>
      </x:c>
      <x:c r="C235" s="38" t="n">
        <x:v>9</x:v>
      </x:c>
      <x:c r="D235" s="181" t="n">
        <x:v>18000</x:v>
      </x:c>
      <x:c r="E235" s="38" t="n">
        <x:v>3</x:v>
      </x:c>
      <x:c r="F235" s="181" t="n">
        <x:v>6000</x:v>
      </x:c>
      <x:c r="G235" s="38" t="n">
        <x:v>6</x:v>
      </x:c>
      <x:c r="H235" s="38" t="n">
        <x:v>0</x:v>
      </x:c>
      <x:c r="I235" s="38" t="n">
        <x:v>370</x:v>
      </x:c>
      <x:c r="J235" s="47" t="n">
        <x:v>0.6666666666666666</x:v>
      </x:c>
      <x:c r="K235" s="181" t="n">
        <x:v>6000</x:v>
      </x:c>
      <x:c r="L235" s="33" t="str">
        <x:v>Con stock, sin ventas 365d</x:v>
      </x:c>
    </x:row>
    <x:row r="236">
      <x:c r="A236" s="31" t="str">
        <x:v>MOTS1025</x:v>
      </x:c>
      <x:c r="B236" s="53" t="str">
        <x:v>FILTRO ACEITE HONDA TORNADO 250 FACTORY</x:v>
      </x:c>
      <x:c r="C236" s="38" t="n">
        <x:v>1</x:v>
      </x:c>
      <x:c r="D236" s="181" t="n">
        <x:v>6000</x:v>
      </x:c>
      <x:c r="E236" s="38" t="n">
        <x:v>1</x:v>
      </x:c>
      <x:c r="F236" s="181" t="n">
        <x:v>6000</x:v>
      </x:c>
      <x:c r="G236" s="38" t="n">
        <x:v>0</x:v>
      </x:c>
      <x:c r="H236" s="38" t="n">
        <x:v>0</x:v>
      </x:c>
      <x:c r="I236" s="38"/>
      <x:c r="J236" s="47" t="n">
        <x:v>0</x:v>
      </x:c>
      <x:c r="K236" s="181" t="n">
        <x:v>6000</x:v>
      </x:c>
      <x:c r="L236" s="33" t="str">
        <x:v>Sin ventas desde compra</x:v>
      </x:c>
    </x:row>
    <x:row r="237">
      <x:c r="A237" s="31" t="str">
        <x:v>MOTS1102</x:v>
      </x:c>
      <x:c r="B237" s="53" t="str">
        <x:v>RETEN 12-18-5</x:v>
      </x:c>
      <x:c r="C237" s="38" t="n">
        <x:v>3</x:v>
      </x:c>
      <x:c r="D237" s="181" t="n">
        <x:v>6000</x:v>
      </x:c>
      <x:c r="E237" s="38" t="n">
        <x:v>3</x:v>
      </x:c>
      <x:c r="F237" s="181" t="n">
        <x:v>6000</x:v>
      </x:c>
      <x:c r="G237" s="38" t="n">
        <x:v>0</x:v>
      </x:c>
      <x:c r="H237" s="38" t="n">
        <x:v>0</x:v>
      </x:c>
      <x:c r="I237" s="38"/>
      <x:c r="J237" s="47" t="n">
        <x:v>0</x:v>
      </x:c>
      <x:c r="K237" s="181" t="n">
        <x:v>6000</x:v>
      </x:c>
      <x:c r="L237" s="33" t="str">
        <x:v>Sin ventas desde compra</x:v>
      </x:c>
    </x:row>
    <x:row r="238">
      <x:c r="A238" s="31" t="str">
        <x:v>MOTS1104</x:v>
      </x:c>
      <x:c r="B238" s="53" t="str">
        <x:v>SWICHE CUADRADO BIMBY</x:v>
      </x:c>
      <x:c r="C238" s="38" t="n">
        <x:v>4</x:v>
      </x:c>
      <x:c r="D238" s="181" t="n">
        <x:v>6000</x:v>
      </x:c>
      <x:c r="E238" s="38" t="n">
        <x:v>4</x:v>
      </x:c>
      <x:c r="F238" s="181" t="n">
        <x:v>6000</x:v>
      </x:c>
      <x:c r="G238" s="38" t="n">
        <x:v>0</x:v>
      </x:c>
      <x:c r="H238" s="38" t="n">
        <x:v>0</x:v>
      </x:c>
      <x:c r="I238" s="38"/>
      <x:c r="J238" s="47" t="n">
        <x:v>0</x:v>
      </x:c>
      <x:c r="K238" s="181" t="n">
        <x:v>6000</x:v>
      </x:c>
      <x:c r="L238" s="33" t="str">
        <x:v>Sin ventas desde compra</x:v>
      </x:c>
    </x:row>
    <x:row r="239">
      <x:c r="A239" s="31" t="str">
        <x:v>MOTS1151</x:v>
      </x:c>
      <x:c r="B239" s="53" t="str">
        <x:v>DIRECCIONAL ECO HERO HONDA UND</x:v>
      </x:c>
      <x:c r="C239" s="38" t="n">
        <x:v>1</x:v>
      </x:c>
      <x:c r="D239" s="181" t="n">
        <x:v>6000</x:v>
      </x:c>
      <x:c r="E239" s="38" t="n">
        <x:v>1</x:v>
      </x:c>
      <x:c r="F239" s="181" t="n">
        <x:v>6000</x:v>
      </x:c>
      <x:c r="G239" s="38" t="n">
        <x:v>0</x:v>
      </x:c>
      <x:c r="H239" s="38" t="n">
        <x:v>0</x:v>
      </x:c>
      <x:c r="I239" s="38"/>
      <x:c r="J239" s="47" t="n">
        <x:v>0</x:v>
      </x:c>
      <x:c r="K239" s="181" t="n">
        <x:v>6000</x:v>
      </x:c>
      <x:c r="L239" s="33" t="str">
        <x:v>Sin ventas desde compra</x:v>
      </x:c>
    </x:row>
    <x:row r="240">
      <x:c r="A240" s="31" t="str">
        <x:v>MOTS1186</x:v>
      </x:c>
      <x:c r="B240" s="53" t="str">
        <x:v>SACA BIKES VARIOS</x:v>
      </x:c>
      <x:c r="C240" s="38" t="n">
        <x:v>4</x:v>
      </x:c>
      <x:c r="D240" s="181" t="n">
        <x:v>6000</x:v>
      </x:c>
      <x:c r="E240" s="38" t="n">
        <x:v>4</x:v>
      </x:c>
      <x:c r="F240" s="181" t="n">
        <x:v>6000</x:v>
      </x:c>
      <x:c r="G240" s="38" t="n">
        <x:v>0</x:v>
      </x:c>
      <x:c r="H240" s="38" t="n">
        <x:v>0</x:v>
      </x:c>
      <x:c r="I240" s="38"/>
      <x:c r="J240" s="47" t="n">
        <x:v>0</x:v>
      </x:c>
      <x:c r="K240" s="181" t="n">
        <x:v>6000</x:v>
      </x:c>
      <x:c r="L240" s="33" t="str">
        <x:v>Sin ventas desde compra</x:v>
      </x:c>
    </x:row>
    <x:row r="241">
      <x:c r="A241" s="31" t="str">
        <x:v>MOTS1267</x:v>
      </x:c>
      <x:c r="B241" s="53" t="str">
        <x:v>GUAYA ACELERADOR CBF 125 GUALITY</x:v>
      </x:c>
      <x:c r="C241" s="38" t="n">
        <x:v>1</x:v>
      </x:c>
      <x:c r="D241" s="181" t="n">
        <x:v>6000</x:v>
      </x:c>
      <x:c r="E241" s="38" t="n">
        <x:v>1</x:v>
      </x:c>
      <x:c r="F241" s="181" t="n">
        <x:v>6000</x:v>
      </x:c>
      <x:c r="G241" s="38" t="n">
        <x:v>0</x:v>
      </x:c>
      <x:c r="H241" s="38" t="n">
        <x:v>0</x:v>
      </x:c>
      <x:c r="I241" s="38"/>
      <x:c r="J241" s="47" t="n">
        <x:v>0</x:v>
      </x:c>
      <x:c r="K241" s="181" t="n">
        <x:v>6000</x:v>
      </x:c>
      <x:c r="L241" s="33" t="str">
        <x:v>Sin ventas desde compra</x:v>
      </x:c>
    </x:row>
    <x:row r="242">
      <x:c r="A242" s="31" t="str">
        <x:v>MOTS1277</x:v>
      </x:c>
      <x:c r="B242" s="53" t="str">
        <x:v>GUAYA CLUCTH CB 110 SYK</x:v>
      </x:c>
      <x:c r="C242" s="38" t="n">
        <x:v>2</x:v>
      </x:c>
      <x:c r="D242" s="181" t="n">
        <x:v>6000</x:v>
      </x:c>
      <x:c r="E242" s="38" t="n">
        <x:v>2</x:v>
      </x:c>
      <x:c r="F242" s="181" t="n">
        <x:v>6000</x:v>
      </x:c>
      <x:c r="G242" s="38" t="n">
        <x:v>0</x:v>
      </x:c>
      <x:c r="H242" s="38" t="n">
        <x:v>0</x:v>
      </x:c>
      <x:c r="I242" s="38"/>
      <x:c r="J242" s="47" t="n">
        <x:v>0</x:v>
      </x:c>
      <x:c r="K242" s="181" t="n">
        <x:v>6000</x:v>
      </x:c>
      <x:c r="L242" s="33" t="str">
        <x:v>Sin ventas desde compra</x:v>
      </x:c>
    </x:row>
    <x:row r="243">
      <x:c r="A243" s="31" t="str">
        <x:v>4216</x:v>
      </x:c>
      <x:c r="B243" s="53" t="str">
        <x:v>TORNILLO FLANGE 6X 80 LLAVE 8 TORNIFRENOS</x:v>
      </x:c>
      <x:c r="C243" s="38" t="n">
        <x:v>10</x:v>
      </x:c>
      <x:c r="D243" s="181" t="n">
        <x:v>8290</x:v>
      </x:c>
      <x:c r="E243" s="38" t="n">
        <x:v>7</x:v>
      </x:c>
      <x:c r="F243" s="181" t="n">
        <x:v>5803</x:v>
      </x:c>
      <x:c r="G243" s="38" t="n">
        <x:v>3</x:v>
      </x:c>
      <x:c r="H243" s="38" t="n">
        <x:v>0</x:v>
      </x:c>
      <x:c r="I243" s="38" t="n">
        <x:v>531</x:v>
      </x:c>
      <x:c r="J243" s="47" t="n">
        <x:v>0.3</x:v>
      </x:c>
      <x:c r="K243" s="181" t="n">
        <x:v>5803</x:v>
      </x:c>
      <x:c r="L243" s="33" t="str">
        <x:v>Con stock, sin ventas 365d</x:v>
      </x:c>
    </x:row>
    <x:row r="244">
      <x:c r="A244" s="31" t="str">
        <x:v>2120</x:v>
      </x:c>
      <x:c r="B244" s="53" t="str">
        <x:v>BUJIA D8EA NGK</x:v>
      </x:c>
      <x:c r="C244" s="38" t="n">
        <x:v>16</x:v>
      </x:c>
      <x:c r="D244" s="181" t="n">
        <x:v>92800</x:v>
      </x:c>
      <x:c r="E244" s="38" t="n">
        <x:v>1</x:v>
      </x:c>
      <x:c r="F244" s="181" t="n">
        <x:v>5800</x:v>
      </x:c>
      <x:c r="G244" s="38" t="n">
        <x:v>16</x:v>
      </x:c>
      <x:c r="H244" s="38" t="n">
        <x:v>0</x:v>
      </x:c>
      <x:c r="I244" s="38" t="n">
        <x:v>393</x:v>
      </x:c>
      <x:c r="J244" s="47" t="n">
        <x:v>1</x:v>
      </x:c>
      <x:c r="K244" s="181" t="n">
        <x:v>0</x:v>
      </x:c>
      <x:c r="L244" s="33" t="str">
        <x:v>Con stock, sin ventas 365d</x:v>
      </x:c>
    </x:row>
    <x:row r="245">
      <x:c r="A245" s="31" t="str">
        <x:v>TOR - 0409</x:v>
      </x:c>
      <x:c r="B245" s="53" t="str">
        <x:v>TORNILLO BRISTOL 6 X55 TORNIFRENOS</x:v>
      </x:c>
      <x:c r="C245" s="38" t="n">
        <x:v>20</x:v>
      </x:c>
      <x:c r="D245" s="181" t="n">
        <x:v>7160</x:v>
      </x:c>
      <x:c r="E245" s="38" t="n">
        <x:v>16</x:v>
      </x:c>
      <x:c r="F245" s="181" t="n">
        <x:v>5728</x:v>
      </x:c>
      <x:c r="G245" s="38" t="n">
        <x:v>4</x:v>
      </x:c>
      <x:c r="H245" s="38" t="n">
        <x:v>0</x:v>
      </x:c>
      <x:c r="I245" s="38" t="n">
        <x:v>713</x:v>
      </x:c>
      <x:c r="J245" s="47" t="n">
        <x:v>0.2</x:v>
      </x:c>
      <x:c r="K245" s="181" t="n">
        <x:v>5728</x:v>
      </x:c>
      <x:c r="L245" s="33" t="str">
        <x:v>Con stock, sin ventas 365d</x:v>
      </x:c>
    </x:row>
    <x:row r="246">
      <x:c r="A246" s="31" t="str">
        <x:v>PIN - 117</x:v>
      </x:c>
      <x:c r="B246" s="53" t="str">
        <x:v>PIN RETENEDOR TELESCOPIO EPLENDOR / ECO</x:v>
      </x:c>
      <x:c r="C246" s="38" t="n">
        <x:v>8</x:v>
      </x:c>
      <x:c r="D246" s="181" t="n">
        <x:v>11200</x:v>
      </x:c>
      <x:c r="E246" s="38" t="n">
        <x:v>4</x:v>
      </x:c>
      <x:c r="F246" s="181" t="n">
        <x:v>5600</x:v>
      </x:c>
      <x:c r="G246" s="38" t="n">
        <x:v>4</x:v>
      </x:c>
      <x:c r="H246" s="38" t="n">
        <x:v>0</x:v>
      </x:c>
      <x:c r="I246" s="38" t="n">
        <x:v>427</x:v>
      </x:c>
      <x:c r="J246" s="47" t="n">
        <x:v>0.5</x:v>
      </x:c>
      <x:c r="K246" s="181" t="n">
        <x:v>5600</x:v>
      </x:c>
      <x:c r="L246" s="33" t="str">
        <x:v>Con stock, sin ventas 365d</x:v>
      </x:c>
    </x:row>
    <x:row r="247">
      <x:c r="A247" s="31" t="str">
        <x:v>1501002</x:v>
      </x:c>
      <x:c r="B247" s="53" t="str">
        <x:v>MANIGUETA IZQ DREAM NEO CB KANNL</x:v>
      </x:c>
      <x:c r="C247" s="38" t="n">
        <x:v>4</x:v>
      </x:c>
      <x:c r="D247" s="181" t="n">
        <x:v>22000</x:v>
      </x:c>
      <x:c r="E247" s="38" t="n">
        <x:v>1</x:v>
      </x:c>
      <x:c r="F247" s="181" t="n">
        <x:v>5500</x:v>
      </x:c>
      <x:c r="G247" s="38" t="n">
        <x:v>3</x:v>
      </x:c>
      <x:c r="H247" s="38" t="n">
        <x:v>0</x:v>
      </x:c>
      <x:c r="I247" s="38" t="n">
        <x:v>725</x:v>
      </x:c>
      <x:c r="J247" s="47" t="n">
        <x:v>0.75</x:v>
      </x:c>
      <x:c r="K247" s="181" t="n">
        <x:v>5500</x:v>
      </x:c>
      <x:c r="L247" s="33" t="str">
        <x:v>Con stock, sin ventas 365d</x:v>
      </x:c>
    </x:row>
    <x:row r="248">
      <x:c r="A248" s="31" t="str">
        <x:v>MOTS1149</x:v>
      </x:c>
      <x:c r="B248" s="53" t="str">
        <x:v>DIRECCIONAL XT2 250 TRANSP UNI</x:v>
      </x:c>
      <x:c r="C248" s="38" t="n">
        <x:v>1</x:v>
      </x:c>
      <x:c r="D248" s="181" t="n">
        <x:v>5500</x:v>
      </x:c>
      <x:c r="E248" s="38" t="n">
        <x:v>1</x:v>
      </x:c>
      <x:c r="F248" s="181" t="n">
        <x:v>5500</x:v>
      </x:c>
      <x:c r="G248" s="38" t="n">
        <x:v>0</x:v>
      </x:c>
      <x:c r="H248" s="38" t="n">
        <x:v>0</x:v>
      </x:c>
      <x:c r="I248" s="38"/>
      <x:c r="J248" s="47" t="n">
        <x:v>0</x:v>
      </x:c>
      <x:c r="K248" s="181" t="n">
        <x:v>5500</x:v>
      </x:c>
      <x:c r="L248" s="33" t="str">
        <x:v>Sin ventas desde compra</x:v>
      </x:c>
    </x:row>
    <x:row r="249">
      <x:c r="A249" s="31" t="str">
        <x:v>4211</x:v>
      </x:c>
      <x:c r="B249" s="53" t="str">
        <x:v>TORNILLO FLANGE 6X 55 LLAVE 8 TORNIFRENOS</x:v>
      </x:c>
      <x:c r="C249" s="38" t="n">
        <x:v>9</x:v>
      </x:c>
      <x:c r="D249" s="181" t="n">
        <x:v>5490</x:v>
      </x:c>
      <x:c r="E249" s="38" t="n">
        <x:v>9</x:v>
      </x:c>
      <x:c r="F249" s="181" t="n">
        <x:v>5490</x:v>
      </x:c>
      <x:c r="G249" s="38" t="n">
        <x:v>0</x:v>
      </x:c>
      <x:c r="H249" s="38" t="n">
        <x:v>0</x:v>
      </x:c>
      <x:c r="I249" s="38"/>
      <x:c r="J249" s="47" t="n">
        <x:v>0</x:v>
      </x:c>
      <x:c r="K249" s="181" t="n">
        <x:v>5490</x:v>
      </x:c>
      <x:c r="L249" s="33" t="str">
        <x:v>Sin ventas desde compra</x:v>
      </x:c>
    </x:row>
    <x:row r="250">
      <x:c r="A250" s="31" t="str">
        <x:v>OR-007</x:v>
      </x:c>
      <x:c r="B250" s="53" t="str">
        <x:v>ORING 5/32</x:v>
      </x:c>
      <x:c r="C250" s="38" t="n">
        <x:v>17</x:v>
      </x:c>
      <x:c r="D250" s="181" t="n">
        <x:v>5695</x:v>
      </x:c>
      <x:c r="E250" s="38" t="n">
        <x:v>16</x:v>
      </x:c>
      <x:c r="F250" s="181" t="n">
        <x:v>5360</x:v>
      </x:c>
      <x:c r="G250" s="38" t="n">
        <x:v>1</x:v>
      </x:c>
      <x:c r="H250" s="38" t="n">
        <x:v>0</x:v>
      </x:c>
      <x:c r="I250" s="38" t="n">
        <x:v>611</x:v>
      </x:c>
      <x:c r="J250" s="47" t="n">
        <x:v>0.058823529411764705</x:v>
      </x:c>
      <x:c r="K250" s="181" t="n">
        <x:v>5360</x:v>
      </x:c>
      <x:c r="L250" s="33" t="str">
        <x:v>Con stock, sin ventas 365d</x:v>
      </x:c>
    </x:row>
    <x:row r="251">
      <x:c r="A251" s="31" t="str">
        <x:v>OR-009</x:v>
      </x:c>
      <x:c r="B251" s="53" t="str">
        <x:v>ORING 7/32</x:v>
      </x:c>
      <x:c r="C251" s="38" t="n">
        <x:v>16</x:v>
      </x:c>
      <x:c r="D251" s="181" t="n">
        <x:v>5360</x:v>
      </x:c>
      <x:c r="E251" s="38" t="n">
        <x:v>16</x:v>
      </x:c>
      <x:c r="F251" s="181" t="n">
        <x:v>5360</x:v>
      </x:c>
      <x:c r="G251" s="38" t="n">
        <x:v>0</x:v>
      </x:c>
      <x:c r="H251" s="38" t="n">
        <x:v>0</x:v>
      </x:c>
      <x:c r="I251" s="38"/>
      <x:c r="J251" s="47" t="n">
        <x:v>0</x:v>
      </x:c>
      <x:c r="K251" s="181" t="n">
        <x:v>5360</x:v>
      </x:c>
      <x:c r="L251" s="33" t="str">
        <x:v>Sin ventas desde compra</x:v>
      </x:c>
    </x:row>
    <x:row r="252">
      <x:c r="A252" s="31" t="str">
        <x:v>RET-154</x:v>
      </x:c>
      <x:c r="B252" s="53" t="str">
        <x:v>37-49-8/10.5 BARAI</x:v>
      </x:c>
      <x:c r="C252" s="38" t="n">
        <x:v>8</x:v>
      </x:c>
      <x:c r="D252" s="181" t="n">
        <x:v>20800</x:v>
      </x:c>
      <x:c r="E252" s="38" t="n">
        <x:v>2</x:v>
      </x:c>
      <x:c r="F252" s="181" t="n">
        <x:v>5200</x:v>
      </x:c>
      <x:c r="G252" s="38" t="n">
        <x:v>8</x:v>
      </x:c>
      <x:c r="H252" s="38" t="n">
        <x:v>0</x:v>
      </x:c>
      <x:c r="I252" s="38" t="n">
        <x:v>373</x:v>
      </x:c>
      <x:c r="J252" s="47" t="n">
        <x:v>1</x:v>
      </x:c>
      <x:c r="K252" s="181" t="n">
        <x:v>0</x:v>
      </x:c>
      <x:c r="L252" s="33" t="str">
        <x:v>Con stock, sin ventas 365d</x:v>
      </x:c>
    </x:row>
    <x:row r="253">
      <x:c r="A253" s="31" t="str">
        <x:v>K2016</x:v>
      </x:c>
      <x:c r="B253" s="53" t="str">
        <x:v>EMPAQUE TAPA VOLANTE HONDA CB 110 EMP AMERICAS</x:v>
      </x:c>
      <x:c r="C253" s="38" t="n">
        <x:v>6</x:v>
      </x:c>
      <x:c r="D253" s="181" t="n">
        <x:v>10200</x:v>
      </x:c>
      <x:c r="E253" s="38" t="n">
        <x:v>3</x:v>
      </x:c>
      <x:c r="F253" s="181" t="n">
        <x:v>5100</x:v>
      </x:c>
      <x:c r="G253" s="38" t="n">
        <x:v>3</x:v>
      </x:c>
      <x:c r="H253" s="38" t="n">
        <x:v>0</x:v>
      </x:c>
      <x:c r="I253" s="38" t="n">
        <x:v>532</x:v>
      </x:c>
      <x:c r="J253" s="47" t="n">
        <x:v>0.5</x:v>
      </x:c>
      <x:c r="K253" s="181" t="n">
        <x:v>5100</x:v>
      </x:c>
      <x:c r="L253" s="33" t="str">
        <x:v>Con stock, sin ventas 365d</x:v>
      </x:c>
    </x:row>
    <x:row r="254">
      <x:c r="A254" s="31" t="str">
        <x:v>MOTS1069</x:v>
      </x:c>
      <x:c r="B254" s="53" t="str">
        <x:v>RETEN 30-42-10-5</x:v>
      </x:c>
      <x:c r="C254" s="38" t="n">
        <x:v>1</x:v>
      </x:c>
      <x:c r="D254" s="181" t="n">
        <x:v>2500</x:v>
      </x:c>
      <x:c r="E254" s="38" t="n">
        <x:v>2</x:v>
      </x:c>
      <x:c r="F254" s="181" t="n">
        <x:v>5000</x:v>
      </x:c>
      <x:c r="G254" s="38" t="n">
        <x:v>1</x:v>
      </x:c>
      <x:c r="H254" s="38" t="n">
        <x:v>0</x:v>
      </x:c>
      <x:c r="I254" s="38" t="n">
        <x:v>694</x:v>
      </x:c>
      <x:c r="J254" s="47" t="n">
        <x:v>1</x:v>
      </x:c>
      <x:c r="K254" s="181" t="n">
        <x:v>0</x:v>
      </x:c>
      <x:c r="L254" s="33" t="str">
        <x:v>Con stock, sin ventas 365d</x:v>
      </x:c>
    </x:row>
    <x:row r="255">
      <x:c r="A255" s="31" t="str">
        <x:v>FIL - 00131</x:v>
      </x:c>
      <x:c r="B255" s="53" t="str">
        <x:v>FILTRO AIRE DTK 125 - 175 GRAYONES FILTROS</x:v>
      </x:c>
      <x:c r="C255" s="38" t="n">
        <x:v>3</x:v>
      </x:c>
      <x:c r="D255" s="181" t="n">
        <x:v>7500</x:v>
      </x:c>
      <x:c r="E255" s="38" t="n">
        <x:v>2</x:v>
      </x:c>
      <x:c r="F255" s="181" t="n">
        <x:v>5000</x:v>
      </x:c>
      <x:c r="G255" s="38" t="n">
        <x:v>1</x:v>
      </x:c>
      <x:c r="H255" s="38" t="n">
        <x:v>0</x:v>
      </x:c>
      <x:c r="I255" s="38" t="n">
        <x:v>383</x:v>
      </x:c>
      <x:c r="J255" s="47" t="n">
        <x:v>0.3333333333333333</x:v>
      </x:c>
      <x:c r="K255" s="181" t="n">
        <x:v>5000</x:v>
      </x:c>
      <x:c r="L255" s="33" t="str">
        <x:v>Con stock, sin ventas 365d</x:v>
      </x:c>
    </x:row>
    <x:row r="256">
      <x:c r="A256" s="31" t="str">
        <x:v>MOTS1256</x:v>
      </x:c>
      <x:c r="B256" s="53" t="str">
        <x:v>GUAYA ACELADOR CABEZA FOSFORO SOLA</x:v>
      </x:c>
      <x:c r="C256" s="38" t="n">
        <x:v>7</x:v>
      </x:c>
      <x:c r="D256" s="181" t="n">
        <x:v>7000</x:v>
      </x:c>
      <x:c r="E256" s="38" t="n">
        <x:v>5</x:v>
      </x:c>
      <x:c r="F256" s="181" t="n">
        <x:v>5000</x:v>
      </x:c>
      <x:c r="G256" s="38" t="n">
        <x:v>2</x:v>
      </x:c>
      <x:c r="H256" s="38" t="n">
        <x:v>1</x:v>
      </x:c>
      <x:c r="I256" s="38" t="n">
        <x:v>249</x:v>
      </x:c>
      <x:c r="J256" s="47" t="n">
        <x:v>0.2857142857142857</x:v>
      </x:c>
      <x:c r="K256" s="181" t="n">
        <x:v>5000</x:v>
      </x:c>
      <x:c r="L256" s="33" t="str">
        <x:v>Rotación baja</x:v>
      </x:c>
    </x:row>
    <x:row r="257">
      <x:c r="A257" s="31" t="str">
        <x:v>MOTS1101</x:v>
      </x:c>
      <x:c r="B257" s="53" t="str">
        <x:v>RETEN 14-24-5</x:v>
      </x:c>
      <x:c r="C257" s="38" t="n">
        <x:v>9</x:v>
      </x:c>
      <x:c r="D257" s="181" t="n">
        <x:v>9000</x:v>
      </x:c>
      <x:c r="E257" s="38" t="n">
        <x:v>5</x:v>
      </x:c>
      <x:c r="F257" s="181" t="n">
        <x:v>5000</x:v>
      </x:c>
      <x:c r="G257" s="38" t="n">
        <x:v>4</x:v>
      </x:c>
      <x:c r="H257" s="38" t="n">
        <x:v>1</x:v>
      </x:c>
      <x:c r="I257" s="38" t="n">
        <x:v>161</x:v>
      </x:c>
      <x:c r="J257" s="47" t="n">
        <x:v>0.4444444444444444</x:v>
      </x:c>
      <x:c r="K257" s="181" t="n">
        <x:v>5000</x:v>
      </x:c>
      <x:c r="L257" s="33" t="str">
        <x:v>Rotación baja</x:v>
      </x:c>
    </x:row>
    <x:row r="258">
      <x:c r="A258" s="31" t="str">
        <x:v>MOTS1128</x:v>
      </x:c>
      <x:c r="B258" s="53" t="str">
        <x:v>MANILAR NEGRO/VERDE SENCILLO</x:v>
      </x:c>
      <x:c r="C258" s="38" t="n">
        <x:v>1</x:v>
      </x:c>
      <x:c r="D258" s="181" t="n">
        <x:v>5000</x:v>
      </x:c>
      <x:c r="E258" s="38" t="n">
        <x:v>1</x:v>
      </x:c>
      <x:c r="F258" s="181" t="n">
        <x:v>5000</x:v>
      </x:c>
      <x:c r="G258" s="38" t="n">
        <x:v>0</x:v>
      </x:c>
      <x:c r="H258" s="38" t="n">
        <x:v>0</x:v>
      </x:c>
      <x:c r="I258" s="38"/>
      <x:c r="J258" s="47" t="n">
        <x:v>0</x:v>
      </x:c>
      <x:c r="K258" s="181" t="n">
        <x:v>5000</x:v>
      </x:c>
      <x:c r="L258" s="33" t="str">
        <x:v>Sin ventas desde compra</x:v>
      </x:c>
    </x:row>
    <x:row r="259">
      <x:c r="A259" s="31" t="str">
        <x:v>MOTS1150</x:v>
      </x:c>
      <x:c r="B259" s="53" t="str">
        <x:v>DIRECCIONAL GN 12 AMBAR UND</x:v>
      </x:c>
      <x:c r="C259" s="38" t="n">
        <x:v>1</x:v>
      </x:c>
      <x:c r="D259" s="181" t="n">
        <x:v>5000</x:v>
      </x:c>
      <x:c r="E259" s="38" t="n">
        <x:v>1</x:v>
      </x:c>
      <x:c r="F259" s="181" t="n">
        <x:v>5000</x:v>
      </x:c>
      <x:c r="G259" s="38" t="n">
        <x:v>0</x:v>
      </x:c>
      <x:c r="H259" s="38" t="n">
        <x:v>0</x:v>
      </x:c>
      <x:c r="I259" s="38"/>
      <x:c r="J259" s="47" t="n">
        <x:v>0</x:v>
      </x:c>
      <x:c r="K259" s="181" t="n">
        <x:v>5000</x:v>
      </x:c>
      <x:c r="L259" s="33" t="str">
        <x:v>Sin ventas desde compra</x:v>
      </x:c>
    </x:row>
    <x:row r="260">
      <x:c r="A260" s="31" t="str">
        <x:v>MOTS1269</x:v>
      </x:c>
      <x:c r="B260" s="53" t="str">
        <x:v>GUAYA ACELERADOR XLR GUALITY</x:v>
      </x:c>
      <x:c r="C260" s="38" t="n">
        <x:v>1</x:v>
      </x:c>
      <x:c r="D260" s="181" t="n">
        <x:v>5000</x:v>
      </x:c>
      <x:c r="E260" s="38" t="n">
        <x:v>1</x:v>
      </x:c>
      <x:c r="F260" s="181" t="n">
        <x:v>5000</x:v>
      </x:c>
      <x:c r="G260" s="38" t="n">
        <x:v>0</x:v>
      </x:c>
      <x:c r="H260" s="38" t="n">
        <x:v>0</x:v>
      </x:c>
      <x:c r="I260" s="38"/>
      <x:c r="J260" s="47" t="n">
        <x:v>0</x:v>
      </x:c>
      <x:c r="K260" s="181" t="n">
        <x:v>5000</x:v>
      </x:c>
      <x:c r="L260" s="33" t="str">
        <x:v>Sin ventas desde compra</x:v>
      </x:c>
    </x:row>
    <x:row r="261">
      <x:c r="A261" s="31" t="str">
        <x:v>MOTS1134</x:v>
      </x:c>
      <x:c r="B261" s="53" t="str">
        <x:v>FUSIBLE MUELA PÑA 20 AM</x:v>
      </x:c>
      <x:c r="C261" s="38" t="n">
        <x:v>15</x:v>
      </x:c>
      <x:c r="D261" s="181" t="n">
        <x:v>6000</x:v>
      </x:c>
      <x:c r="E261" s="38" t="n">
        <x:v>12</x:v>
      </x:c>
      <x:c r="F261" s="181" t="n">
        <x:v>4800</x:v>
      </x:c>
      <x:c r="G261" s="38" t="n">
        <x:v>3</x:v>
      </x:c>
      <x:c r="H261" s="38" t="n">
        <x:v>2</x:v>
      </x:c>
      <x:c r="I261" s="38" t="n">
        <x:v>151</x:v>
      </x:c>
      <x:c r="J261" s="47" t="n">
        <x:v>0.2</x:v>
      </x:c>
      <x:c r="K261" s="181" t="n">
        <x:v>4800</x:v>
      </x:c>
      <x:c r="L261" s="33" t="str">
        <x:v>Rotación baja</x:v>
      </x:c>
    </x:row>
    <x:row r="262">
      <x:c r="A262" s="31" t="str">
        <x:v>GUA-051313</x:v>
      </x:c>
      <x:c r="B262" s="53" t="str">
        <x:v>GUAYA ACELADOR FZ 20 INYECCION No. 2 SYK</x:v>
      </x:c>
      <x:c r="C262" s="38" t="n">
        <x:v>1</x:v>
      </x:c>
      <x:c r="D262" s="181" t="n">
        <x:v>4600</x:v>
      </x:c>
      <x:c r="E262" s="38" t="n">
        <x:v>1</x:v>
      </x:c>
      <x:c r="F262" s="181" t="n">
        <x:v>4600</x:v>
      </x:c>
      <x:c r="G262" s="38" t="n">
        <x:v>0</x:v>
      </x:c>
      <x:c r="H262" s="38" t="n">
        <x:v>0</x:v>
      </x:c>
      <x:c r="I262" s="38"/>
      <x:c r="J262" s="47" t="n">
        <x:v>0</x:v>
      </x:c>
      <x:c r="K262" s="181" t="n">
        <x:v>4600</x:v>
      </x:c>
      <x:c r="L262" s="33" t="str">
        <x:v>Sin ventas desde compra</x:v>
      </x:c>
    </x:row>
    <x:row r="263">
      <x:c r="A263" s="31" t="str">
        <x:v>902638</x:v>
      </x:c>
      <x:c r="B263" s="53" t="str">
        <x:v>MANIGUETA DER RX 115 ESP. JAPON</x:v>
      </x:c>
      <x:c r="C263" s="38" t="n">
        <x:v>3</x:v>
      </x:c>
      <x:c r="D263" s="181" t="n">
        <x:v>13500</x:v>
      </x:c>
      <x:c r="E263" s="38" t="n">
        <x:v>1</x:v>
      </x:c>
      <x:c r="F263" s="181" t="n">
        <x:v>4500</x:v>
      </x:c>
      <x:c r="G263" s="38" t="n">
        <x:v>2</x:v>
      </x:c>
      <x:c r="H263" s="38" t="n">
        <x:v>0</x:v>
      </x:c>
      <x:c r="I263" s="38" t="n">
        <x:v>469</x:v>
      </x:c>
      <x:c r="J263" s="47" t="n">
        <x:v>0.6666666666666666</x:v>
      </x:c>
      <x:c r="K263" s="181" t="n">
        <x:v>4500</x:v>
      </x:c>
      <x:c r="L263" s="33" t="str">
        <x:v>Con stock, sin ventas 365d</x:v>
      </x:c>
    </x:row>
    <x:row r="264">
      <x:c r="A264" s="31" t="str">
        <x:v>4568</x:v>
      </x:c>
      <x:c r="B264" s="53" t="str">
        <x:v>TORNILLO HEX 6 x 75 MM CON NUCA</x:v>
      </x:c>
      <x:c r="C264" s="38" t="n">
        <x:v>18</x:v>
      </x:c>
      <x:c r="D264" s="181" t="n">
        <x:v>4500</x:v>
      </x:c>
      <x:c r="E264" s="38" t="n">
        <x:v>18</x:v>
      </x:c>
      <x:c r="F264" s="181" t="n">
        <x:v>4500</x:v>
      </x:c>
      <x:c r="G264" s="38" t="n">
        <x:v>0</x:v>
      </x:c>
      <x:c r="H264" s="38" t="n">
        <x:v>0</x:v>
      </x:c>
      <x:c r="I264" s="38"/>
      <x:c r="J264" s="47" t="n">
        <x:v>0</x:v>
      </x:c>
      <x:c r="K264" s="181" t="n">
        <x:v>4500</x:v>
      </x:c>
      <x:c r="L264" s="33" t="str">
        <x:v>Sin ventas desde compra</x:v>
      </x:c>
    </x:row>
    <x:row r="265">
      <x:c r="A265" s="31" t="str">
        <x:v>MOTS1064</x:v>
      </x:c>
      <x:c r="B265" s="53" t="str">
        <x:v>RETEN 70-17-05</x:v>
      </x:c>
      <x:c r="C265" s="38" t="n">
        <x:v>3</x:v>
      </x:c>
      <x:c r="D265" s="181" t="n">
        <x:v>4500</x:v>
      </x:c>
      <x:c r="E265" s="38" t="n">
        <x:v>3</x:v>
      </x:c>
      <x:c r="F265" s="181" t="n">
        <x:v>4500</x:v>
      </x:c>
      <x:c r="G265" s="38" t="n">
        <x:v>0</x:v>
      </x:c>
      <x:c r="H265" s="38" t="n">
        <x:v>0</x:v>
      </x:c>
      <x:c r="I265" s="38"/>
      <x:c r="J265" s="47" t="n">
        <x:v>0</x:v>
      </x:c>
      <x:c r="K265" s="181" t="n">
        <x:v>4500</x:v>
      </x:c>
      <x:c r="L265" s="33" t="str">
        <x:v>Sin ventas desde compra</x:v>
      </x:c>
    </x:row>
    <x:row r="266">
      <x:c r="A266" s="31" t="str">
        <x:v>MOTS1235</x:v>
      </x:c>
      <x:c r="B266" s="53" t="str">
        <x:v>BALINERA 6002 RRS KDYD</x:v>
      </x:c>
      <x:c r="C266" s="38" t="n">
        <x:v>3</x:v>
      </x:c>
      <x:c r="D266" s="181" t="n">
        <x:v>4500</x:v>
      </x:c>
      <x:c r="E266" s="38" t="n">
        <x:v>3</x:v>
      </x:c>
      <x:c r="F266" s="181" t="n">
        <x:v>4500</x:v>
      </x:c>
      <x:c r="G266" s="38" t="n">
        <x:v>0</x:v>
      </x:c>
      <x:c r="H266" s="38" t="n">
        <x:v>0</x:v>
      </x:c>
      <x:c r="I266" s="38"/>
      <x:c r="J266" s="47" t="n">
        <x:v>0</x:v>
      </x:c>
      <x:c r="K266" s="181" t="n">
        <x:v>4500</x:v>
      </x:c>
      <x:c r="L266" s="33" t="str">
        <x:v>Sin ventas desde compra</x:v>
      </x:c>
    </x:row>
    <x:row r="267">
      <x:c r="A267" s="31" t="str">
        <x:v>OR-008</x:v>
      </x:c>
      <x:c r="B267" s="53" t="str">
        <x:v>ORING 3/16</x:v>
      </x:c>
      <x:c r="C267" s="38" t="n">
        <x:v>19</x:v>
      </x:c>
      <x:c r="D267" s="181" t="n">
        <x:v>6365</x:v>
      </x:c>
      <x:c r="E267" s="38" t="n">
        <x:v>13</x:v>
      </x:c>
      <x:c r="F267" s="181" t="n">
        <x:v>4355</x:v>
      </x:c>
      <x:c r="G267" s="38" t="n">
        <x:v>6</x:v>
      </x:c>
      <x:c r="H267" s="38" t="n">
        <x:v>0</x:v>
      </x:c>
      <x:c r="I267" s="38" t="n">
        <x:v>524</x:v>
      </x:c>
      <x:c r="J267" s="47" t="n">
        <x:v>0.3157894736842105</x:v>
      </x:c>
      <x:c r="K267" s="181" t="n">
        <x:v>4355</x:v>
      </x:c>
      <x:c r="L267" s="33" t="str">
        <x:v>Con stock, sin ventas 365d</x:v>
      </x:c>
    </x:row>
    <x:row r="268">
      <x:c r="A268" s="31" t="str">
        <x:v>MOTS1239</x:v>
      </x:c>
      <x:c r="B268" s="53" t="str">
        <x:v>BALINERA 6303 2RS ORD</x:v>
      </x:c>
      <x:c r="C268" s="38" t="n">
        <x:v>1</x:v>
      </x:c>
      <x:c r="D268" s="181" t="n">
        <x:v>4300</x:v>
      </x:c>
      <x:c r="E268" s="38" t="n">
        <x:v>1</x:v>
      </x:c>
      <x:c r="F268" s="181" t="n">
        <x:v>4300</x:v>
      </x:c>
      <x:c r="G268" s="38" t="n">
        <x:v>0</x:v>
      </x:c>
      <x:c r="H268" s="38" t="n">
        <x:v>0</x:v>
      </x:c>
      <x:c r="I268" s="38"/>
      <x:c r="J268" s="47" t="n">
        <x:v>0</x:v>
      </x:c>
      <x:c r="K268" s="181" t="n">
        <x:v>4300</x:v>
      </x:c>
      <x:c r="L268" s="33" t="str">
        <x:v>Sin ventas desde compra</x:v>
      </x:c>
    </x:row>
    <x:row r="269">
      <x:c r="A269" s="31" t="str">
        <x:v>EMP - 05X137</x:v>
      </x:c>
      <x:c r="B269" s="53" t="str">
        <x:v>EMPAQUE TAPA VOLANTE HONDA ECO DELUXE DARROW</x:v>
      </x:c>
      <x:c r="C269" s="38" t="n">
        <x:v>5</x:v>
      </x:c>
      <x:c r="D269" s="181" t="n">
        <x:v>7000</x:v>
      </x:c>
      <x:c r="E269" s="38" t="n">
        <x:v>3</x:v>
      </x:c>
      <x:c r="F269" s="181" t="n">
        <x:v>4200</x:v>
      </x:c>
      <x:c r="G269" s="38" t="n">
        <x:v>2</x:v>
      </x:c>
      <x:c r="H269" s="38" t="n">
        <x:v>1</x:v>
      </x:c>
      <x:c r="I269" s="38" t="n">
        <x:v>109</x:v>
      </x:c>
      <x:c r="J269" s="47" t="n">
        <x:v>0.4</x:v>
      </x:c>
      <x:c r="K269" s="181" t="n">
        <x:v>4200</x:v>
      </x:c>
      <x:c r="L269" s="33" t="str">
        <x:v>Rotación baja</x:v>
      </x:c>
    </x:row>
    <x:row r="270">
      <x:c r="A270" s="31" t="str">
        <x:v>OYQ 148</x:v>
      </x:c>
      <x:c r="B270" s="53" t="str">
        <x:v>EMPAQUE EXOSTO BWS 4T REFORZADO DARROM</x:v>
      </x:c>
      <x:c r="C270" s="38" t="n">
        <x:v>15</x:v>
      </x:c>
      <x:c r="D270" s="181" t="n">
        <x:v>15000</x:v>
      </x:c>
      <x:c r="E270" s="38" t="n">
        <x:v>4</x:v>
      </x:c>
      <x:c r="F270" s="181" t="n">
        <x:v>4000</x:v>
      </x:c>
      <x:c r="G270" s="38" t="n">
        <x:v>11</x:v>
      </x:c>
      <x:c r="H270" s="38" t="n">
        <x:v>0</x:v>
      </x:c>
      <x:c r="I270" s="38" t="n">
        <x:v>561</x:v>
      </x:c>
      <x:c r="J270" s="47" t="n">
        <x:v>0.7333333333333333</x:v>
      </x:c>
      <x:c r="K270" s="181" t="n">
        <x:v>4000</x:v>
      </x:c>
      <x:c r="L270" s="33" t="str">
        <x:v>Con stock, sin ventas 365d</x:v>
      </x:c>
    </x:row>
    <x:row r="271">
      <x:c r="A271" s="31" t="str">
        <x:v>MOTS1298</x:v>
      </x:c>
      <x:c r="B271" s="53" t="str">
        <x:v>MANGUERA GASOLINA MT ORIGINAL</x:v>
      </x:c>
      <x:c r="C271" s="38" t="n">
        <x:v>28</x:v>
      </x:c>
      <x:c r="D271" s="181" t="n">
        <x:v>14000</x:v>
      </x:c>
      <x:c r="E271" s="38" t="n">
        <x:v>8</x:v>
      </x:c>
      <x:c r="F271" s="181" t="n">
        <x:v>4000</x:v>
      </x:c>
      <x:c r="G271" s="38" t="n">
        <x:v>108</x:v>
      </x:c>
      <x:c r="H271" s="38" t="n">
        <x:v>0</x:v>
      </x:c>
      <x:c r="I271" s="38" t="n">
        <x:v>431</x:v>
      </x:c>
      <x:c r="J271" s="47" t="n">
        <x:v>1</x:v>
      </x:c>
      <x:c r="K271" s="181" t="n">
        <x:v>0</x:v>
      </x:c>
      <x:c r="L271" s="33" t="str">
        <x:v>Con stock, sin ventas 365d</x:v>
      </x:c>
    </x:row>
    <x:row r="272">
      <x:c r="A272" s="31" t="str">
        <x:v>MOTS1041</x:v>
      </x:c>
      <x:c r="B272" s="53" t="str">
        <x:v>RETEN 17-35-5</x:v>
      </x:c>
      <x:c r="C272" s="38" t="n">
        <x:v>2</x:v>
      </x:c>
      <x:c r="D272" s="181" t="n">
        <x:v>4000</x:v>
      </x:c>
      <x:c r="E272" s="38" t="n">
        <x:v>2</x:v>
      </x:c>
      <x:c r="F272" s="181" t="n">
        <x:v>4000</x:v>
      </x:c>
      <x:c r="G272" s="38" t="n">
        <x:v>0</x:v>
      </x:c>
      <x:c r="H272" s="38" t="n">
        <x:v>0</x:v>
      </x:c>
      <x:c r="I272" s="38"/>
      <x:c r="J272" s="47" t="n">
        <x:v>0</x:v>
      </x:c>
      <x:c r="K272" s="181" t="n">
        <x:v>4000</x:v>
      </x:c>
      <x:c r="L272" s="33" t="str">
        <x:v>Sin ventas desde compra</x:v>
      </x:c>
    </x:row>
    <x:row r="273">
      <x:c r="A273" s="31" t="str">
        <x:v>MOTS1122</x:v>
      </x:c>
      <x:c r="B273" s="53" t="str">
        <x:v>EMBLEMA YAMAHA</x:v>
      </x:c>
      <x:c r="C273" s="38" t="n">
        <x:v>2</x:v>
      </x:c>
      <x:c r="D273" s="181" t="n">
        <x:v>4000</x:v>
      </x:c>
      <x:c r="E273" s="38" t="n">
        <x:v>2</x:v>
      </x:c>
      <x:c r="F273" s="181" t="n">
        <x:v>4000</x:v>
      </x:c>
      <x:c r="G273" s="38" t="n">
        <x:v>0</x:v>
      </x:c>
      <x:c r="H273" s="38" t="n">
        <x:v>0</x:v>
      </x:c>
      <x:c r="I273" s="38"/>
      <x:c r="J273" s="47" t="n">
        <x:v>0</x:v>
      </x:c>
      <x:c r="K273" s="181" t="n">
        <x:v>4000</x:v>
      </x:c>
      <x:c r="L273" s="33" t="str">
        <x:v>Sin ventas desde compra</x:v>
      </x:c>
    </x:row>
    <x:row r="274">
      <x:c r="A274" s="31" t="str">
        <x:v>MOTS1224</x:v>
      </x:c>
      <x:c r="B274" s="53" t="str">
        <x:v>BALINERA 6004 2RS HFK</x:v>
      </x:c>
      <x:c r="C274" s="38" t="n">
        <x:v>1</x:v>
      </x:c>
      <x:c r="D274" s="181" t="n">
        <x:v>4000</x:v>
      </x:c>
      <x:c r="E274" s="38" t="n">
        <x:v>1</x:v>
      </x:c>
      <x:c r="F274" s="181" t="n">
        <x:v>4000</x:v>
      </x:c>
      <x:c r="G274" s="38" t="n">
        <x:v>0</x:v>
      </x:c>
      <x:c r="H274" s="38" t="n">
        <x:v>0</x:v>
      </x:c>
      <x:c r="I274" s="38"/>
      <x:c r="J274" s="47" t="n">
        <x:v>0</x:v>
      </x:c>
      <x:c r="K274" s="181" t="n">
        <x:v>4000</x:v>
      </x:c>
      <x:c r="L274" s="33" t="str">
        <x:v>Sin ventas desde compra</x:v>
      </x:c>
    </x:row>
    <x:row r="275">
      <x:c r="A275" s="31" t="str">
        <x:v>MOTS1261</x:v>
      </x:c>
      <x:c r="B275" s="53" t="str">
        <x:v>GUAYA FRENO DT YAMAHA EVERESTT</x:v>
      </x:c>
      <x:c r="C275" s="38" t="n">
        <x:v>1</x:v>
      </x:c>
      <x:c r="D275" s="181" t="n">
        <x:v>4000</x:v>
      </x:c>
      <x:c r="E275" s="38" t="n">
        <x:v>1</x:v>
      </x:c>
      <x:c r="F275" s="181" t="n">
        <x:v>4000</x:v>
      </x:c>
      <x:c r="G275" s="38" t="n">
        <x:v>0</x:v>
      </x:c>
      <x:c r="H275" s="38" t="n">
        <x:v>0</x:v>
      </x:c>
      <x:c r="I275" s="38"/>
      <x:c r="J275" s="47" t="n">
        <x:v>0</x:v>
      </x:c>
      <x:c r="K275" s="181" t="n">
        <x:v>4000</x:v>
      </x:c>
      <x:c r="L275" s="33" t="str">
        <x:v>Sin ventas desde compra</x:v>
      </x:c>
    </x:row>
    <x:row r="276">
      <x:c r="A276" s="31" t="str">
        <x:v>MOTS1276</x:v>
      </x:c>
      <x:c r="B276" s="53" t="str">
        <x:v>GUAYA CLUCTH AX100 PAI WESH</x:v>
      </x:c>
      <x:c r="C276" s="38" t="n">
        <x:v>1</x:v>
      </x:c>
      <x:c r="D276" s="181" t="n">
        <x:v>4000</x:v>
      </x:c>
      <x:c r="E276" s="38" t="n">
        <x:v>1</x:v>
      </x:c>
      <x:c r="F276" s="181" t="n">
        <x:v>4000</x:v>
      </x:c>
      <x:c r="G276" s="38" t="n">
        <x:v>0</x:v>
      </x:c>
      <x:c r="H276" s="38" t="n">
        <x:v>0</x:v>
      </x:c>
      <x:c r="I276" s="38"/>
      <x:c r="J276" s="47" t="n">
        <x:v>0</x:v>
      </x:c>
      <x:c r="K276" s="181" t="n">
        <x:v>4000</x:v>
      </x:c>
      <x:c r="L276" s="33" t="str">
        <x:v>Sin ventas desde compra</x:v>
      </x:c>
    </x:row>
    <x:row r="277">
      <x:c r="A277" s="31" t="str">
        <x:v>MOTS1174</x:v>
      </x:c>
      <x:c r="B277" s="53" t="str">
        <x:v>ALTPO GASOLINA UNIVERSAL BARAI</x:v>
      </x:c>
      <x:c r="C277" s="38" t="n">
        <x:v>7</x:v>
      </x:c>
      <x:c r="D277" s="181" t="n">
        <x:v>9100</x:v>
      </x:c>
      <x:c r="E277" s="38" t="n">
        <x:v>3</x:v>
      </x:c>
      <x:c r="F277" s="181" t="n">
        <x:v>3900</x:v>
      </x:c>
      <x:c r="G277" s="38" t="n">
        <x:v>4</x:v>
      </x:c>
      <x:c r="H277" s="38" t="n">
        <x:v>0</x:v>
      </x:c>
      <x:c r="I277" s="38" t="n">
        <x:v>412</x:v>
      </x:c>
      <x:c r="J277" s="47" t="n">
        <x:v>0.5714285714285714</x:v>
      </x:c>
      <x:c r="K277" s="181" t="n">
        <x:v>3900</x:v>
      </x:c>
      <x:c r="L277" s="33" t="str">
        <x:v>Con stock, sin ventas 365d</x:v>
      </x:c>
    </x:row>
    <x:row r="278">
      <x:c r="A278" s="31" t="str">
        <x:v>TOR - 0384</x:v>
      </x:c>
      <x:c r="B278" s="53" t="str">
        <x:v>TORNILLO UNICO ESTRELLA 6 X35 TORNIFRENOS</x:v>
      </x:c>
      <x:c r="C278" s="38" t="n">
        <x:v>27</x:v>
      </x:c>
      <x:c r="D278" s="181" t="n">
        <x:v>4401</x:v>
      </x:c>
      <x:c r="E278" s="38" t="n">
        <x:v>23</x:v>
      </x:c>
      <x:c r="F278" s="181" t="n">
        <x:v>3749</x:v>
      </x:c>
      <x:c r="G278" s="38" t="n">
        <x:v>4</x:v>
      </x:c>
      <x:c r="H278" s="38" t="n">
        <x:v>0</x:v>
      </x:c>
      <x:c r="I278" s="38" t="n">
        <x:v>575</x:v>
      </x:c>
      <x:c r="J278" s="47" t="n">
        <x:v>0.14814814814814814</x:v>
      </x:c>
      <x:c r="K278" s="181" t="n">
        <x:v>3749</x:v>
      </x:c>
      <x:c r="L278" s="33" t="str">
        <x:v>Con stock, sin ventas 365d</x:v>
      </x:c>
    </x:row>
    <x:row r="279">
      <x:c r="A279" s="31" t="str">
        <x:v>OYQ 154M</x:v>
      </x:c>
      <x:c r="B279" s="53" t="str">
        <x:v>EMPAQUE EXOSTO RX 100 - 115 -125- 135 /DT DARROW</x:v>
      </x:c>
      <x:c r="C279" s="38" t="n">
        <x:v>5</x:v>
      </x:c>
      <x:c r="D279" s="181" t="n">
        <x:v>4500</x:v>
      </x:c>
      <x:c r="E279" s="38" t="n">
        <x:v>4</x:v>
      </x:c>
      <x:c r="F279" s="181" t="n">
        <x:v>3600</x:v>
      </x:c>
      <x:c r="G279" s="38" t="n">
        <x:v>1</x:v>
      </x:c>
      <x:c r="H279" s="38" t="n">
        <x:v>1</x:v>
      </x:c>
      <x:c r="I279" s="38" t="n">
        <x:v>84</x:v>
      </x:c>
      <x:c r="J279" s="47" t="n">
        <x:v>0.2</x:v>
      </x:c>
      <x:c r="K279" s="181" t="n">
        <x:v>3600</x:v>
      </x:c>
      <x:c r="L279" s="33" t="str">
        <x:v>Rotación baja</x:v>
      </x:c>
    </x:row>
    <x:row r="280">
      <x:c r="A280" s="31" t="str">
        <x:v>MOTS1263</x:v>
      </x:c>
      <x:c r="B280" s="53" t="str">
        <x:v>GUAYA VELOCIMETRO XTZ 125 SYK</x:v>
      </x:c>
      <x:c r="C280" s="38" t="n">
        <x:v>2</x:v>
      </x:c>
      <x:c r="D280" s="181" t="n">
        <x:v>7000</x:v>
      </x:c>
      <x:c r="E280" s="38" t="n">
        <x:v>1</x:v>
      </x:c>
      <x:c r="F280" s="181" t="n">
        <x:v>3500</x:v>
      </x:c>
      <x:c r="G280" s="38" t="n">
        <x:v>1</x:v>
      </x:c>
      <x:c r="H280" s="38" t="n">
        <x:v>0</x:v>
      </x:c>
      <x:c r="I280" s="38" t="n">
        <x:v>766</x:v>
      </x:c>
      <x:c r="J280" s="47" t="n">
        <x:v>0.5</x:v>
      </x:c>
      <x:c r="K280" s="181" t="n">
        <x:v>3500</x:v>
      </x:c>
      <x:c r="L280" s="33" t="str">
        <x:v>Con stock, sin ventas 365d</x:v>
      </x:c>
    </x:row>
    <x:row r="281">
      <x:c r="A281" s="31" t="str">
        <x:v>MOTS1012</x:v>
      </x:c>
      <x:c r="B281" s="53" t="str">
        <x:v>ACEITE 20W - 50 4T PINTA CAMAR</x:v>
      </x:c>
      <x:c r="C281" s="38" t="n">
        <x:v>2</x:v>
      </x:c>
      <x:c r="D281" s="181" t="n">
        <x:v>7000</x:v>
      </x:c>
      <x:c r="E281" s="38" t="n">
        <x:v>1</x:v>
      </x:c>
      <x:c r="F281" s="181" t="n">
        <x:v>3500</x:v>
      </x:c>
      <x:c r="G281" s="38" t="n">
        <x:v>2</x:v>
      </x:c>
      <x:c r="H281" s="38" t="n">
        <x:v>0</x:v>
      </x:c>
      <x:c r="I281" s="38" t="n">
        <x:v>695</x:v>
      </x:c>
      <x:c r="J281" s="47" t="n">
        <x:v>1</x:v>
      </x:c>
      <x:c r="K281" s="181" t="n">
        <x:v>0</x:v>
      </x:c>
      <x:c r="L281" s="33" t="str">
        <x:v>Con stock, sin ventas 365d</x:v>
      </x:c>
    </x:row>
    <x:row r="282">
      <x:c r="A282" s="31" t="str">
        <x:v>MOTS1257</x:v>
      </x:c>
      <x:c r="B282" s="53" t="str">
        <x:v>GUAYA SOLA CLUCTH 7X7 6X10MM SYK</x:v>
      </x:c>
      <x:c r="C282" s="38" t="n">
        <x:v>10</x:v>
      </x:c>
      <x:c r="D282" s="181" t="n">
        <x:v>5000</x:v>
      </x:c>
      <x:c r="E282" s="38" t="n">
        <x:v>7</x:v>
      </x:c>
      <x:c r="F282" s="181" t="n">
        <x:v>3500</x:v>
      </x:c>
      <x:c r="G282" s="38" t="n">
        <x:v>3</x:v>
      </x:c>
      <x:c r="H282" s="38" t="n">
        <x:v>0</x:v>
      </x:c>
      <x:c r="I282" s="38" t="n">
        <x:v>587</x:v>
      </x:c>
      <x:c r="J282" s="47" t="n">
        <x:v>0.3</x:v>
      </x:c>
      <x:c r="K282" s="181" t="n">
        <x:v>3500</x:v>
      </x:c>
      <x:c r="L282" s="33" t="str">
        <x:v>Con stock, sin ventas 365d</x:v>
      </x:c>
    </x:row>
    <x:row r="283">
      <x:c r="A283" s="31" t="str">
        <x:v>MOTS1167</x:v>
      </x:c>
      <x:c r="B283" s="53" t="str">
        <x:v>CAUCHO MANZANA YAMAHA LIBERO IMBRA</x:v>
      </x:c>
      <x:c r="C283" s="38" t="n">
        <x:v>2</x:v>
      </x:c>
      <x:c r="D283" s="181" t="n">
        <x:v>7000</x:v>
      </x:c>
      <x:c r="E283" s="38" t="n">
        <x:v>1</x:v>
      </x:c>
      <x:c r="F283" s="181" t="n">
        <x:v>3500</x:v>
      </x:c>
      <x:c r="G283" s="38" t="n">
        <x:v>2</x:v>
      </x:c>
      <x:c r="H283" s="38" t="n">
        <x:v>0</x:v>
      </x:c>
      <x:c r="I283" s="38" t="n">
        <x:v>511</x:v>
      </x:c>
      <x:c r="J283" s="47" t="n">
        <x:v>1</x:v>
      </x:c>
      <x:c r="K283" s="181" t="n">
        <x:v>0</x:v>
      </x:c>
      <x:c r="L283" s="33" t="str">
        <x:v>Con stock, sin ventas 365d</x:v>
      </x:c>
    </x:row>
    <x:row r="284">
      <x:c r="A284" s="31" t="str">
        <x:v>MOTS1168</x:v>
      </x:c>
      <x:c r="B284" s="53" t="str">
        <x:v>CAUCHO MANZANA YAMAHA V80 RX 115 ALICAUCHOS</x:v>
      </x:c>
      <x:c r="C284" s="38" t="n">
        <x:v>1</x:v>
      </x:c>
      <x:c r="D284" s="181" t="n">
        <x:v>3500</x:v>
      </x:c>
      <x:c r="E284" s="38" t="n">
        <x:v>1</x:v>
      </x:c>
      <x:c r="F284" s="181" t="n">
        <x:v>3500</x:v>
      </x:c>
      <x:c r="G284" s="38" t="n">
        <x:v>0</x:v>
      </x:c>
      <x:c r="H284" s="38" t="n">
        <x:v>0</x:v>
      </x:c>
      <x:c r="I284" s="38"/>
      <x:c r="J284" s="47" t="n">
        <x:v>0</x:v>
      </x:c>
      <x:c r="K284" s="181" t="n">
        <x:v>3500</x:v>
      </x:c>
      <x:c r="L284" s="33" t="str">
        <x:v>Sin ventas desde compra</x:v>
      </x:c>
    </x:row>
    <x:row r="285">
      <x:c r="A285" s="31" t="str">
        <x:v>TOR - 0971</x:v>
      </x:c>
      <x:c r="B285" s="53" t="str">
        <x:v>TORNILLO BRISTOL 8 X55 TORNIFRENOS</x:v>
      </x:c>
      <x:c r="C285" s="38" t="n">
        <x:v>12</x:v>
      </x:c>
      <x:c r="D285" s="181" t="n">
        <x:v>5880</x:v>
      </x:c>
      <x:c r="E285" s="38" t="n">
        <x:v>7</x:v>
      </x:c>
      <x:c r="F285" s="181" t="n">
        <x:v>3430</x:v>
      </x:c>
      <x:c r="G285" s="38" t="n">
        <x:v>5</x:v>
      </x:c>
      <x:c r="H285" s="38" t="n">
        <x:v>0</x:v>
      </x:c>
      <x:c r="I285" s="38" t="n">
        <x:v>452</x:v>
      </x:c>
      <x:c r="J285" s="47" t="n">
        <x:v>0.4166666666666667</x:v>
      </x:c>
      <x:c r="K285" s="181" t="n">
        <x:v>3430</x:v>
      </x:c>
      <x:c r="L285" s="33" t="str">
        <x:v>Con stock, sin ventas 365d</x:v>
      </x:c>
    </x:row>
    <x:row r="286">
      <x:c r="A286" s="31" t="str">
        <x:v>MOTS1305</x:v>
      </x:c>
      <x:c r="B286" s="53" t="str">
        <x:v>MANGUERA ACEITE METRO</x:v>
      </x:c>
      <x:c r="C286" s="38" t="n">
        <x:v>10</x:v>
      </x:c>
      <x:c r="D286" s="181" t="n">
        <x:v>6250</x:v>
      </x:c>
      <x:c r="E286" s="38" t="n">
        <x:v>5</x:v>
      </x:c>
      <x:c r="F286" s="181" t="n">
        <x:v>3125</x:v>
      </x:c>
      <x:c r="G286" s="38" t="n">
        <x:v>5</x:v>
      </x:c>
      <x:c r="H286" s="38" t="n">
        <x:v>0</x:v>
      </x:c>
      <x:c r="I286" s="38" t="n">
        <x:v>541</x:v>
      </x:c>
      <x:c r="J286" s="47" t="n">
        <x:v>0.5</x:v>
      </x:c>
      <x:c r="K286" s="181" t="n">
        <x:v>3125</x:v>
      </x:c>
      <x:c r="L286" s="33" t="str">
        <x:v>Con stock, sin ventas 365d</x:v>
      </x:c>
    </x:row>
    <x:row r="287">
      <x:c r="A287" s="31" t="str">
        <x:v>MOTS1028</x:v>
      </x:c>
      <x:c r="B287" s="53" t="str">
        <x:v>CAUCHO AMORTIGUADOR BUJE 10 MM</x:v>
      </x:c>
      <x:c r="C287" s="38" t="n">
        <x:v>7</x:v>
      </x:c>
      <x:c r="D287" s="181" t="n">
        <x:v>10850</x:v>
      </x:c>
      <x:c r="E287" s="38" t="n">
        <x:v>2</x:v>
      </x:c>
      <x:c r="F287" s="181" t="n">
        <x:v>3100</x:v>
      </x:c>
      <x:c r="G287" s="38" t="n">
        <x:v>7</x:v>
      </x:c>
      <x:c r="H287" s="38" t="n">
        <x:v>0</x:v>
      </x:c>
      <x:c r="I287" s="38" t="n">
        <x:v>653</x:v>
      </x:c>
      <x:c r="J287" s="47" t="n">
        <x:v>1</x:v>
      </x:c>
      <x:c r="K287" s="181" t="n">
        <x:v>0</x:v>
      </x:c>
      <x:c r="L287" s="33" t="str">
        <x:v>Con stock, sin ventas 365d</x:v>
      </x:c>
    </x:row>
    <x:row r="288">
      <x:c r="A288" s="31" t="str">
        <x:v>MOTS1027</x:v>
      </x:c>
      <x:c r="B288" s="53" t="str">
        <x:v>CAUCHO AMORTIGUADOR BUJE 12 MM</x:v>
      </x:c>
      <x:c r="C288" s="38" t="n">
        <x:v>5</x:v>
      </x:c>
      <x:c r="D288" s="181" t="n">
        <x:v>7750</x:v>
      </x:c>
      <x:c r="E288" s="38" t="n">
        <x:v>2</x:v>
      </x:c>
      <x:c r="F288" s="181" t="n">
        <x:v>3100</x:v>
      </x:c>
      <x:c r="G288" s="38" t="n">
        <x:v>5</x:v>
      </x:c>
      <x:c r="H288" s="38" t="n">
        <x:v>0</x:v>
      </x:c>
      <x:c r="I288" s="38" t="n">
        <x:v>653</x:v>
      </x:c>
      <x:c r="J288" s="47" t="n">
        <x:v>1</x:v>
      </x:c>
      <x:c r="K288" s="181" t="n">
        <x:v>0</x:v>
      </x:c>
      <x:c r="L288" s="33" t="str">
        <x:v>Con stock, sin ventas 365d</x:v>
      </x:c>
    </x:row>
    <x:row r="289">
      <x:c r="A289" s="31" t="str">
        <x:v>CDIR-ECO</x:v>
      </x:c>
      <x:c r="B289" s="53" t="str">
        <x:v>CAUCHOS DIRECCION ECO/BOXER CAU PLAST</x:v>
      </x:c>
      <x:c r="C289" s="38" t="n">
        <x:v>7</x:v>
      </x:c>
      <x:c r="D289" s="181" t="n">
        <x:v>21000</x:v>
      </x:c>
      <x:c r="E289" s="38" t="n">
        <x:v>1</x:v>
      </x:c>
      <x:c r="F289" s="181" t="n">
        <x:v>3000</x:v>
      </x:c>
      <x:c r="G289" s="38" t="n">
        <x:v>7</x:v>
      </x:c>
      <x:c r="H289" s="38" t="n">
        <x:v>0</x:v>
      </x:c>
      <x:c r="I289" s="38" t="n">
        <x:v>559</x:v>
      </x:c>
      <x:c r="J289" s="47" t="n">
        <x:v>1</x:v>
      </x:c>
      <x:c r="K289" s="181" t="n">
        <x:v>0</x:v>
      </x:c>
      <x:c r="L289" s="33" t="str">
        <x:v>Con stock, sin ventas 365d</x:v>
      </x:c>
    </x:row>
    <x:row r="290">
      <x:c r="A290" s="31" t="str">
        <x:v>H17910</x:v>
      </x:c>
      <x:c r="B290" s="53" t="str">
        <x:v>GUAYA ACELERADOR HONDA CBF 150 SYK</x:v>
      </x:c>
      <x:c r="C290" s="38" t="n">
        <x:v>1</x:v>
      </x:c>
      <x:c r="D290" s="181" t="n">
        <x:v>3000</x:v>
      </x:c>
      <x:c r="E290" s="38" t="n">
        <x:v>1</x:v>
      </x:c>
      <x:c r="F290" s="181" t="n">
        <x:v>3000</x:v>
      </x:c>
      <x:c r="G290" s="38" t="n">
        <x:v>0</x:v>
      </x:c>
      <x:c r="H290" s="38" t="n">
        <x:v>0</x:v>
      </x:c>
      <x:c r="I290" s="38"/>
      <x:c r="J290" s="47" t="n">
        <x:v>0</x:v>
      </x:c>
      <x:c r="K290" s="181" t="n">
        <x:v>3000</x:v>
      </x:c>
      <x:c r="L290" s="33" t="str">
        <x:v>Sin ventas desde compra</x:v>
      </x:c>
    </x:row>
    <x:row r="291">
      <x:c r="A291" s="31" t="str">
        <x:v>MOTS1268</x:v>
      </x:c>
      <x:c r="B291" s="53" t="str">
        <x:v>GUAYA ACELERADOR NXR BROS SYK</x:v>
      </x:c>
      <x:c r="C291" s="38" t="n">
        <x:v>1</x:v>
      </x:c>
      <x:c r="D291" s="181" t="n">
        <x:v>3000</x:v>
      </x:c>
      <x:c r="E291" s="38" t="n">
        <x:v>1</x:v>
      </x:c>
      <x:c r="F291" s="181" t="n">
        <x:v>3000</x:v>
      </x:c>
      <x:c r="G291" s="38" t="n">
        <x:v>0</x:v>
      </x:c>
      <x:c r="H291" s="38" t="n">
        <x:v>0</x:v>
      </x:c>
      <x:c r="I291" s="38"/>
      <x:c r="J291" s="47" t="n">
        <x:v>0</x:v>
      </x:c>
      <x:c r="K291" s="181" t="n">
        <x:v>3000</x:v>
      </x:c>
      <x:c r="L291" s="33" t="str">
        <x:v>Sin ventas desde compra</x:v>
      </x:c>
    </x:row>
    <x:row r="292">
      <x:c r="A292" s="31" t="str">
        <x:v>MOTS1275</x:v>
      </x:c>
      <x:c r="B292" s="53" t="str">
        <x:v>GUAYA CLUCTH CB 110 GUALITY</x:v>
      </x:c>
      <x:c r="C292" s="38" t="n">
        <x:v>1</x:v>
      </x:c>
      <x:c r="D292" s="181" t="n">
        <x:v>3000</x:v>
      </x:c>
      <x:c r="E292" s="38" t="n">
        <x:v>1</x:v>
      </x:c>
      <x:c r="F292" s="181" t="n">
        <x:v>3000</x:v>
      </x:c>
      <x:c r="G292" s="38" t="n">
        <x:v>0</x:v>
      </x:c>
      <x:c r="H292" s="38" t="n">
        <x:v>0</x:v>
      </x:c>
      <x:c r="I292" s="38"/>
      <x:c r="J292" s="47" t="n">
        <x:v>0</x:v>
      </x:c>
      <x:c r="K292" s="181" t="n">
        <x:v>3000</x:v>
      </x:c>
      <x:c r="L292" s="33" t="str">
        <x:v>Sin ventas desde compra</x:v>
      </x:c>
    </x:row>
    <x:row r="293">
      <x:c r="A293" s="31" t="str">
        <x:v>TOR - 0362</x:v>
      </x:c>
      <x:c r="B293" s="53" t="str">
        <x:v>TORNILLO ESTRELLA 6 X10 TORNIFRENOS</x:v>
      </x:c>
      <x:c r="C293" s="38" t="n">
        <x:v>17</x:v>
      </x:c>
      <x:c r="D293" s="181" t="n">
        <x:v>3859</x:v>
      </x:c>
      <x:c r="E293" s="38" t="n">
        <x:v>12</x:v>
      </x:c>
      <x:c r="F293" s="181" t="n">
        <x:v>2724</x:v>
      </x:c>
      <x:c r="G293" s="38" t="n">
        <x:v>5</x:v>
      </x:c>
      <x:c r="H293" s="38" t="n">
        <x:v>3</x:v>
      </x:c>
      <x:c r="I293" s="38" t="n">
        <x:v>215</x:v>
      </x:c>
      <x:c r="J293" s="47" t="n">
        <x:v>0.29411764705882354</x:v>
      </x:c>
      <x:c r="K293" s="181" t="n">
        <x:v>2724</x:v>
      </x:c>
      <x:c r="L293" s="33" t="str">
        <x:v>Rotación baja</x:v>
      </x:c>
    </x:row>
    <x:row r="294">
      <x:c r="A294" s="31" t="str">
        <x:v>MOTS1120</x:v>
      </x:c>
      <x:c r="B294" s="53" t="str">
        <x:v>ARANDELA PIÑON SALIDA ECO 100 TORNFRENOS</x:v>
      </x:c>
      <x:c r="C294" s="38" t="n">
        <x:v>10</x:v>
      </x:c>
      <x:c r="D294" s="181" t="n">
        <x:v>6800</x:v>
      </x:c>
      <x:c r="E294" s="38" t="n">
        <x:v>4</x:v>
      </x:c>
      <x:c r="F294" s="181" t="n">
        <x:v>2720</x:v>
      </x:c>
      <x:c r="G294" s="38" t="n">
        <x:v>6</x:v>
      </x:c>
      <x:c r="H294" s="38" t="n">
        <x:v>0</x:v>
      </x:c>
      <x:c r="I294" s="38" t="n">
        <x:v>432</x:v>
      </x:c>
      <x:c r="J294" s="47" t="n">
        <x:v>0.6</x:v>
      </x:c>
      <x:c r="K294" s="181" t="n">
        <x:v>2720</x:v>
      </x:c>
      <x:c r="L294" s="33" t="str">
        <x:v>Con stock, sin ventas 365d</x:v>
      </x:c>
    </x:row>
    <x:row r="295">
      <x:c r="A295" s="31" t="str">
        <x:v>TOR - 0364</x:v>
      </x:c>
      <x:c r="B295" s="53" t="str">
        <x:v>TORNILLO ESTRELLA 6 X50 TORNIFRENOS</x:v>
      </x:c>
      <x:c r="C295" s="38" t="n">
        <x:v>12</x:v>
      </x:c>
      <x:c r="D295" s="181" t="n">
        <x:v>4044</x:v>
      </x:c>
      <x:c r="E295" s="38" t="n">
        <x:v>8</x:v>
      </x:c>
      <x:c r="F295" s="181" t="n">
        <x:v>2696</x:v>
      </x:c>
      <x:c r="G295" s="38" t="n">
        <x:v>4</x:v>
      </x:c>
      <x:c r="H295" s="38" t="n">
        <x:v>0</x:v>
      </x:c>
      <x:c r="I295" s="38" t="n">
        <x:v>621</x:v>
      </x:c>
      <x:c r="J295" s="47" t="n">
        <x:v>0.3333333333333333</x:v>
      </x:c>
      <x:c r="K295" s="181" t="n">
        <x:v>2696</x:v>
      </x:c>
      <x:c r="L295" s="33" t="str">
        <x:v>Con stock, sin ventas 365d</x:v>
      </x:c>
    </x:row>
    <x:row r="296">
      <x:c r="A296" s="31" t="str">
        <x:v>OR-006</x:v>
      </x:c>
      <x:c r="B296" s="53" t="str">
        <x:v>ORING 1/8</x:v>
      </x:c>
      <x:c r="C296" s="38" t="n">
        <x:v>14</x:v>
      </x:c>
      <x:c r="D296" s="181" t="n">
        <x:v>4690</x:v>
      </x:c>
      <x:c r="E296" s="38" t="n">
        <x:v>8</x:v>
      </x:c>
      <x:c r="F296" s="181" t="n">
        <x:v>2680</x:v>
      </x:c>
      <x:c r="G296" s="38" t="n">
        <x:v>6</x:v>
      </x:c>
      <x:c r="H296" s="38" t="n">
        <x:v>0</x:v>
      </x:c>
      <x:c r="I296" s="38" t="n">
        <x:v>433</x:v>
      </x:c>
      <x:c r="J296" s="47" t="n">
        <x:v>0.42857142857142855</x:v>
      </x:c>
      <x:c r="K296" s="181" t="n">
        <x:v>2680</x:v>
      </x:c>
      <x:c r="L296" s="33" t="str">
        <x:v>Con stock, sin ventas 365d</x:v>
      </x:c>
    </x:row>
    <x:row r="297">
      <x:c r="A297" s="31" t="str">
        <x:v>MOTS1178</x:v>
      </x:c>
      <x:c r="B297" s="53" t="str">
        <x:v>MANIGUETA DER BIZ HONDA MOTO GAS</x:v>
      </x:c>
      <x:c r="C297" s="38" t="n">
        <x:v>2</x:v>
      </x:c>
      <x:c r="D297" s="181" t="n">
        <x:v>5000</x:v>
      </x:c>
      <x:c r="E297" s="38" t="n">
        <x:v>1</x:v>
      </x:c>
      <x:c r="F297" s="181" t="n">
        <x:v>2500</x:v>
      </x:c>
      <x:c r="G297" s="38" t="n">
        <x:v>1</x:v>
      </x:c>
      <x:c r="H297" s="38" t="n">
        <x:v>0</x:v>
      </x:c>
      <x:c r="I297" s="38" t="n">
        <x:v>679</x:v>
      </x:c>
      <x:c r="J297" s="47" t="n">
        <x:v>0.5</x:v>
      </x:c>
      <x:c r="K297" s="181" t="n">
        <x:v>2500</x:v>
      </x:c>
      <x:c r="L297" s="33" t="str">
        <x:v>Con stock, sin ventas 365d</x:v>
      </x:c>
    </x:row>
    <x:row r="298">
      <x:c r="A298" s="31" t="str">
        <x:v>MOTS1132</x:v>
      </x:c>
      <x:c r="B298" s="53" t="str">
        <x:v>WASA PRESION 70MM TORNIFRENOS</x:v>
      </x:c>
      <x:c r="C298" s="38" t="n">
        <x:v>63</x:v>
      </x:c>
      <x:c r="D298" s="181" t="n">
        <x:v>2646</x:v>
      </x:c>
      <x:c r="E298" s="38" t="n">
        <x:v>59</x:v>
      </x:c>
      <x:c r="F298" s="181" t="n">
        <x:v>2478</x:v>
      </x:c>
      <x:c r="G298" s="38" t="n">
        <x:v>7</x:v>
      </x:c>
      <x:c r="H298" s="38" t="n">
        <x:v>2</x:v>
      </x:c>
      <x:c r="I298" s="38" t="n">
        <x:v>1</x:v>
      </x:c>
      <x:c r="J298" s="47" t="n">
        <x:v>0.1111111111111111</x:v>
      </x:c>
      <x:c r="K298" s="181" t="n">
        <x:v>2352</x:v>
      </x:c>
      <x:c r="L298" s="33" t="str">
        <x:v>Rotación baja</x:v>
      </x:c>
    </x:row>
    <x:row r="299">
      <x:c r="A299" s="31" t="str">
        <x:v>OR-213</x:v>
      </x:c>
      <x:c r="B299" s="53" t="str">
        <x:v>ORING 1</x:v>
      </x:c>
      <x:c r="C299" s="38" t="n">
        <x:v>10</x:v>
      </x:c>
      <x:c r="D299" s="181" t="n">
        <x:v>3350</x:v>
      </x:c>
      <x:c r="E299" s="38" t="n">
        <x:v>7</x:v>
      </x:c>
      <x:c r="F299" s="181" t="n">
        <x:v>2345</x:v>
      </x:c>
      <x:c r="G299" s="38" t="n">
        <x:v>3</x:v>
      </x:c>
      <x:c r="H299" s="38" t="n">
        <x:v>0</x:v>
      </x:c>
      <x:c r="I299" s="38" t="n">
        <x:v>561</x:v>
      </x:c>
      <x:c r="J299" s="47" t="n">
        <x:v>0.3</x:v>
      </x:c>
      <x:c r="K299" s="181" t="n">
        <x:v>2345</x:v>
      </x:c>
      <x:c r="L299" s="33" t="str">
        <x:v>Con stock, sin ventas 365d</x:v>
      </x:c>
    </x:row>
    <x:row r="300">
      <x:c r="A300" s="31" t="str">
        <x:v>OR-327</x:v>
      </x:c>
      <x:c r="B300" s="53" t="str">
        <x:v>ORING 1.3/4</x:v>
      </x:c>
      <x:c r="C300" s="38" t="n">
        <x:v>7</x:v>
      </x:c>
      <x:c r="D300" s="181" t="n">
        <x:v>2345</x:v>
      </x:c>
      <x:c r="E300" s="38" t="n">
        <x:v>7</x:v>
      </x:c>
      <x:c r="F300" s="181" t="n">
        <x:v>2345</x:v>
      </x:c>
      <x:c r="G300" s="38" t="n">
        <x:v>0</x:v>
      </x:c>
      <x:c r="H300" s="38" t="n">
        <x:v>0</x:v>
      </x:c>
      <x:c r="I300" s="38"/>
      <x:c r="J300" s="47" t="n">
        <x:v>0</x:v>
      </x:c>
      <x:c r="K300" s="181" t="n">
        <x:v>2345</x:v>
      </x:c>
      <x:c r="L300" s="33" t="str">
        <x:v>Sin ventas desde compra</x:v>
      </x:c>
    </x:row>
    <x:row r="301">
      <x:c r="A301" s="31" t="str">
        <x:v>TOR - 0361</x:v>
      </x:c>
      <x:c r="B301" s="53" t="str">
        <x:v>TORNILLO ESTRELLA 6 X35 TORNIFRENOS</x:v>
      </x:c>
      <x:c r="C301" s="38" t="n">
        <x:v>19</x:v>
      </x:c>
      <x:c r="D301" s="181" t="n">
        <x:v>3097</x:v>
      </x:c>
      <x:c r="E301" s="38" t="n">
        <x:v>14</x:v>
      </x:c>
      <x:c r="F301" s="181" t="n">
        <x:v>2282</x:v>
      </x:c>
      <x:c r="G301" s="38" t="n">
        <x:v>5</x:v>
      </x:c>
      <x:c r="H301" s="38" t="n">
        <x:v>0</x:v>
      </x:c>
      <x:c r="I301" s="38" t="n">
        <x:v>474</x:v>
      </x:c>
      <x:c r="J301" s="47" t="n">
        <x:v>0.2631578947368421</x:v>
      </x:c>
      <x:c r="K301" s="181" t="n">
        <x:v>2282</x:v>
      </x:c>
      <x:c r="L301" s="33" t="str">
        <x:v>Con stock, sin ventas 365d</x:v>
      </x:c>
    </x:row>
    <x:row r="302">
      <x:c r="A302" s="31" t="str">
        <x:v>4210</x:v>
      </x:c>
      <x:c r="B302" s="53" t="str">
        <x:v>TORNILLO FLANGE 6X 50 LLAVE 8 TORNIFRENOS</x:v>
      </x:c>
      <x:c r="C302" s="38" t="n">
        <x:v>6</x:v>
      </x:c>
      <x:c r="D302" s="181" t="n">
        <x:v>3306</x:v>
      </x:c>
      <x:c r="E302" s="38" t="n">
        <x:v>4</x:v>
      </x:c>
      <x:c r="F302" s="181" t="n">
        <x:v>2204</x:v>
      </x:c>
      <x:c r="G302" s="38" t="n">
        <x:v>2</x:v>
      </x:c>
      <x:c r="H302" s="38" t="n">
        <x:v>0</x:v>
      </x:c>
      <x:c r="I302" s="38" t="n">
        <x:v>738</x:v>
      </x:c>
      <x:c r="J302" s="47" t="n">
        <x:v>0.3333333333333333</x:v>
      </x:c>
      <x:c r="K302" s="181" t="n">
        <x:v>2204</x:v>
      </x:c>
      <x:c r="L302" s="33" t="str">
        <x:v>Con stock, sin ventas 365d</x:v>
      </x:c>
    </x:row>
    <x:row r="303">
      <x:c r="A303" s="31" t="str">
        <x:v>EMP - 026398</x:v>
      </x:c>
      <x:c r="B303" s="53" t="str">
        <x:v>EMPAQUE TAPA CLUCTH PULSAR 180 / 200 SYK</x:v>
      </x:c>
      <x:c r="C303" s="38" t="n">
        <x:v>1</x:v>
      </x:c>
      <x:c r="D303" s="181" t="n">
        <x:v>2192</x:v>
      </x:c>
      <x:c r="E303" s="38" t="n">
        <x:v>1</x:v>
      </x:c>
      <x:c r="F303" s="181" t="n">
        <x:v>2192</x:v>
      </x:c>
      <x:c r="G303" s="38" t="n">
        <x:v>1</x:v>
      </x:c>
      <x:c r="H303" s="38" t="n">
        <x:v>0</x:v>
      </x:c>
      <x:c r="I303" s="38" t="n">
        <x:v>480</x:v>
      </x:c>
      <x:c r="J303" s="47" t="n">
        <x:v>1</x:v>
      </x:c>
      <x:c r="K303" s="181" t="n">
        <x:v>0</x:v>
      </x:c>
      <x:c r="L303" s="33" t="str">
        <x:v>Con stock, sin ventas 365d</x:v>
      </x:c>
    </x:row>
    <x:row r="304">
      <x:c r="A304" s="31" t="str">
        <x:v>OR-222</x:v>
      </x:c>
      <x:c r="B304" s="53" t="str">
        <x:v>ORING 1.1/2</x:v>
      </x:c>
      <x:c r="C304" s="38" t="n">
        <x:v>7</x:v>
      </x:c>
      <x:c r="D304" s="181" t="n">
        <x:v>2345</x:v>
      </x:c>
      <x:c r="E304" s="38" t="n">
        <x:v>6</x:v>
      </x:c>
      <x:c r="F304" s="181" t="n">
        <x:v>2010</x:v>
      </x:c>
      <x:c r="G304" s="38" t="n">
        <x:v>1</x:v>
      </x:c>
      <x:c r="H304" s="38" t="n">
        <x:v>0</x:v>
      </x:c>
      <x:c r="I304" s="38" t="n">
        <x:v>578</x:v>
      </x:c>
      <x:c r="J304" s="47" t="n">
        <x:v>0.14285714285714285</x:v>
      </x:c>
      <x:c r="K304" s="181" t="n">
        <x:v>2010</x:v>
      </x:c>
      <x:c r="L304" s="33" t="str">
        <x:v>Con stock, sin ventas 365d</x:v>
      </x:c>
    </x:row>
    <x:row r="305">
      <x:c r="A305" s="31" t="str">
        <x:v>OR-214</x:v>
      </x:c>
      <x:c r="B305" s="53" t="str">
        <x:v>ORING 11/16</x:v>
      </x:c>
      <x:c r="C305" s="38" t="n">
        <x:v>9</x:v>
      </x:c>
      <x:c r="D305" s="181" t="n">
        <x:v>3015</x:v>
      </x:c>
      <x:c r="E305" s="38" t="n">
        <x:v>6</x:v>
      </x:c>
      <x:c r="F305" s="181" t="n">
        <x:v>2010</x:v>
      </x:c>
      <x:c r="G305" s="38" t="n">
        <x:v>4</x:v>
      </x:c>
      <x:c r="H305" s="38" t="n">
        <x:v>0</x:v>
      </x:c>
      <x:c r="I305" s="38" t="n">
        <x:v>531</x:v>
      </x:c>
      <x:c r="J305" s="47" t="n">
        <x:v>0.4444444444444444</x:v>
      </x:c>
      <x:c r="K305" s="181" t="n">
        <x:v>1675</x:v>
      </x:c>
      <x:c r="L305" s="33" t="str">
        <x:v>Con stock, sin ventas 365d</x:v>
      </x:c>
    </x:row>
    <x:row r="306">
      <x:c r="A306" s="31" t="str">
        <x:v>OR-218</x:v>
      </x:c>
      <x:c r="B306" s="53" t="str">
        <x:v>ORING 1.5/16</x:v>
      </x:c>
      <x:c r="C306" s="38" t="n">
        <x:v>6</x:v>
      </x:c>
      <x:c r="D306" s="181" t="n">
        <x:v>2010</x:v>
      </x:c>
      <x:c r="E306" s="38" t="n">
        <x:v>6</x:v>
      </x:c>
      <x:c r="F306" s="181" t="n">
        <x:v>2010</x:v>
      </x:c>
      <x:c r="G306" s="38" t="n">
        <x:v>0</x:v>
      </x:c>
      <x:c r="H306" s="38" t="n">
        <x:v>0</x:v>
      </x:c>
      <x:c r="I306" s="38"/>
      <x:c r="J306" s="47" t="n">
        <x:v>0</x:v>
      </x:c>
      <x:c r="K306" s="181" t="n">
        <x:v>2010</x:v>
      </x:c>
      <x:c r="L306" s="33" t="str">
        <x:v>Sin ventas desde compra</x:v>
      </x:c>
    </x:row>
    <x:row r="307">
      <x:c r="A307" s="31" t="str">
        <x:v>OR-326</x:v>
      </x:c>
      <x:c r="B307" s="53" t="str">
        <x:v>ORING 1.5/8</x:v>
      </x:c>
      <x:c r="C307" s="38" t="n">
        <x:v>6</x:v>
      </x:c>
      <x:c r="D307" s="181" t="n">
        <x:v>2010</x:v>
      </x:c>
      <x:c r="E307" s="38" t="n">
        <x:v>6</x:v>
      </x:c>
      <x:c r="F307" s="181" t="n">
        <x:v>2010</x:v>
      </x:c>
      <x:c r="G307" s="38" t="n">
        <x:v>0</x:v>
      </x:c>
      <x:c r="H307" s="38" t="n">
        <x:v>0</x:v>
      </x:c>
      <x:c r="I307" s="38"/>
      <x:c r="J307" s="47" t="n">
        <x:v>0</x:v>
      </x:c>
      <x:c r="K307" s="181" t="n">
        <x:v>2010</x:v>
      </x:c>
      <x:c r="L307" s="33" t="str">
        <x:v>Sin ventas desde compra</x:v>
      </x:c>
    </x:row>
    <x:row r="308">
      <x:c r="A308" s="31" t="str">
        <x:v>MOTS1280</x:v>
      </x:c>
      <x:c r="B308" s="53" t="str">
        <x:v>SELLOS VALVULAS ECO</x:v>
      </x:c>
      <x:c r="C308" s="38" t="n">
        <x:v>8</x:v>
      </x:c>
      <x:c r="D308" s="181" t="n">
        <x:v>8000</x:v>
      </x:c>
      <x:c r="E308" s="38" t="n">
        <x:v>2</x:v>
      </x:c>
      <x:c r="F308" s="181" t="n">
        <x:v>2000</x:v>
      </x:c>
      <x:c r="G308" s="38" t="n">
        <x:v>8</x:v>
      </x:c>
      <x:c r="H308" s="38" t="n">
        <x:v>0</x:v>
      </x:c>
      <x:c r="I308" s="38" t="n">
        <x:v>710</x:v>
      </x:c>
      <x:c r="J308" s="47" t="n">
        <x:v>1</x:v>
      </x:c>
      <x:c r="K308" s="181" t="n">
        <x:v>0</x:v>
      </x:c>
      <x:c r="L308" s="33" t="str">
        <x:v>Con stock, sin ventas 365d</x:v>
      </x:c>
    </x:row>
    <x:row r="309">
      <x:c r="A309" s="31" t="str">
        <x:v>MOTS1066</x:v>
      </x:c>
      <x:c r="B309" s="53" t="str">
        <x:v>RETEN 30-40.5-10-5</x:v>
      </x:c>
      <x:c r="C309" s="38" t="n">
        <x:v>2</x:v>
      </x:c>
      <x:c r="D309" s="181" t="n">
        <x:v>4000</x:v>
      </x:c>
      <x:c r="E309" s="38" t="n">
        <x:v>1</x:v>
      </x:c>
      <x:c r="F309" s="181" t="n">
        <x:v>2000</x:v>
      </x:c>
      <x:c r="G309" s="38" t="n">
        <x:v>1</x:v>
      </x:c>
      <x:c r="H309" s="38" t="n">
        <x:v>0</x:v>
      </x:c>
      <x:c r="I309" s="38" t="n">
        <x:v>629</x:v>
      </x:c>
      <x:c r="J309" s="47" t="n">
        <x:v>0.5</x:v>
      </x:c>
      <x:c r="K309" s="181" t="n">
        <x:v>2000</x:v>
      </x:c>
      <x:c r="L309" s="33" t="str">
        <x:v>Con stock, sin ventas 365d</x:v>
      </x:c>
    </x:row>
    <x:row r="310">
      <x:c r="A310" s="31" t="str">
        <x:v>MOTS1062</x:v>
      </x:c>
      <x:c r="B310" s="53" t="str">
        <x:v>RETEN 33-46-10-5</x:v>
      </x:c>
      <x:c r="C310" s="38" t="n">
        <x:v>9</x:v>
      </x:c>
      <x:c r="D310" s="181" t="n">
        <x:v>18000</x:v>
      </x:c>
      <x:c r="E310" s="38" t="n">
        <x:v>1</x:v>
      </x:c>
      <x:c r="F310" s="181" t="n">
        <x:v>2000</x:v>
      </x:c>
      <x:c r="G310" s="38" t="n">
        <x:v>9</x:v>
      </x:c>
      <x:c r="H310" s="38" t="n">
        <x:v>0</x:v>
      </x:c>
      <x:c r="I310" s="38" t="n">
        <x:v>438</x:v>
      </x:c>
      <x:c r="J310" s="47" t="n">
        <x:v>1</x:v>
      </x:c>
      <x:c r="K310" s="181" t="n">
        <x:v>0</x:v>
      </x:c>
      <x:c r="L310" s="33" t="str">
        <x:v>Con stock, sin ventas 365d</x:v>
      </x:c>
    </x:row>
    <x:row r="311">
      <x:c r="A311" s="31" t="str">
        <x:v>CAB - 036462</x:v>
      </x:c>
      <x:c r="B311" s="53" t="str">
        <x:v>CABLE SEGURO SILLIN B12 GUAYAS Y PARTES</x:v>
      </x:c>
      <x:c r="C311" s="38" t="n">
        <x:v>1</x:v>
      </x:c>
      <x:c r="D311" s="181" t="n">
        <x:v>2000</x:v>
      </x:c>
      <x:c r="E311" s="38" t="n">
        <x:v>1</x:v>
      </x:c>
      <x:c r="F311" s="181" t="n">
        <x:v>2000</x:v>
      </x:c>
      <x:c r="G311" s="38" t="n">
        <x:v>0</x:v>
      </x:c>
      <x:c r="H311" s="38" t="n">
        <x:v>0</x:v>
      </x:c>
      <x:c r="I311" s="38"/>
      <x:c r="J311" s="47" t="n">
        <x:v>0</x:v>
      </x:c>
      <x:c r="K311" s="181" t="n">
        <x:v>2000</x:v>
      </x:c>
      <x:c r="L311" s="33" t="str">
        <x:v>Sin ventas desde compra</x:v>
      </x:c>
    </x:row>
    <x:row r="312">
      <x:c r="A312" s="31" t="str">
        <x:v>EMP - 037666</x:v>
      </x:c>
      <x:c r="B312" s="53" t="str">
        <x:v>EMPAQUE EXOSTO TOP BOY SYK</x:v>
      </x:c>
      <x:c r="C312" s="38" t="n">
        <x:v>2</x:v>
      </x:c>
      <x:c r="D312" s="181" t="n">
        <x:v>2000</x:v>
      </x:c>
      <x:c r="E312" s="38" t="n">
        <x:v>2</x:v>
      </x:c>
      <x:c r="F312" s="181" t="n">
        <x:v>2000</x:v>
      </x:c>
      <x:c r="G312" s="38" t="n">
        <x:v>0</x:v>
      </x:c>
      <x:c r="H312" s="38" t="n">
        <x:v>0</x:v>
      </x:c>
      <x:c r="I312" s="38"/>
      <x:c r="J312" s="47" t="n">
        <x:v>0</x:v>
      </x:c>
      <x:c r="K312" s="181" t="n">
        <x:v>2000</x:v>
      </x:c>
      <x:c r="L312" s="33" t="str">
        <x:v>Sin ventas desde compra</x:v>
      </x:c>
    </x:row>
    <x:row r="313">
      <x:c r="A313" s="31" t="str">
        <x:v>MOTS1160</x:v>
      </x:c>
      <x:c r="B313" s="53" t="str">
        <x:v>CAUCHO POSA PIE DER HAYATE UND</x:v>
      </x:c>
      <x:c r="C313" s="38" t="n">
        <x:v>1</x:v>
      </x:c>
      <x:c r="D313" s="181" t="n">
        <x:v>2000</x:v>
      </x:c>
      <x:c r="E313" s="38" t="n">
        <x:v>1</x:v>
      </x:c>
      <x:c r="F313" s="181" t="n">
        <x:v>2000</x:v>
      </x:c>
      <x:c r="G313" s="38" t="n">
        <x:v>0</x:v>
      </x:c>
      <x:c r="H313" s="38" t="n">
        <x:v>0</x:v>
      </x:c>
      <x:c r="I313" s="38"/>
      <x:c r="J313" s="47" t="n">
        <x:v>0</x:v>
      </x:c>
      <x:c r="K313" s="181" t="n">
        <x:v>2000</x:v>
      </x:c>
      <x:c r="L313" s="33" t="str">
        <x:v>Sin ventas desde compra</x:v>
      </x:c>
    </x:row>
    <x:row r="314">
      <x:c r="A314" s="31" t="str">
        <x:v>MOTS1035</x:v>
      </x:c>
      <x:c r="B314" s="53" t="str">
        <x:v>BOMBILLO TABLERO CON SURE 12 V</x:v>
      </x:c>
      <x:c r="C314" s="38" t="n">
        <x:v>11</x:v>
      </x:c>
      <x:c r="D314" s="181" t="n">
        <x:v>3300</x:v>
      </x:c>
      <x:c r="E314" s="38" t="n">
        <x:v>6</x:v>
      </x:c>
      <x:c r="F314" s="181" t="n">
        <x:v>1800</x:v>
      </x:c>
      <x:c r="G314" s="38" t="n">
        <x:v>5</x:v>
      </x:c>
      <x:c r="H314" s="38" t="n">
        <x:v>4</x:v>
      </x:c>
      <x:c r="I314" s="38" t="n">
        <x:v>206</x:v>
      </x:c>
      <x:c r="J314" s="47" t="n">
        <x:v>0.45454545454545453</x:v>
      </x:c>
      <x:c r="K314" s="181" t="n">
        <x:v>1800</x:v>
      </x:c>
      <x:c r="L314" s="33" t="str">
        <x:v>Rotación baja</x:v>
      </x:c>
    </x:row>
    <x:row r="315">
      <x:c r="A315" s="31" t="str">
        <x:v>5061B1</x:v>
      </x:c>
      <x:c r="B315" s="53" t="str">
        <x:v>EMPAQUE TAPA CLUCTH DISCOVER 135 GPP</x:v>
      </x:c>
      <x:c r="C315" s="38" t="n">
        <x:v>1</x:v>
      </x:c>
      <x:c r="D315" s="181" t="n">
        <x:v>1650</x:v>
      </x:c>
      <x:c r="E315" s="38" t="n">
        <x:v>1</x:v>
      </x:c>
      <x:c r="F315" s="181" t="n">
        <x:v>1650</x:v>
      </x:c>
      <x:c r="G315" s="38" t="n">
        <x:v>0</x:v>
      </x:c>
      <x:c r="H315" s="38" t="n">
        <x:v>0</x:v>
      </x:c>
      <x:c r="I315" s="38"/>
      <x:c r="J315" s="47" t="n">
        <x:v>0</x:v>
      </x:c>
      <x:c r="K315" s="181" t="n">
        <x:v>1650</x:v>
      </x:c>
      <x:c r="L315" s="33" t="str">
        <x:v>Sin ventas desde compra</x:v>
      </x:c>
    </x:row>
    <x:row r="316">
      <x:c r="A316" s="31" t="str">
        <x:v>OR-211</x:v>
      </x:c>
      <x:c r="B316" s="53" t="str">
        <x:v>ORING 7/8</x:v>
      </x:c>
      <x:c r="C316" s="38" t="n">
        <x:v>6</x:v>
      </x:c>
      <x:c r="D316" s="181" t="n">
        <x:v>2010</x:v>
      </x:c>
      <x:c r="E316" s="38" t="n">
        <x:v>4</x:v>
      </x:c>
      <x:c r="F316" s="181" t="n">
        <x:v>1340</x:v>
      </x:c>
      <x:c r="G316" s="38" t="n">
        <x:v>2</x:v>
      </x:c>
      <x:c r="H316" s="38" t="n">
        <x:v>0</x:v>
      </x:c>
      <x:c r="I316" s="38" t="n">
        <x:v>561</x:v>
      </x:c>
      <x:c r="J316" s="47" t="n">
        <x:v>0.3333333333333333</x:v>
      </x:c>
      <x:c r="K316" s="181" t="n">
        <x:v>1340</x:v>
      </x:c>
      <x:c r="L316" s="33" t="str">
        <x:v>Con stock, sin ventas 365d</x:v>
      </x:c>
    </x:row>
    <x:row r="317">
      <x:c r="A317" s="31" t="str">
        <x:v>OR-215</x:v>
      </x:c>
      <x:c r="B317" s="53" t="str">
        <x:v>ORING 11/8</x:v>
      </x:c>
      <x:c r="C317" s="38" t="n">
        <x:v>5</x:v>
      </x:c>
      <x:c r="D317" s="181" t="n">
        <x:v>1675</x:v>
      </x:c>
      <x:c r="E317" s="38" t="n">
        <x:v>4</x:v>
      </x:c>
      <x:c r="F317" s="181" t="n">
        <x:v>1340</x:v>
      </x:c>
      <x:c r="G317" s="38" t="n">
        <x:v>1</x:v>
      </x:c>
      <x:c r="H317" s="38" t="n">
        <x:v>0</x:v>
      </x:c>
      <x:c r="I317" s="38" t="n">
        <x:v>561</x:v>
      </x:c>
      <x:c r="J317" s="47" t="n">
        <x:v>0.2</x:v>
      </x:c>
      <x:c r="K317" s="181" t="n">
        <x:v>1340</x:v>
      </x:c>
      <x:c r="L317" s="33" t="str">
        <x:v>Con stock, sin ventas 365d</x:v>
      </x:c>
    </x:row>
    <x:row r="318">
      <x:c r="A318" s="31" t="str">
        <x:v>OR-219</x:v>
      </x:c>
      <x:c r="B318" s="53" t="str">
        <x:v>ORING 1.3/8</x:v>
      </x:c>
      <x:c r="C318" s="38" t="n">
        <x:v>9</x:v>
      </x:c>
      <x:c r="D318" s="181" t="n">
        <x:v>3015</x:v>
      </x:c>
      <x:c r="E318" s="38" t="n">
        <x:v>4</x:v>
      </x:c>
      <x:c r="F318" s="181" t="n">
        <x:v>1340</x:v>
      </x:c>
      <x:c r="G318" s="38" t="n">
        <x:v>5</x:v>
      </x:c>
      <x:c r="H318" s="38" t="n">
        <x:v>0</x:v>
      </x:c>
      <x:c r="I318" s="38" t="n">
        <x:v>490</x:v>
      </x:c>
      <x:c r="J318" s="47" t="n">
        <x:v>0.5555555555555556</x:v>
      </x:c>
      <x:c r="K318" s="181" t="n">
        <x:v>1340</x:v>
      </x:c>
      <x:c r="L318" s="33" t="str">
        <x:v>Con stock, sin ventas 365d</x:v>
      </x:c>
    </x:row>
    <x:row r="319">
      <x:c r="A319" s="31" t="str">
        <x:v>EMP - 05X060</x:v>
      </x:c>
      <x:c r="B319" s="53" t="str">
        <x:v>EMP TAPA VOLANTE AKT 110/ ATK 125 FLEX/BIZ WAVE/ ECO DARROW</x:v>
      </x:c>
      <x:c r="C319" s="38" t="n">
        <x:v>2</x:v>
      </x:c>
      <x:c r="D319" s="181" t="n">
        <x:v>2500</x:v>
      </x:c>
      <x:c r="E319" s="38" t="n">
        <x:v>1</x:v>
      </x:c>
      <x:c r="F319" s="181" t="n">
        <x:v>1250</x:v>
      </x:c>
      <x:c r="G319" s="38" t="n">
        <x:v>2</x:v>
      </x:c>
      <x:c r="H319" s="38" t="n">
        <x:v>0</x:v>
      </x:c>
      <x:c r="I319" s="38" t="n">
        <x:v>511</x:v>
      </x:c>
      <x:c r="J319" s="47" t="n">
        <x:v>1</x:v>
      </x:c>
      <x:c r="K319" s="181" t="n">
        <x:v>0</x:v>
      </x:c>
      <x:c r="L319" s="33" t="str">
        <x:v>Con stock, sin ventas 365d</x:v>
      </x:c>
    </x:row>
    <x:row r="320">
      <x:c r="A320" s="31" t="str">
        <x:v>TOR - 0379</x:v>
      </x:c>
      <x:c r="B320" s="53" t="str">
        <x:v>TORNILLO UNICO ESTRELLA 6 X10 TORNIFRENOS</x:v>
      </x:c>
      <x:c r="C320" s="38" t="n">
        <x:v>19</x:v>
      </x:c>
      <x:c r="D320" s="181" t="n">
        <x:v>1387</x:v>
      </x:c>
      <x:c r="E320" s="38" t="n">
        <x:v>17</x:v>
      </x:c>
      <x:c r="F320" s="181" t="n">
        <x:v>1241</x:v>
      </x:c>
      <x:c r="G320" s="38" t="n">
        <x:v>2</x:v>
      </x:c>
      <x:c r="H320" s="38" t="n">
        <x:v>0</x:v>
      </x:c>
      <x:c r="I320" s="38" t="n">
        <x:v>557</x:v>
      </x:c>
      <x:c r="J320" s="47" t="n">
        <x:v>0.10526315789473684</x:v>
      </x:c>
      <x:c r="K320" s="181" t="n">
        <x:v>1241</x:v>
      </x:c>
      <x:c r="L320" s="33" t="str">
        <x:v>Con stock, sin ventas 365d</x:v>
      </x:c>
    </x:row>
    <x:row r="321">
      <x:c r="A321" s="31" t="str">
        <x:v>AH730302</x:v>
      </x:c>
      <x:c r="B321" s="53" t="str">
        <x:v>BOMBILLO HS PR 225 12 V SUPER WHITHE DUNA</x:v>
      </x:c>
      <x:c r="C321" s="38" t="n">
        <x:v>1</x:v>
      </x:c>
      <x:c r="D321" s="181" t="n">
        <x:v>1200</x:v>
      </x:c>
      <x:c r="E321" s="38" t="n">
        <x:v>1</x:v>
      </x:c>
      <x:c r="F321" s="181" t="n">
        <x:v>1200</x:v>
      </x:c>
      <x:c r="G321" s="38" t="n">
        <x:v>0</x:v>
      </x:c>
      <x:c r="H321" s="38" t="n">
        <x:v>0</x:v>
      </x:c>
      <x:c r="I321" s="38"/>
      <x:c r="J321" s="47" t="n">
        <x:v>0</x:v>
      </x:c>
      <x:c r="K321" s="181" t="n">
        <x:v>1200</x:v>
      </x:c>
      <x:c r="L321" s="33" t="str">
        <x:v>Sin ventas desde compra</x:v>
      </x:c>
    </x:row>
    <x:row r="322">
      <x:c r="A322" s="31" t="str">
        <x:v>2061</x:v>
      </x:c>
      <x:c r="B322" s="53" t="str">
        <x:v>WASA PRESION 8MM TORNIFRENOS</x:v>
      </x:c>
      <x:c r="C322" s="38" t="n">
        <x:v>55</x:v>
      </x:c>
      <x:c r="D322" s="181" t="n">
        <x:v>1760</x:v>
      </x:c>
      <x:c r="E322" s="38" t="n">
        <x:v>36</x:v>
      </x:c>
      <x:c r="F322" s="181" t="n">
        <x:v>1152</x:v>
      </x:c>
      <x:c r="G322" s="38" t="n">
        <x:v>23</x:v>
      </x:c>
      <x:c r="H322" s="38" t="n">
        <x:v>6</x:v>
      </x:c>
      <x:c r="I322" s="38" t="n">
        <x:v>192</x:v>
      </x:c>
      <x:c r="J322" s="47" t="n">
        <x:v>0.41818181818181815</x:v>
      </x:c>
      <x:c r="K322" s="181" t="n">
        <x:v>1024</x:v>
      </x:c>
      <x:c r="L322" s="33" t="str">
        <x:v>Rotación baja</x:v>
      </x:c>
    </x:row>
    <x:row r="323">
      <x:c r="A323" s="31" t="str">
        <x:v>OR-221</x:v>
      </x:c>
      <x:c r="B323" s="53" t="str">
        <x:v>ORING 1.7/16</x:v>
      </x:c>
      <x:c r="C323" s="38" t="n">
        <x:v>9</x:v>
      </x:c>
      <x:c r="D323" s="181" t="n">
        <x:v>3015</x:v>
      </x:c>
      <x:c r="E323" s="38" t="n">
        <x:v>3</x:v>
      </x:c>
      <x:c r="F323" s="181" t="n">
        <x:v>1005</x:v>
      </x:c>
      <x:c r="G323" s="38" t="n">
        <x:v>6</x:v>
      </x:c>
      <x:c r="H323" s="38" t="n">
        <x:v>0</x:v>
      </x:c>
      <x:c r="I323" s="38" t="n">
        <x:v>678</x:v>
      </x:c>
      <x:c r="J323" s="47" t="n">
        <x:v>0.6666666666666666</x:v>
      </x:c>
      <x:c r="K323" s="181" t="n">
        <x:v>1005</x:v>
      </x:c>
      <x:c r="L323" s="33" t="str">
        <x:v>Con stock, sin ventas 365d</x:v>
      </x:c>
    </x:row>
    <x:row r="324">
      <x:c r="A324" s="31" t="str">
        <x:v>OR-111</x:v>
      </x:c>
      <x:c r="B324" s="53" t="str">
        <x:v>ORING 5/8</x:v>
      </x:c>
      <x:c r="C324" s="38" t="n">
        <x:v>3</x:v>
      </x:c>
      <x:c r="D324" s="181" t="n">
        <x:v>1005</x:v>
      </x:c>
      <x:c r="E324" s="38" t="n">
        <x:v>3</x:v>
      </x:c>
      <x:c r="F324" s="181" t="n">
        <x:v>1005</x:v>
      </x:c>
      <x:c r="G324" s="38" t="n">
        <x:v>0</x:v>
      </x:c>
      <x:c r="H324" s="38" t="n">
        <x:v>0</x:v>
      </x:c>
      <x:c r="I324" s="38"/>
      <x:c r="J324" s="47" t="n">
        <x:v>0</x:v>
      </x:c>
      <x:c r="K324" s="181" t="n">
        <x:v>1005</x:v>
      </x:c>
      <x:c r="L324" s="33" t="str">
        <x:v>Sin ventas desde compra</x:v>
      </x:c>
    </x:row>
    <x:row r="325">
      <x:c r="A325" s="31" t="str">
        <x:v>OR-325</x:v>
      </x:c>
      <x:c r="B325" s="53" t="str">
        <x:v>ORING 1.1/2</x:v>
      </x:c>
      <x:c r="C325" s="38" t="n">
        <x:v>3</x:v>
      </x:c>
      <x:c r="D325" s="181" t="n">
        <x:v>1005</x:v>
      </x:c>
      <x:c r="E325" s="38" t="n">
        <x:v>3</x:v>
      </x:c>
      <x:c r="F325" s="181" t="n">
        <x:v>1005</x:v>
      </x:c>
      <x:c r="G325" s="38" t="n">
        <x:v>0</x:v>
      </x:c>
      <x:c r="H325" s="38" t="n">
        <x:v>0</x:v>
      </x:c>
      <x:c r="I325" s="38"/>
      <x:c r="J325" s="47" t="n">
        <x:v>0</x:v>
      </x:c>
      <x:c r="K325" s="181" t="n">
        <x:v>1005</x:v>
      </x:c>
      <x:c r="L325" s="33" t="str">
        <x:v>Sin ventas desde compra</x:v>
      </x:c>
    </x:row>
    <x:row r="326">
      <x:c r="A326" s="31" t="str">
        <x:v>MOTS1131</x:v>
      </x:c>
      <x:c r="B326" s="53" t="str">
        <x:v>WASA PRESION 14MM TORNIFRENOS</x:v>
      </x:c>
      <x:c r="C326" s="38" t="n">
        <x:v>19</x:v>
      </x:c>
      <x:c r="D326" s="181" t="n">
        <x:v>931</x:v>
      </x:c>
      <x:c r="E326" s="38" t="n">
        <x:v>19</x:v>
      </x:c>
      <x:c r="F326" s="181" t="n">
        <x:v>931</x:v>
      </x:c>
      <x:c r="G326" s="38" t="n">
        <x:v>0</x:v>
      </x:c>
      <x:c r="H326" s="38" t="n">
        <x:v>0</x:v>
      </x:c>
      <x:c r="I326" s="38"/>
      <x:c r="J326" s="47" t="n">
        <x:v>0</x:v>
      </x:c>
      <x:c r="K326" s="181" t="n">
        <x:v>931</x:v>
      </x:c>
      <x:c r="L326" s="33" t="str">
        <x:v>Sin ventas desde compra</x:v>
      </x:c>
    </x:row>
    <x:row r="327">
      <x:c r="A327" s="31" t="str">
        <x:v>MOTS1317</x:v>
      </x:c>
      <x:c r="B327" s="53" t="str">
        <x:v>BOMBILLO TABLERO 12V DUNA</x:v>
      </x:c>
      <x:c r="C327" s="38" t="n">
        <x:v>20</x:v>
      </x:c>
      <x:c r="D327" s="181" t="n">
        <x:v>6000</x:v>
      </x:c>
      <x:c r="E327" s="38" t="n">
        <x:v>3</x:v>
      </x:c>
      <x:c r="F327" s="181" t="n">
        <x:v>900</x:v>
      </x:c>
      <x:c r="G327" s="38" t="n">
        <x:v>17</x:v>
      </x:c>
      <x:c r="H327" s="38" t="n">
        <x:v>0</x:v>
      </x:c>
      <x:c r="I327" s="38" t="n">
        <x:v>669</x:v>
      </x:c>
      <x:c r="J327" s="47" t="n">
        <x:v>0.85</x:v>
      </x:c>
      <x:c r="K327" s="181" t="n">
        <x:v>900</x:v>
      </x:c>
      <x:c r="L327" s="33" t="str">
        <x:v>Con stock, sin ventas 365d</x:v>
      </x:c>
    </x:row>
    <x:row r="328">
      <x:c r="A328" s="31" t="str">
        <x:v>TOR - 0408</x:v>
      </x:c>
      <x:c r="B328" s="53" t="str">
        <x:v>TORNILLO BRISTOL 6 X50 TORNIFRENOS</x:v>
      </x:c>
      <x:c r="C328" s="38" t="n">
        <x:v>4</x:v>
      </x:c>
      <x:c r="D328" s="181" t="n">
        <x:v>1400</x:v>
      </x:c>
      <x:c r="E328" s="38" t="n">
        <x:v>2</x:v>
      </x:c>
      <x:c r="F328" s="181" t="n">
        <x:v>700</x:v>
      </x:c>
      <x:c r="G328" s="38" t="n">
        <x:v>2</x:v>
      </x:c>
      <x:c r="H328" s="38" t="n">
        <x:v>0</x:v>
      </x:c>
      <x:c r="I328" s="38" t="n">
        <x:v>651</x:v>
      </x:c>
      <x:c r="J328" s="47" t="n">
        <x:v>0.5</x:v>
      </x:c>
      <x:c r="K328" s="181" t="n">
        <x:v>700</x:v>
      </x:c>
      <x:c r="L328" s="33" t="str">
        <x:v>Con stock, sin ventas 365d</x:v>
      </x:c>
    </x:row>
    <x:row r="329">
      <x:c r="A329" s="31" t="str">
        <x:v>GUA - 006</x:v>
      </x:c>
      <x:c r="B329" s="53" t="str">
        <x:v>CABLE GUAYA TRENZADO ACELERADOR</x:v>
      </x:c>
      <x:c r="C329" s="38" t="n">
        <x:v>8</x:v>
      </x:c>
      <x:c r="D329" s="181" t="n">
        <x:v>5600</x:v>
      </x:c>
      <x:c r="E329" s="38" t="n">
        <x:v>1</x:v>
      </x:c>
      <x:c r="F329" s="181" t="n">
        <x:v>700</x:v>
      </x:c>
      <x:c r="G329" s="38" t="n">
        <x:v>7</x:v>
      </x:c>
      <x:c r="H329" s="38" t="n">
        <x:v>0</x:v>
      </x:c>
      <x:c r="I329" s="38" t="n">
        <x:v>621</x:v>
      </x:c>
      <x:c r="J329" s="47" t="n">
        <x:v>0.875</x:v>
      </x:c>
      <x:c r="K329" s="181" t="n">
        <x:v>700</x:v>
      </x:c>
      <x:c r="L329" s="33" t="str">
        <x:v>Con stock, sin ventas 365d</x:v>
      </x:c>
    </x:row>
    <x:row r="330">
      <x:c r="A330" s="31" t="str">
        <x:v>TOR - 0360</x:v>
      </x:c>
      <x:c r="B330" s="53" t="str">
        <x:v>TORNILLO ESTRELLA 6 X30 TORNIFRENOS</x:v>
      </x:c>
      <x:c r="C330" s="38" t="n">
        <x:v>4</x:v>
      </x:c>
      <x:c r="D330" s="181" t="n">
        <x:v>584</x:v>
      </x:c>
      <x:c r="E330" s="38" t="n">
        <x:v>4</x:v>
      </x:c>
      <x:c r="F330" s="181" t="n">
        <x:v>584</x:v>
      </x:c>
      <x:c r="G330" s="38" t="n">
        <x:v>0</x:v>
      </x:c>
      <x:c r="H330" s="38" t="n">
        <x:v>0</x:v>
      </x:c>
      <x:c r="I330" s="38"/>
      <x:c r="J330" s="47" t="n">
        <x:v>0</x:v>
      </x:c>
      <x:c r="K330" s="181" t="n">
        <x:v>584</x:v>
      </x:c>
      <x:c r="L330" s="33" t="str">
        <x:v>Sin ventas desde compra</x:v>
      </x:c>
    </x:row>
    <x:row r="331">
      <x:c r="A331" s="31" t="str">
        <x:v>TER-0091</x:v>
      </x:c>
      <x:c r="B331" s="53" t="str">
        <x:v>TERMINAL TUBOLAR (MACHO</x:v>
      </x:c>
      <x:c r="C331" s="38" t="n">
        <x:v>60</x:v>
      </x:c>
      <x:c r="D331" s="181" t="n">
        <x:v>4140</x:v>
      </x:c>
      <x:c r="E331" s="38" t="n">
        <x:v>5</x:v>
      </x:c>
      <x:c r="F331" s="181" t="n">
        <x:v>345</x:v>
      </x:c>
      <x:c r="G331" s="38" t="n">
        <x:v>60</x:v>
      </x:c>
      <x:c r="H331" s="38" t="n">
        <x:v>0</x:v>
      </x:c>
      <x:c r="I331" s="38" t="n">
        <x:v>530</x:v>
      </x:c>
      <x:c r="J331" s="47" t="n">
        <x:v>1</x:v>
      </x:c>
      <x:c r="K331" s="181" t="n">
        <x:v>0</x:v>
      </x:c>
      <x:c r="L331" s="33" t="str">
        <x:v>Con stock, sin ventas 365d</x:v>
      </x:c>
    </x:row>
    <x:row r="332">
      <x:c r="A332" s="31" t="str">
        <x:v>OR-210</x:v>
      </x:c>
      <x:c r="B332" s="53" t="str">
        <x:v>ORING 13/16</x:v>
      </x:c>
      <x:c r="C332" s="38" t="n">
        <x:v>6</x:v>
      </x:c>
      <x:c r="D332" s="181" t="n">
        <x:v>2010</x:v>
      </x:c>
      <x:c r="E332" s="38" t="n">
        <x:v>1</x:v>
      </x:c>
      <x:c r="F332" s="181" t="n">
        <x:v>335</x:v>
      </x:c>
      <x:c r="G332" s="38" t="n">
        <x:v>5</x:v>
      </x:c>
      <x:c r="H332" s="38" t="n">
        <x:v>0</x:v>
      </x:c>
      <x:c r="I332" s="38" t="n">
        <x:v>673</x:v>
      </x:c>
      <x:c r="J332" s="47" t="n">
        <x:v>0.8333333333333334</x:v>
      </x:c>
      <x:c r="K332" s="181" t="n">
        <x:v>335</x:v>
      </x:c>
      <x:c r="L332" s="33" t="str">
        <x:v>Con stock, sin ventas 365d</x:v>
      </x:c>
    </x:row>
    <x:row r="333">
      <x:c r="A333" s="31" t="str">
        <x:v>OR-216</x:v>
      </x:c>
      <x:c r="B333" s="53" t="str">
        <x:v>ORING 13/16</x:v>
      </x:c>
      <x:c r="C333" s="38" t="n">
        <x:v>4</x:v>
      </x:c>
      <x:c r="D333" s="181" t="n">
        <x:v>1340</x:v>
      </x:c>
      <x:c r="E333" s="38" t="n">
        <x:v>1</x:v>
      </x:c>
      <x:c r="F333" s="181" t="n">
        <x:v>335</x:v>
      </x:c>
      <x:c r="G333" s="38" t="n">
        <x:v>3</x:v>
      </x:c>
      <x:c r="H333" s="38" t="n">
        <x:v>0</x:v>
      </x:c>
      <x:c r="I333" s="38" t="n">
        <x:v>397</x:v>
      </x:c>
      <x:c r="J333" s="47" t="n">
        <x:v>0.75</x:v>
      </x:c>
      <x:c r="K333" s="181" t="n">
        <x:v>335</x:v>
      </x:c>
      <x:c r="L333" s="33" t="str">
        <x:v>Con stock, sin ventas 365d</x:v>
      </x:c>
    </x:row>
    <x:row r="334">
      <x:c r="A334" s="31" t="str">
        <x:v>MOTS1187</x:v>
      </x:c>
      <x:c r="B334" s="53" t="str">
        <x:v>RESORTE STOP TROMPO UNIVERSAL</x:v>
      </x:c>
      <x:c r="C334" s="38" t="n">
        <x:v>6</x:v>
      </x:c>
      <x:c r="D334" s="181" t="n">
        <x:v>1800</x:v>
      </x:c>
      <x:c r="E334" s="38" t="n">
        <x:v>1</x:v>
      </x:c>
      <x:c r="F334" s="181" t="n">
        <x:v>300</x:v>
      </x:c>
      <x:c r="G334" s="38" t="n">
        <x:v>6</x:v>
      </x:c>
      <x:c r="H334" s="38" t="n">
        <x:v>0</x:v>
      </x:c>
      <x:c r="I334" s="38" t="n">
        <x:v>509</x:v>
      </x:c>
      <x:c r="J334" s="47" t="n">
        <x:v>1</x:v>
      </x:c>
      <x:c r="K334" s="181" t="n">
        <x:v>0</x:v>
      </x:c>
      <x:c r="L334" s="33" t="str">
        <x:v>Con stock, sin ventas 365d</x:v>
      </x:c>
    </x:row>
    <x:row r="335">
      <x:c r="A335" s="34" t="str">
        <x:v>MOTS1311</x:v>
      </x:c>
      <x:c r="B335" s="54" t="str">
        <x:v>TUERCA No. 6</x:v>
      </x:c>
      <x:c r="C335" s="39" t="n">
        <x:v>172</x:v>
      </x:c>
      <x:c r="D335" s="182" t="n">
        <x:v>8600</x:v>
      </x:c>
      <x:c r="E335" s="39" t="n">
        <x:v>1</x:v>
      </x:c>
      <x:c r="F335" s="182" t="n">
        <x:v>50</x:v>
      </x:c>
      <x:c r="G335" s="39" t="n">
        <x:v>172</x:v>
      </x:c>
      <x:c r="H335" s="39" t="n">
        <x:v>0</x:v>
      </x:c>
      <x:c r="I335" s="39" t="n">
        <x:v>564</x:v>
      </x:c>
      <x:c r="J335" s="48" t="n">
        <x:v>1</x:v>
      </x:c>
      <x:c r="K335" s="182" t="n">
        <x:v>0</x:v>
      </x:c>
      <x:c r="L335" s="36" t="str">
        <x:v>Con stock, sin ventas 365d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0654484539a14a0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43" hidden="0" customWidth="1"/>
    <x:col min="3" max="3" width="11" hidden="0" customWidth="1"/>
    <x:col min="4" max="4" width="14" hidden="0" customWidth="1"/>
    <x:col min="5" max="5" width="12" hidden="0" customWidth="1"/>
    <x:col min="6" max="6" width="14" hidden="0" customWidth="1"/>
    <x:col min="7" max="7" width="11" hidden="0" customWidth="1"/>
    <x:col min="8" max="8" width="15" hidden="0" customWidth="1"/>
    <x:col min="9" max="9" width="15" hidden="0" customWidth="1"/>
    <x:col min="10" max="10" width="11" hidden="0" customWidth="1"/>
    <x:col min="11" max="11" width="10" hidden="0" customWidth="1"/>
    <x:col min="12" max="12" width="10" hidden="0" customWidth="1"/>
  </x:cols>
  <x:sheetData>
    <x:row r="1" ht="32" customHeight="1">
      <x:c r="A1" s="3" t="str">
        <x:v>Top 25 · Mayor utilidad bruta estimada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24" customHeight="1">
      <x:c r="A2" s="6" t="str">
        <x:v>Estimación de cohorte: unidades absorbidas × precio promedio de venta observado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4" ht="32" customHeight="1">
      <x:c r="A4" s="15" t="str">
        <x:v>SKU</x:v>
      </x:c>
      <x:c r="B4" s="16" t="str">
        <x:v>Producto</x:v>
      </x:c>
      <x:c r="C4" s="16" t="str">
        <x:v>Compra unid.</x:v>
      </x:c>
      <x:c r="D4" s="16" t="str">
        <x:v>Costo factura</x:v>
      </x:c>
      <x:c r="E4" s="16" t="str">
        <x:v>Vendidas desde</x:v>
      </x:c>
      <x:c r="F4" s="16" t="str">
        <x:v>Ventas desde</x:v>
      </x:c>
      <x:c r="G4" s="16" t="str">
        <x:v>Sell-through</x:v>
      </x:c>
      <x:c r="H4" s="16" t="str">
        <x:v>Ingreso cohorte est.</x:v>
      </x:c>
      <x:c r="I4" s="16" t="str">
        <x:v>Utilidad bruta est.</x:v>
      </x:c>
      <x:c r="J4" s="16" t="str">
        <x:v>Margen est.</x:v>
      </x:c>
      <x:c r="K4" s="16" t="str">
        <x:v>Stock</x:v>
      </x:c>
      <x:c r="L4" s="17" t="str">
        <x:v>Unid. 365d</x:v>
      </x:c>
    </x:row>
    <x:row r="5">
      <x:c r="A5" s="28" t="str">
        <x:v>MOTS1225</x:v>
      </x:c>
      <x:c r="B5" s="52" t="str">
        <x:v>BALINERA 6205 C3 KOYO</x:v>
      </x:c>
      <x:c r="C5" s="37" t="n">
        <x:v>8</x:v>
      </x:c>
      <x:c r="D5" s="180" t="n">
        <x:v>32000</x:v>
      </x:c>
      <x:c r="E5" s="37" t="n">
        <x:v>8</x:v>
      </x:c>
      <x:c r="F5" s="180" t="n">
        <x:v>134000</x:v>
      </x:c>
      <x:c r="G5" s="46" t="n">
        <x:v>1</x:v>
      </x:c>
      <x:c r="H5" s="180" t="n">
        <x:v>134000</x:v>
      </x:c>
      <x:c r="I5" s="180" t="n">
        <x:v>102000</x:v>
      </x:c>
      <x:c r="J5" s="46" t="n">
        <x:v>0.7611940298507462</x:v>
      </x:c>
      <x:c r="K5" s="37" t="n">
        <x:v>4</x:v>
      </x:c>
      <x:c r="L5" s="183" t="n">
        <x:v>0</x:v>
      </x:c>
    </x:row>
    <x:row r="6">
      <x:c r="A6" s="31" t="str">
        <x:v>MOTS1297</x:v>
      </x:c>
      <x:c r="B6" s="53" t="str">
        <x:v>ACEITE CASTROS 20 W 50</x:v>
      </x:c>
      <x:c r="C6" s="38" t="n">
        <x:v>15</x:v>
      </x:c>
      <x:c r="D6" s="181" t="n">
        <x:v>315690</x:v>
      </x:c>
      <x:c r="E6" s="38" t="n">
        <x:v>1120</x:v>
      </x:c>
      <x:c r="F6" s="181" t="n">
        <x:v>30229400</x:v>
      </x:c>
      <x:c r="G6" s="47" t="n">
        <x:v>1</x:v>
      </x:c>
      <x:c r="H6" s="181" t="n">
        <x:v>404858.0357142857</x:v>
      </x:c>
      <x:c r="I6" s="181" t="n">
        <x:v>89168.03571428568</x:v>
      </x:c>
      <x:c r="J6" s="47" t="n">
        <x:v>0.22024519176695528</x:v>
      </x:c>
      <x:c r="K6" s="38" t="n">
        <x:v>133</x:v>
      </x:c>
      <x:c r="L6" s="184" t="n">
        <x:v>375</x:v>
      </x:c>
    </x:row>
    <x:row r="7">
      <x:c r="A7" s="31" t="str">
        <x:v>MOTS1015</x:v>
      </x:c>
      <x:c r="B7" s="53" t="str">
        <x:v>HIDRAULICO AW 68 1/4 GALON POTENSOIL</x:v>
      </x:c>
      <x:c r="C7" s="38" t="n">
        <x:v>11</x:v>
      </x:c>
      <x:c r="D7" s="181" t="n">
        <x:v>104500</x:v>
      </x:c>
      <x:c r="E7" s="38" t="n">
        <x:v>11</x:v>
      </x:c>
      <x:c r="F7" s="181" t="n">
        <x:v>173000</x:v>
      </x:c>
      <x:c r="G7" s="47" t="n">
        <x:v>1</x:v>
      </x:c>
      <x:c r="H7" s="181" t="n">
        <x:v>173000</x:v>
      </x:c>
      <x:c r="I7" s="181" t="n">
        <x:v>68500</x:v>
      </x:c>
      <x:c r="J7" s="47" t="n">
        <x:v>0.3959537572254335</x:v>
      </x:c>
      <x:c r="K7" s="38" t="n">
        <x:v>1</x:v>
      </x:c>
      <x:c r="L7" s="184" t="n">
        <x:v>0</x:v>
      </x:c>
    </x:row>
    <x:row r="8">
      <x:c r="A8" s="31" t="str">
        <x:v>2120</x:v>
      </x:c>
      <x:c r="B8" s="53" t="str">
        <x:v>BUJIA D8EA NGK</x:v>
      </x:c>
      <x:c r="C8" s="38" t="n">
        <x:v>16</x:v>
      </x:c>
      <x:c r="D8" s="181" t="n">
        <x:v>92800</x:v>
      </x:c>
      <x:c r="E8" s="38" t="n">
        <x:v>16</x:v>
      </x:c>
      <x:c r="F8" s="181" t="n">
        <x:v>160000</x:v>
      </x:c>
      <x:c r="G8" s="47" t="n">
        <x:v>1</x:v>
      </x:c>
      <x:c r="H8" s="181" t="n">
        <x:v>160000</x:v>
      </x:c>
      <x:c r="I8" s="181" t="n">
        <x:v>67200</x:v>
      </x:c>
      <x:c r="J8" s="47" t="n">
        <x:v>0.42</x:v>
      </x:c>
      <x:c r="K8" s="38" t="n">
        <x:v>1</x:v>
      </x:c>
      <x:c r="L8" s="184" t="n">
        <x:v>0</x:v>
      </x:c>
    </x:row>
    <x:row r="9">
      <x:c r="A9" s="31" t="str">
        <x:v>MOTS1296</x:v>
      </x:c>
      <x:c r="B9" s="53" t="str">
        <x:v>CABLE ALTA METRO</x:v>
      </x:c>
      <x:c r="C9" s="38" t="n">
        <x:v>32</x:v>
      </x:c>
      <x:c r="D9" s="181" t="n">
        <x:v>19840</x:v>
      </x:c>
      <x:c r="E9" s="38" t="n">
        <x:v>32</x:v>
      </x:c>
      <x:c r="F9" s="181" t="n">
        <x:v>77000</x:v>
      </x:c>
      <x:c r="G9" s="47" t="n">
        <x:v>1</x:v>
      </x:c>
      <x:c r="H9" s="181" t="n">
        <x:v>77000</x:v>
      </x:c>
      <x:c r="I9" s="181" t="n">
        <x:v>57160</x:v>
      </x:c>
      <x:c r="J9" s="47" t="n">
        <x:v>0.7423376623376623</x:v>
      </x:c>
      <x:c r="K9" s="38" t="n">
        <x:v>7</x:v>
      </x:c>
      <x:c r="L9" s="184" t="n">
        <x:v>5</x:v>
      </x:c>
    </x:row>
    <x:row r="10">
      <x:c r="A10" s="31" t="str">
        <x:v>408772</x:v>
      </x:c>
      <x:c r="B10" s="53" t="str">
        <x:v>NEUMATICO 2,75/300-18 2BR MOTOR</x:v>
      </x:c>
      <x:c r="C10" s="38" t="n">
        <x:v>9</x:v>
      </x:c>
      <x:c r="D10" s="181" t="n">
        <x:v>85500</x:v>
      </x:c>
      <x:c r="E10" s="38" t="n">
        <x:v>9</x:v>
      </x:c>
      <x:c r="F10" s="181" t="n">
        <x:v>138000</x:v>
      </x:c>
      <x:c r="G10" s="47" t="n">
        <x:v>1</x:v>
      </x:c>
      <x:c r="H10" s="181" t="n">
        <x:v>138000</x:v>
      </x:c>
      <x:c r="I10" s="181" t="n">
        <x:v>52500</x:v>
      </x:c>
      <x:c r="J10" s="47" t="n">
        <x:v>0.3804347826086957</x:v>
      </x:c>
      <x:c r="K10" s="38" t="n">
        <x:v>0</x:v>
      </x:c>
      <x:c r="L10" s="184" t="n">
        <x:v>0</x:v>
      </x:c>
    </x:row>
    <x:row r="11">
      <x:c r="A11" s="31" t="str">
        <x:v>BOM - 069</x:v>
      </x:c>
      <x:c r="B11" s="53" t="str">
        <x:v>BOMBILLO BAYHONETA LED</x:v>
      </x:c>
      <x:c r="C11" s="38" t="n">
        <x:v>49</x:v>
      </x:c>
      <x:c r="D11" s="181" t="n">
        <x:v>122500</x:v>
      </x:c>
      <x:c r="E11" s="38" t="n">
        <x:v>30</x:v>
      </x:c>
      <x:c r="F11" s="181" t="n">
        <x:v>126900</x:v>
      </x:c>
      <x:c r="G11" s="47" t="n">
        <x:v>0.6122448979591837</x:v>
      </x:c>
      <x:c r="H11" s="181" t="n">
        <x:v>126900</x:v>
      </x:c>
      <x:c r="I11" s="181" t="n">
        <x:v>51900</x:v>
      </x:c>
      <x:c r="J11" s="47" t="n">
        <x:v>0.408983451536643</x:v>
      </x:c>
      <x:c r="K11" s="38" t="n">
        <x:v>20</x:v>
      </x:c>
      <x:c r="L11" s="184" t="n">
        <x:v>1</x:v>
      </x:c>
    </x:row>
    <x:row r="12">
      <x:c r="A12" s="31" t="str">
        <x:v>43689</x:v>
      </x:c>
      <x:c r="B12" s="53" t="str">
        <x:v>CILINDRO KIT FZ</x:v>
      </x:c>
      <x:c r="C12" s="38" t="n">
        <x:v>1</x:v>
      </x:c>
      <x:c r="D12" s="181" t="n">
        <x:v>93250</x:v>
      </x:c>
      <x:c r="E12" s="38" t="n">
        <x:v>2</x:v>
      </x:c>
      <x:c r="F12" s="181" t="n">
        <x:v>285000</x:v>
      </x:c>
      <x:c r="G12" s="47" t="n">
        <x:v>1</x:v>
      </x:c>
      <x:c r="H12" s="181" t="n">
        <x:v>142500</x:v>
      </x:c>
      <x:c r="I12" s="181" t="n">
        <x:v>49250</x:v>
      </x:c>
      <x:c r="J12" s="47" t="n">
        <x:v>0.3456140350877193</x:v>
      </x:c>
      <x:c r="K12" s="38" t="n">
        <x:v>2</x:v>
      </x:c>
      <x:c r="L12" s="184" t="n">
        <x:v>1</x:v>
      </x:c>
    </x:row>
    <x:row r="13">
      <x:c r="A13" s="31" t="str">
        <x:v>MOTS1243</x:v>
      </x:c>
      <x:c r="B13" s="53" t="str">
        <x:v>BALINERA 6304 C3 KOYO</x:v>
      </x:c>
      <x:c r="C13" s="38" t="n">
        <x:v>4</x:v>
      </x:c>
      <x:c r="D13" s="181" t="n">
        <x:v>54000</x:v>
      </x:c>
      <x:c r="E13" s="38" t="n">
        <x:v>4</x:v>
      </x:c>
      <x:c r="F13" s="181" t="n">
        <x:v>101000</x:v>
      </x:c>
      <x:c r="G13" s="47" t="n">
        <x:v>1</x:v>
      </x:c>
      <x:c r="H13" s="181" t="n">
        <x:v>101000</x:v>
      </x:c>
      <x:c r="I13" s="181" t="n">
        <x:v>47000</x:v>
      </x:c>
      <x:c r="J13" s="47" t="n">
        <x:v>0.46534653465346537</x:v>
      </x:c>
      <x:c r="K13" s="38" t="n">
        <x:v>9</x:v>
      </x:c>
      <x:c r="L13" s="184" t="n">
        <x:v>0</x:v>
      </x:c>
    </x:row>
    <x:row r="14">
      <x:c r="A14" s="31" t="str">
        <x:v>MOTS1251</x:v>
      </x:c>
      <x:c r="B14" s="53" t="str">
        <x:v>PASTILLAS FRENO PULSAR 200 NS TRA BAJAS</x:v>
      </x:c>
      <x:c r="C14" s="38" t="n">
        <x:v>4</x:v>
      </x:c>
      <x:c r="D14" s="181" t="n">
        <x:v>29200</x:v>
      </x:c>
      <x:c r="E14" s="38" t="n">
        <x:v>4</x:v>
      </x:c>
      <x:c r="F14" s="181" t="n">
        <x:v>72000</x:v>
      </x:c>
      <x:c r="G14" s="47" t="n">
        <x:v>1</x:v>
      </x:c>
      <x:c r="H14" s="181" t="n">
        <x:v>72000</x:v>
      </x:c>
      <x:c r="I14" s="181" t="n">
        <x:v>42800</x:v>
      </x:c>
      <x:c r="J14" s="47" t="n">
        <x:v>0.5944444444444444</x:v>
      </x:c>
      <x:c r="K14" s="38" t="n">
        <x:v>0</x:v>
      </x:c>
      <x:c r="L14" s="184" t="n">
        <x:v>0</x:v>
      </x:c>
    </x:row>
    <x:row r="15">
      <x:c r="A15" s="31" t="str">
        <x:v>MOTS1298</x:v>
      </x:c>
      <x:c r="B15" s="53" t="str">
        <x:v>MANGUERA GASOLINA MT ORIGINAL</x:v>
      </x:c>
      <x:c r="C15" s="38" t="n">
        <x:v>28</x:v>
      </x:c>
      <x:c r="D15" s="181" t="n">
        <x:v>14000</x:v>
      </x:c>
      <x:c r="E15" s="38" t="n">
        <x:v>108</x:v>
      </x:c>
      <x:c r="F15" s="181" t="n">
        <x:v>210000</x:v>
      </x:c>
      <x:c r="G15" s="47" t="n">
        <x:v>1</x:v>
      </x:c>
      <x:c r="H15" s="181" t="n">
        <x:v>54444.44444444444</x:v>
      </x:c>
      <x:c r="I15" s="181" t="n">
        <x:v>40444.44444444444</x:v>
      </x:c>
      <x:c r="J15" s="47" t="n">
        <x:v>0.7428571428571428</x:v>
      </x:c>
      <x:c r="K15" s="38" t="n">
        <x:v>8</x:v>
      </x:c>
      <x:c r="L15" s="184" t="n">
        <x:v>0</x:v>
      </x:c>
    </x:row>
    <x:row r="16">
      <x:c r="A16" s="31" t="str">
        <x:v>902263</x:v>
      </x:c>
      <x:c r="B16" s="53" t="str">
        <x:v>MANIGUETA DER CA 100 SPLENDOR JAPAN</x:v>
      </x:c>
      <x:c r="C16" s="38" t="n">
        <x:v>10</x:v>
      </x:c>
      <x:c r="D16" s="181" t="n">
        <x:v>63000</x:v>
      </x:c>
      <x:c r="E16" s="38" t="n">
        <x:v>10</x:v>
      </x:c>
      <x:c r="F16" s="181" t="n">
        <x:v>102500</x:v>
      </x:c>
      <x:c r="G16" s="47" t="n">
        <x:v>1</x:v>
      </x:c>
      <x:c r="H16" s="181" t="n">
        <x:v>102500</x:v>
      </x:c>
      <x:c r="I16" s="181" t="n">
        <x:v>39500</x:v>
      </x:c>
      <x:c r="J16" s="47" t="n">
        <x:v>0.3853658536585366</x:v>
      </x:c>
      <x:c r="K16" s="38" t="n">
        <x:v>3</x:v>
      </x:c>
      <x:c r="L16" s="184" t="n">
        <x:v>0</x:v>
      </x:c>
    </x:row>
    <x:row r="17">
      <x:c r="A17" s="31" t="str">
        <x:v>43979</x:v>
      </x:c>
      <x:c r="B17" s="53" t="str">
        <x:v>MANUBRIO XTZ 125</x:v>
      </x:c>
      <x:c r="C17" s="38" t="n">
        <x:v>2</x:v>
      </x:c>
      <x:c r="D17" s="181" t="n">
        <x:v>43100</x:v>
      </x:c>
      <x:c r="E17" s="38" t="n">
        <x:v>9</x:v>
      </x:c>
      <x:c r="F17" s="181" t="n">
        <x:v>368000</x:v>
      </x:c>
      <x:c r="G17" s="47" t="n">
        <x:v>1</x:v>
      </x:c>
      <x:c r="H17" s="181" t="n">
        <x:v>81777.77777777778</x:v>
      </x:c>
      <x:c r="I17" s="181" t="n">
        <x:v>38677.77777777778</x:v>
      </x:c>
      <x:c r="J17" s="47" t="n">
        <x:v>0.47296195652173917</x:v>
      </x:c>
      <x:c r="K17" s="38" t="n">
        <x:v>0</x:v>
      </x:c>
      <x:c r="L17" s="184" t="n">
        <x:v>4</x:v>
      </x:c>
    </x:row>
    <x:row r="18">
      <x:c r="A18" s="31" t="str">
        <x:v>HDR - C01</x:v>
      </x:c>
      <x:c r="B18" s="53" t="str">
        <x:v>HORQUILLAS ECO DELUXE HERO</x:v>
      </x:c>
      <x:c r="C18" s="38" t="n">
        <x:v>5</x:v>
      </x:c>
      <x:c r="D18" s="181" t="n">
        <x:v>90000</x:v>
      </x:c>
      <x:c r="E18" s="38" t="n">
        <x:v>4</x:v>
      </x:c>
      <x:c r="F18" s="181" t="n">
        <x:v>110000</x:v>
      </x:c>
      <x:c r="G18" s="47" t="n">
        <x:v>0.8</x:v>
      </x:c>
      <x:c r="H18" s="181" t="n">
        <x:v>110000</x:v>
      </x:c>
      <x:c r="I18" s="181" t="n">
        <x:v>38000</x:v>
      </x:c>
      <x:c r="J18" s="47" t="n">
        <x:v>0.34545454545454546</x:v>
      </x:c>
      <x:c r="K18" s="38" t="n">
        <x:v>1</x:v>
      </x:c>
      <x:c r="L18" s="184" t="n">
        <x:v>0</x:v>
      </x:c>
    </x:row>
    <x:row r="19">
      <x:c r="A19" s="31" t="str">
        <x:v>FG3020</x:v>
      </x:c>
      <x:c r="B19" s="53" t="str">
        <x:v>GUAYA ACELERADOR CON RETORNO XT2 125 QUALITY</x:v>
      </x:c>
      <x:c r="C19" s="38" t="n">
        <x:v>4</x:v>
      </x:c>
      <x:c r="D19" s="181" t="n">
        <x:v>72000</x:v>
      </x:c>
      <x:c r="E19" s="38" t="n">
        <x:v>4</x:v>
      </x:c>
      <x:c r="F19" s="181" t="n">
        <x:v>110000</x:v>
      </x:c>
      <x:c r="G19" s="47" t="n">
        <x:v>1</x:v>
      </x:c>
      <x:c r="H19" s="181" t="n">
        <x:v>110000</x:v>
      </x:c>
      <x:c r="I19" s="181" t="n">
        <x:v>38000</x:v>
      </x:c>
      <x:c r="J19" s="47" t="n">
        <x:v>0.34545454545454546</x:v>
      </x:c>
      <x:c r="K19" s="38" t="n">
        <x:v>0</x:v>
      </x:c>
      <x:c r="L19" s="184" t="n">
        <x:v>1</x:v>
      </x:c>
    </x:row>
    <x:row r="20">
      <x:c r="A20" s="31" t="str">
        <x:v>MOTS1023</x:v>
      </x:c>
      <x:c r="B20" s="53" t="str">
        <x:v>RUM COMPLETO NEGRO NIP POW</x:v>
      </x:c>
      <x:c r="C20" s="38" t="n">
        <x:v>9</x:v>
      </x:c>
      <x:c r="D20" s="181" t="n">
        <x:v>61200</x:v>
      </x:c>
      <x:c r="E20" s="38" t="n">
        <x:v>9</x:v>
      </x:c>
      <x:c r="F20" s="181" t="n">
        <x:v>98000</x:v>
      </x:c>
      <x:c r="G20" s="47" t="n">
        <x:v>1</x:v>
      </x:c>
      <x:c r="H20" s="181" t="n">
        <x:v>98000</x:v>
      </x:c>
      <x:c r="I20" s="181" t="n">
        <x:v>36800</x:v>
      </x:c>
      <x:c r="J20" s="47" t="n">
        <x:v>0.37551020408163266</x:v>
      </x:c>
      <x:c r="K20" s="38" t="n">
        <x:v>3</x:v>
      </x:c>
      <x:c r="L20" s="184" t="n">
        <x:v>0</x:v>
      </x:c>
    </x:row>
    <x:row r="21">
      <x:c r="A21" s="31" t="str">
        <x:v>BAL - 01908</x:v>
      </x:c>
      <x:c r="B21" s="53" t="str">
        <x:v>BALINERA 6301 ZZCM KOYO</x:v>
      </x:c>
      <x:c r="C21" s="38" t="n">
        <x:v>8</x:v>
      </x:c>
      <x:c r="D21" s="181" t="n">
        <x:v>38400</x:v>
      </x:c>
      <x:c r="E21" s="38" t="n">
        <x:v>8</x:v>
      </x:c>
      <x:c r="F21" s="181" t="n">
        <x:v>74000</x:v>
      </x:c>
      <x:c r="G21" s="47" t="n">
        <x:v>1</x:v>
      </x:c>
      <x:c r="H21" s="181" t="n">
        <x:v>74000</x:v>
      </x:c>
      <x:c r="I21" s="181" t="n">
        <x:v>35600</x:v>
      </x:c>
      <x:c r="J21" s="47" t="n">
        <x:v>0.4810810810810811</x:v>
      </x:c>
      <x:c r="K21" s="38" t="n">
        <x:v>7</x:v>
      </x:c>
      <x:c r="L21" s="184" t="n">
        <x:v>0</x:v>
      </x:c>
    </x:row>
    <x:row r="22">
      <x:c r="A22" s="31" t="str">
        <x:v>D283</x:v>
      </x:c>
      <x:c r="B22" s="53" t="str">
        <x:v>LIQUIDO FRENO DOT 3 ISIN</x:v>
      </x:c>
      <x:c r="C22" s="38" t="n">
        <x:v>10</x:v>
      </x:c>
      <x:c r="D22" s="181" t="n">
        <x:v>51000</x:v>
      </x:c>
      <x:c r="E22" s="38" t="n">
        <x:v>10</x:v>
      </x:c>
      <x:c r="F22" s="181" t="n">
        <x:v>85000</x:v>
      </x:c>
      <x:c r="G22" s="47" t="n">
        <x:v>1</x:v>
      </x:c>
      <x:c r="H22" s="181" t="n">
        <x:v>85000</x:v>
      </x:c>
      <x:c r="I22" s="181" t="n">
        <x:v>34000</x:v>
      </x:c>
      <x:c r="J22" s="47" t="n">
        <x:v>0.4</x:v>
      </x:c>
      <x:c r="K22" s="38" t="n">
        <x:v>0</x:v>
      </x:c>
      <x:c r="L22" s="184" t="n">
        <x:v>0</x:v>
      </x:c>
    </x:row>
    <x:row r="23">
      <x:c r="A23" s="31" t="str">
        <x:v>BAL - 052</x:v>
      </x:c>
      <x:c r="B23" s="53" t="str">
        <x:v>BALANCIN ECO HERO</x:v>
      </x:c>
      <x:c r="C23" s="38" t="n">
        <x:v>2</x:v>
      </x:c>
      <x:c r="D23" s="181" t="n">
        <x:v>53600</x:v>
      </x:c>
      <x:c r="E23" s="38" t="n">
        <x:v>2</x:v>
      </x:c>
      <x:c r="F23" s="181" t="n">
        <x:v>87000</x:v>
      </x:c>
      <x:c r="G23" s="47" t="n">
        <x:v>1</x:v>
      </x:c>
      <x:c r="H23" s="181" t="n">
        <x:v>87000</x:v>
      </x:c>
      <x:c r="I23" s="181" t="n">
        <x:v>33400</x:v>
      </x:c>
      <x:c r="J23" s="47" t="n">
        <x:v>0.3839080459770115</x:v>
      </x:c>
      <x:c r="K23" s="38" t="n">
        <x:v>2</x:v>
      </x:c>
      <x:c r="L23" s="184" t="n">
        <x:v>1</x:v>
      </x:c>
    </x:row>
    <x:row r="24">
      <x:c r="A24" s="31" t="str">
        <x:v>MOTS1246</x:v>
      </x:c>
      <x:c r="B24" s="53" t="str">
        <x:v>BOBINA ALTA ECO DELUXE HERO</x:v>
      </x:c>
      <x:c r="C24" s="38" t="n">
        <x:v>4</x:v>
      </x:c>
      <x:c r="D24" s="181" t="n">
        <x:v>64000</x:v>
      </x:c>
      <x:c r="E24" s="38" t="n">
        <x:v>4</x:v>
      </x:c>
      <x:c r="F24" s="181" t="n">
        <x:v>97000</x:v>
      </x:c>
      <x:c r="G24" s="47" t="n">
        <x:v>1</x:v>
      </x:c>
      <x:c r="H24" s="181" t="n">
        <x:v>97000</x:v>
      </x:c>
      <x:c r="I24" s="181" t="n">
        <x:v>33000</x:v>
      </x:c>
      <x:c r="J24" s="47" t="n">
        <x:v>0.3402061855670103</x:v>
      </x:c>
      <x:c r="K24" s="38" t="n">
        <x:v>0</x:v>
      </x:c>
      <x:c r="L24" s="184" t="n">
        <x:v>0</x:v>
      </x:c>
    </x:row>
    <x:row r="25">
      <x:c r="A25" s="31" t="str">
        <x:v>MOTS1013</x:v>
      </x:c>
      <x:c r="B25" s="53" t="str">
        <x:v>VALVULINA 140 1/4 GALON LUGRAXOIL</x:v>
      </x:c>
      <x:c r="C25" s="38" t="n">
        <x:v>9</x:v>
      </x:c>
      <x:c r="D25" s="181" t="n">
        <x:v>94500</x:v>
      </x:c>
      <x:c r="E25" s="38" t="n">
        <x:v>9</x:v>
      </x:c>
      <x:c r="F25" s="181" t="n">
        <x:v>127000</x:v>
      </x:c>
      <x:c r="G25" s="47" t="n">
        <x:v>1</x:v>
      </x:c>
      <x:c r="H25" s="181" t="n">
        <x:v>127000</x:v>
      </x:c>
      <x:c r="I25" s="181" t="n">
        <x:v>32500</x:v>
      </x:c>
      <x:c r="J25" s="47" t="n">
        <x:v>0.2559055118110236</x:v>
      </x:c>
      <x:c r="K25" s="38" t="n">
        <x:v>0</x:v>
      </x:c>
      <x:c r="L25" s="184" t="n">
        <x:v>4</x:v>
      </x:c>
    </x:row>
    <x:row r="26">
      <x:c r="A26" s="31" t="str">
        <x:v>D121</x:v>
      </x:c>
      <x:c r="B26" s="53" t="str">
        <x:v>RESTAURADOR PARTES NEGRAS BOWY</x:v>
      </x:c>
      <x:c r="C26" s="38" t="n">
        <x:v>4</x:v>
      </x:c>
      <x:c r="D26" s="181" t="n">
        <x:v>51200</x:v>
      </x:c>
      <x:c r="E26" s="38" t="n">
        <x:v>4</x:v>
      </x:c>
      <x:c r="F26" s="181" t="n">
        <x:v>82500</x:v>
      </x:c>
      <x:c r="G26" s="47" t="n">
        <x:v>1</x:v>
      </x:c>
      <x:c r="H26" s="181" t="n">
        <x:v>82500</x:v>
      </x:c>
      <x:c r="I26" s="181" t="n">
        <x:v>31300</x:v>
      </x:c>
      <x:c r="J26" s="47" t="n">
        <x:v>0.3793939393939394</x:v>
      </x:c>
      <x:c r="K26" s="38" t="n">
        <x:v>0</x:v>
      </x:c>
      <x:c r="L26" s="184" t="n">
        <x:v>0</x:v>
      </x:c>
    </x:row>
    <x:row r="27">
      <x:c r="A27" s="31" t="str">
        <x:v>D172</x:v>
      </x:c>
      <x:c r="B27" s="53" t="str">
        <x:v>SILICONA PROTECTOR SIEMPRE NUEVO SIMONIZ</x:v>
      </x:c>
      <x:c r="C27" s="38" t="n">
        <x:v>5</x:v>
      </x:c>
      <x:c r="D27" s="181" t="n">
        <x:v>40000</x:v>
      </x:c>
      <x:c r="E27" s="38" t="n">
        <x:v>5</x:v>
      </x:c>
      <x:c r="F27" s="181" t="n">
        <x:v>70000</x:v>
      </x:c>
      <x:c r="G27" s="47" t="n">
        <x:v>1</x:v>
      </x:c>
      <x:c r="H27" s="181" t="n">
        <x:v>70000</x:v>
      </x:c>
      <x:c r="I27" s="181" t="n">
        <x:v>30000</x:v>
      </x:c>
      <x:c r="J27" s="47" t="n">
        <x:v>0.42857142857142855</x:v>
      </x:c>
      <x:c r="K27" s="38" t="n">
        <x:v>0</x:v>
      </x:c>
      <x:c r="L27" s="184" t="n">
        <x:v>0</x:v>
      </x:c>
    </x:row>
    <x:row r="28">
      <x:c r="A28" s="31" t="str">
        <x:v>MOTS1249</x:v>
      </x:c>
      <x:c r="B28" s="53" t="str">
        <x:v>PASTILLAS FRENO PULSAR 135 DEI NIKKO</x:v>
      </x:c>
      <x:c r="C28" s="38" t="n">
        <x:v>5</x:v>
      </x:c>
      <x:c r="D28" s="181" t="n">
        <x:v>36500</x:v>
      </x:c>
      <x:c r="E28" s="38" t="n">
        <x:v>5</x:v>
      </x:c>
      <x:c r="F28" s="181" t="n">
        <x:v>65000</x:v>
      </x:c>
      <x:c r="G28" s="47" t="n">
        <x:v>1</x:v>
      </x:c>
      <x:c r="H28" s="181" t="n">
        <x:v>65000</x:v>
      </x:c>
      <x:c r="I28" s="181" t="n">
        <x:v>28500</x:v>
      </x:c>
      <x:c r="J28" s="47" t="n">
        <x:v>0.43846153846153846</x:v>
      </x:c>
      <x:c r="K28" s="38" t="n">
        <x:v>0</x:v>
      </x:c>
      <x:c r="L28" s="184" t="n">
        <x:v>0</x:v>
      </x:c>
    </x:row>
    <x:row r="29">
      <x:c r="A29" s="34" t="str">
        <x:v>TEN-025</x:v>
      </x:c>
      <x:c r="B29" s="54" t="str">
        <x:v>GUARDA BARROS NEGRO UNIVERSAL</x:v>
      </x:c>
      <x:c r="C29" s="39" t="n">
        <x:v>1</x:v>
      </x:c>
      <x:c r="D29" s="182" t="n">
        <x:v>1800</x:v>
      </x:c>
      <x:c r="E29" s="39" t="n">
        <x:v>1</x:v>
      </x:c>
      <x:c r="F29" s="182" t="n">
        <x:v>30000</x:v>
      </x:c>
      <x:c r="G29" s="48" t="n">
        <x:v>1</x:v>
      </x:c>
      <x:c r="H29" s="182" t="n">
        <x:v>30000</x:v>
      </x:c>
      <x:c r="I29" s="182" t="n">
        <x:v>28200</x:v>
      </x:c>
      <x:c r="J29" s="48" t="n">
        <x:v>0.94</x:v>
      </x:c>
      <x:c r="K29" s="39" t="n">
        <x:v>0</x:v>
      </x:c>
      <x:c r="L29" s="185" t="n">
        <x:v>0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3e12efa06eb14bc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6" hidden="0" customWidth="1"/>
    <x:col min="3" max="3" width="12" hidden="0" customWidth="1"/>
    <x:col min="4" max="4" width="16" hidden="0" customWidth="1"/>
    <x:col min="5" max="5" width="10" hidden="0" customWidth="1"/>
  </x:cols>
  <x:sheetData>
    <x:row r="1" ht="32" customHeight="1">
      <x:c r="A1" s="3" t="str">
        <x:v>Tendencia mensual de los SKU de la factura</x:v>
      </x:c>
      <x:c r="B1" s="3"/>
      <x:c r="C1" s="3"/>
      <x:c r="D1" s="3"/>
      <x:c r="E1" s="3"/>
    </x:row>
    <x:row r="2" ht="24" customHeight="1">
      <x:c r="A2" s="6" t="str">
        <x:v>Ventas válidas posteriores a 2024-07-27 15:40 · Septiembre 2026 es un mes parcial</x:v>
      </x:c>
      <x:c r="B2" s="6"/>
      <x:c r="C2" s="6"/>
      <x:c r="D2" s="6"/>
      <x:c r="E2" s="6"/>
    </x:row>
    <x:row r="4" ht="32" customHeight="1">
      <x:c r="A4" s="15" t="str">
        <x:v>Mes</x:v>
      </x:c>
      <x:c r="B4" s="16" t="str">
        <x:v>Ventas</x:v>
      </x:c>
      <x:c r="C4" s="16" t="str">
        <x:v>Unidades</x:v>
      </x:c>
      <x:c r="D4" s="16" t="str">
        <x:v>Utilidad bruta</x:v>
      </x:c>
      <x:c r="E4" s="17" t="str">
        <x:v>Facturas</x:v>
      </x:c>
    </x:row>
    <x:row r="5">
      <x:c r="A5" s="177" t="n">
        <x:v>45474</x:v>
      </x:c>
      <x:c r="B5" s="180" t="n">
        <x:v>540000</x:v>
      </x:c>
      <x:c r="C5" s="37" t="n">
        <x:v>90</x:v>
      </x:c>
      <x:c r="D5" s="180" t="n">
        <x:v>186489.12999999998</x:v>
      </x:c>
      <x:c r="E5" s="30" t="n">
        <x:v>36</x:v>
      </x:c>
    </x:row>
    <x:row r="6">
      <x:c r="A6" s="178" t="n">
        <x:v>45505</x:v>
      </x:c>
      <x:c r="B6" s="181" t="n">
        <x:v>3683400</x:v>
      </x:c>
      <x:c r="C6" s="38" t="n">
        <x:v>407</x:v>
      </x:c>
      <x:c r="D6" s="181" t="n">
        <x:v>1035900.1599999998</x:v>
      </x:c>
      <x:c r="E6" s="33" t="n">
        <x:v>199</x:v>
      </x:c>
    </x:row>
    <x:row r="7">
      <x:c r="A7" s="178" t="n">
        <x:v>45536</x:v>
      </x:c>
      <x:c r="B7" s="181" t="n">
        <x:v>3164600</x:v>
      </x:c>
      <x:c r="C7" s="38" t="n">
        <x:v>310</x:v>
      </x:c>
      <x:c r="D7" s="181" t="n">
        <x:v>996288.1099999994</x:v>
      </x:c>
      <x:c r="E7" s="33" t="n">
        <x:v>134</x:v>
      </x:c>
    </x:row>
    <x:row r="8">
      <x:c r="A8" s="178" t="n">
        <x:v>45566</x:v>
      </x:c>
      <x:c r="B8" s="181" t="n">
        <x:v>2571200</x:v>
      </x:c>
      <x:c r="C8" s="38" t="n">
        <x:v>278</x:v>
      </x:c>
      <x:c r="D8" s="181" t="n">
        <x:v>684688.7100000003</x:v>
      </x:c>
      <x:c r="E8" s="33" t="n">
        <x:v>96</x:v>
      </x:c>
    </x:row>
    <x:row r="9">
      <x:c r="A9" s="178" t="n">
        <x:v>45597</x:v>
      </x:c>
      <x:c r="B9" s="181" t="n">
        <x:v>2523200</x:v>
      </x:c>
      <x:c r="C9" s="38" t="n">
        <x:v>230</x:v>
      </x:c>
      <x:c r="D9" s="181" t="n">
        <x:v>716222.9700000002</x:v>
      </x:c>
      <x:c r="E9" s="33" t="n">
        <x:v>92</x:v>
      </x:c>
    </x:row>
    <x:row r="10">
      <x:c r="A10" s="178" t="n">
        <x:v>45627</x:v>
      </x:c>
      <x:c r="B10" s="181" t="n">
        <x:v>2096200</x:v>
      </x:c>
      <x:c r="C10" s="38" t="n">
        <x:v>213</x:v>
      </x:c>
      <x:c r="D10" s="181" t="n">
        <x:v>481397.9600000001</x:v>
      </x:c>
      <x:c r="E10" s="33" t="n">
        <x:v>97</x:v>
      </x:c>
    </x:row>
    <x:row r="11">
      <x:c r="A11" s="178" t="n">
        <x:v>45658</x:v>
      </x:c>
      <x:c r="B11" s="181" t="n">
        <x:v>2282800</x:v>
      </x:c>
      <x:c r="C11" s="38" t="n">
        <x:v>176</x:v>
      </x:c>
      <x:c r="D11" s="181" t="n">
        <x:v>576158.1699999999</x:v>
      </x:c>
      <x:c r="E11" s="33" t="n">
        <x:v>84</x:v>
      </x:c>
    </x:row>
    <x:row r="12">
      <x:c r="A12" s="178" t="n">
        <x:v>45689</x:v>
      </x:c>
      <x:c r="B12" s="181" t="n">
        <x:v>1387900</x:v>
      </x:c>
      <x:c r="C12" s="38" t="n">
        <x:v>143</x:v>
      </x:c>
      <x:c r="D12" s="181" t="n">
        <x:v>383316.16000000003</x:v>
      </x:c>
      <x:c r="E12" s="33" t="n">
        <x:v>78</x:v>
      </x:c>
    </x:row>
    <x:row r="13">
      <x:c r="A13" s="178" t="n">
        <x:v>45717</x:v>
      </x:c>
      <x:c r="B13" s="181" t="n">
        <x:v>2038000</x:v>
      </x:c>
      <x:c r="C13" s="38" t="n">
        <x:v>185</x:v>
      </x:c>
      <x:c r="D13" s="181" t="n">
        <x:v>550667.3399999999</x:v>
      </x:c>
      <x:c r="E13" s="33" t="n">
        <x:v>105</x:v>
      </x:c>
    </x:row>
    <x:row r="14">
      <x:c r="A14" s="178" t="n">
        <x:v>45748</x:v>
      </x:c>
      <x:c r="B14" s="181" t="n">
        <x:v>1926700</x:v>
      </x:c>
      <x:c r="C14" s="38" t="n">
        <x:v>173</x:v>
      </x:c>
      <x:c r="D14" s="181" t="n">
        <x:v>485905.54999999976</x:v>
      </x:c>
      <x:c r="E14" s="33" t="n">
        <x:v>101</x:v>
      </x:c>
    </x:row>
    <x:row r="15">
      <x:c r="A15" s="178" t="n">
        <x:v>45778</x:v>
      </x:c>
      <x:c r="B15" s="181" t="n">
        <x:v>1940600</x:v>
      </x:c>
      <x:c r="C15" s="38" t="n">
        <x:v>158</x:v>
      </x:c>
      <x:c r="D15" s="181" t="n">
        <x:v>486151.8499999995</x:v>
      </x:c>
      <x:c r="E15" s="33" t="n">
        <x:v>100</x:v>
      </x:c>
    </x:row>
    <x:row r="16">
      <x:c r="A16" s="178" t="n">
        <x:v>45809</x:v>
      </x:c>
      <x:c r="B16" s="181" t="n">
        <x:v>2174300</x:v>
      </x:c>
      <x:c r="C16" s="38" t="n">
        <x:v>143</x:v>
      </x:c>
      <x:c r="D16" s="181" t="n">
        <x:v>335643.84000000026</x:v>
      </x:c>
      <x:c r="E16" s="33" t="n">
        <x:v>89</x:v>
      </x:c>
    </x:row>
    <x:row r="17">
      <x:c r="A17" s="178" t="n">
        <x:v>45839</x:v>
      </x:c>
      <x:c r="B17" s="181" t="n">
        <x:v>1895100</x:v>
      </x:c>
      <x:c r="C17" s="38" t="n">
        <x:v>123</x:v>
      </x:c>
      <x:c r="D17" s="181" t="n">
        <x:v>430789.72</x:v>
      </x:c>
      <x:c r="E17" s="33" t="n">
        <x:v>72</x:v>
      </x:c>
    </x:row>
    <x:row r="18">
      <x:c r="A18" s="178" t="n">
        <x:v>45870</x:v>
      </x:c>
      <x:c r="B18" s="181" t="n">
        <x:v>1267600</x:v>
      </x:c>
      <x:c r="C18" s="38" t="n">
        <x:v>79</x:v>
      </x:c>
      <x:c r="D18" s="181" t="n">
        <x:v>282245.03</x:v>
      </x:c>
      <x:c r="E18" s="33" t="n">
        <x:v>53</x:v>
      </x:c>
    </x:row>
    <x:row r="19">
      <x:c r="A19" s="178" t="n">
        <x:v>45901</x:v>
      </x:c>
      <x:c r="B19" s="181" t="n">
        <x:v>1110700</x:v>
      </x:c>
      <x:c r="C19" s="38" t="n">
        <x:v>60</x:v>
      </x:c>
      <x:c r="D19" s="181" t="n">
        <x:v>240140.7600000001</x:v>
      </x:c>
      <x:c r="E19" s="33" t="n">
        <x:v>46</x:v>
      </x:c>
    </x:row>
    <x:row r="20">
      <x:c r="A20" s="178" t="n">
        <x:v>45931</x:v>
      </x:c>
      <x:c r="B20" s="181" t="n">
        <x:v>717700</x:v>
      </x:c>
      <x:c r="C20" s="38" t="n">
        <x:v>45</x:v>
      </x:c>
      <x:c r="D20" s="181" t="n">
        <x:v>171538.20000000004</x:v>
      </x:c>
      <x:c r="E20" s="33" t="n">
        <x:v>36</x:v>
      </x:c>
    </x:row>
    <x:row r="21">
      <x:c r="A21" s="178" t="n">
        <x:v>45962</x:v>
      </x:c>
      <x:c r="B21" s="181" t="n">
        <x:v>737900</x:v>
      </x:c>
      <x:c r="C21" s="38" t="n">
        <x:v>60</x:v>
      </x:c>
      <x:c r="D21" s="181" t="n">
        <x:v>195343.74</x:v>
      </x:c>
      <x:c r="E21" s="33" t="n">
        <x:v>38</x:v>
      </x:c>
    </x:row>
    <x:row r="22">
      <x:c r="A22" s="178" t="n">
        <x:v>45992</x:v>
      </x:c>
      <x:c r="B22" s="181" t="n">
        <x:v>1539100</x:v>
      </x:c>
      <x:c r="C22" s="38" t="n">
        <x:v>85</x:v>
      </x:c>
      <x:c r="D22" s="181" t="n">
        <x:v>385869.2199999998</x:v>
      </x:c>
      <x:c r="E22" s="33" t="n">
        <x:v>53</x:v>
      </x:c>
    </x:row>
    <x:row r="23">
      <x:c r="A23" s="178" t="n">
        <x:v>46023</x:v>
      </x:c>
      <x:c r="B23" s="181" t="n">
        <x:v>1422900</x:v>
      </x:c>
      <x:c r="C23" s="38" t="n">
        <x:v>65</x:v>
      </x:c>
      <x:c r="D23" s="181" t="n">
        <x:v>314846.2399999995</x:v>
      </x:c>
      <x:c r="E23" s="33" t="n">
        <x:v>50</x:v>
      </x:c>
    </x:row>
    <x:row r="24">
      <x:c r="A24" s="178" t="n">
        <x:v>46054</x:v>
      </x:c>
      <x:c r="B24" s="181" t="n">
        <x:v>1059100</x:v>
      </x:c>
      <x:c r="C24" s="38" t="n">
        <x:v>61</x:v>
      </x:c>
      <x:c r="D24" s="181" t="n">
        <x:v>245624.15999999986</x:v>
      </x:c>
      <x:c r="E24" s="33" t="n">
        <x:v>38</x:v>
      </x:c>
    </x:row>
    <x:row r="25">
      <x:c r="A25" s="178" t="n">
        <x:v>46082</x:v>
      </x:c>
      <x:c r="B25" s="181" t="n">
        <x:v>995300</x:v>
      </x:c>
      <x:c r="C25" s="38" t="n">
        <x:v>71</x:v>
      </x:c>
      <x:c r="D25" s="181" t="n">
        <x:v>225515.42999999993</x:v>
      </x:c>
      <x:c r="E25" s="33" t="n">
        <x:v>46</x:v>
      </x:c>
    </x:row>
    <x:row r="26">
      <x:c r="A26" s="178" t="n">
        <x:v>46113</x:v>
      </x:c>
      <x:c r="B26" s="181" t="n">
        <x:v>1085000</x:v>
      </x:c>
      <x:c r="C26" s="38" t="n">
        <x:v>65</x:v>
      </x:c>
      <x:c r="D26" s="181" t="n">
        <x:v>241896.7099999999</x:v>
      </x:c>
      <x:c r="E26" s="33" t="n">
        <x:v>40</x:v>
      </x:c>
    </x:row>
    <x:row r="27">
      <x:c r="A27" s="178" t="n">
        <x:v>46143</x:v>
      </x:c>
      <x:c r="B27" s="181" t="n">
        <x:v>854200</x:v>
      </x:c>
      <x:c r="C27" s="38" t="n">
        <x:v>43</x:v>
      </x:c>
      <x:c r="D27" s="181" t="n">
        <x:v>191927.75999999995</x:v>
      </x:c>
      <x:c r="E27" s="33" t="n">
        <x:v>29</x:v>
      </x:c>
    </x:row>
    <x:row r="28">
      <x:c r="A28" s="178" t="n">
        <x:v>46174</x:v>
      </x:c>
      <x:c r="B28" s="181" t="n">
        <x:v>744400</x:v>
      </x:c>
      <x:c r="C28" s="38" t="n">
        <x:v>32</x:v>
      </x:c>
      <x:c r="D28" s="181" t="n">
        <x:v>161648.61000000002</x:v>
      </x:c>
      <x:c r="E28" s="33" t="n">
        <x:v>29</x:v>
      </x:c>
    </x:row>
    <x:row r="29">
      <x:c r="A29" s="178" t="n">
        <x:v>46204</x:v>
      </x:c>
      <x:c r="B29" s="181" t="n">
        <x:v>788800</x:v>
      </x:c>
      <x:c r="C29" s="38" t="n">
        <x:v>46</x:v>
      </x:c>
      <x:c r="D29" s="181" t="n">
        <x:v>169880.74000000005</x:v>
      </x:c>
      <x:c r="E29" s="33" t="n">
        <x:v>28</x:v>
      </x:c>
    </x:row>
    <x:row r="30">
      <x:c r="A30" s="178" t="n">
        <x:v>46235</x:v>
      </x:c>
      <x:c r="B30" s="181" t="n">
        <x:v>854100</x:v>
      </x:c>
      <x:c r="C30" s="38" t="n">
        <x:v>39</x:v>
      </x:c>
      <x:c r="D30" s="181" t="n">
        <x:v>136217.29</x:v>
      </x:c>
      <x:c r="E30" s="33" t="n">
        <x:v>35</x:v>
      </x:c>
    </x:row>
    <x:row r="31">
      <x:c r="A31" s="179" t="n">
        <x:v>46266</x:v>
      </x:c>
      <x:c r="B31" s="182" t="n">
        <x:v>65100</x:v>
      </x:c>
      <x:c r="C31" s="39" t="n">
        <x:v>17</x:v>
      </x:c>
      <x:c r="D31" s="182" t="n">
        <x:v>11748.679999999997</x:v>
      </x:c>
      <x:c r="E31" s="36" t="n">
        <x:v>3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9850440ebc5e487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48" hidden="0" customWidth="1"/>
    <x:col min="3" max="3" width="18" hidden="0" customWidth="1"/>
    <x:col min="4" max="4" width="18" hidden="0" customWidth="1"/>
    <x:col min="5" max="5" width="24" hidden="0" customWidth="1"/>
    <x:col min="6" max="6" width="52" hidden="0" customWidth="1"/>
  </x:cols>
  <x:sheetData>
    <x:row r="1" ht="32" customHeight="1">
      <x:c r="A1" s="3" t="str">
        <x:v>Controles de auditoría y límites</x:v>
      </x:c>
      <x:c r="B1" s="3"/>
      <x:c r="C1" s="3"/>
      <x:c r="D1" s="3"/>
      <x:c r="E1" s="3"/>
      <x:c r="F1" s="3"/>
    </x:row>
    <x:row r="2" ht="24" customHeight="1">
      <x:c r="A2" s="6" t="str">
        <x:v>Conciliaciones, calidad y metodología de atribución</x:v>
      </x:c>
      <x:c r="B2" s="6"/>
      <x:c r="C2" s="6"/>
      <x:c r="D2" s="6"/>
      <x:c r="E2" s="6"/>
      <x:c r="F2" s="6"/>
    </x:row>
    <x:row r="4">
      <x:c r="A4" s="192" t="str">
        <x:v>Control</x:v>
      </x:c>
      <x:c r="B4" s="193" t="str">
        <x:v>Resultado</x:v>
      </x:c>
      <x:c r="C4" s="193" t="str">
        <x:v>Estado</x:v>
      </x:c>
      <x:c r="D4" s="193" t="str">
        <x:v>Esperado</x:v>
      </x:c>
      <x:c r="E4" s="193" t="str">
        <x:v>Dónde revisar</x:v>
      </x:c>
      <x:c r="F4" s="194" t="str">
        <x:v>Nota</x:v>
      </x:c>
    </x:row>
    <x:row r="5">
      <x:c r="A5" s="195" t="str">
        <x:v>Factura encabezado vs detalle</x:v>
      </x:c>
      <x:c r="B5" s="196" t="n">
        <x:f>11267897-SUM('Detalle SKU'!$F$5:$F$582)</x:f>
        <x:v>0</x:v>
      </x:c>
      <x:c r="C5" s="196" t="str">
        <x:f>IF(B5=0,"PASS","FAIL")</x:f>
        <x:v>PASS</x:v>
      </x:c>
      <x:c r="D5" s="196" t="n">
        <x:v>0</x:v>
      </x:c>
      <x:c r="E5" s="196" t="str">
        <x:v>Resumen / Detalle SKU</x:v>
      </x:c>
      <x:c r="F5" s="197" t="str">
        <x:v>Debe conciliar exactamente</x:v>
      </x:c>
    </x:row>
    <x:row r="6">
      <x:c r="A6" s="195" t="str">
        <x:v>Líneas vs SKU únicos</x:v>
      </x:c>
      <x:c r="B6" s="196" t="n">
        <x:f>580-COUNTA('Detalle SKU'!$A$5:$A$582)</x:f>
        <x:v>2</x:v>
      </x:c>
      <x:c r="C6" s="196" t="str">
        <x:f>IF(B6=D6,"PASS","REVISAR")</x:f>
        <x:v>PASS</x:v>
      </x:c>
      <x:c r="D6" s="196" t="n">
        <x:v>2</x:v>
      </x:c>
      <x:c r="E6" s="196" t="str">
        <x:v>Detalle SKU</x:v>
      </x:c>
      <x:c r="F6" s="197" t="str">
        <x:v>Hay dos SKU repetidos en líneas separadas</x:v>
      </x:c>
    </x:row>
    <x:row r="7">
      <x:c r="A7" s="195" t="str">
        <x:v>SKU con stock negativo</x:v>
      </x:c>
      <x:c r="B7" s="196" t="n">
        <x:f>COUNTIF('Detalle SKU'!$G$5:$G$582,"&lt;0")</x:f>
        <x:v>5</x:v>
      </x:c>
      <x:c r="C7" s="196" t="str">
        <x:f>IF(B7=D7,"PASS","FAIL")</x:f>
        <x:v>FAIL</x:v>
      </x:c>
      <x:c r="D7" s="196" t="n">
        <x:v>0</x:v>
      </x:c>
      <x:c r="E7" s="196" t="str">
        <x:v>Detalle SKU</x:v>
      </x:c>
      <x:c r="F7" s="197" t="str">
        <x:v>Requiere ajuste físico/contable</x:v>
      </x:c>
    </x:row>
    <x:row r="8">
      <x:c r="A8" s="195" t="str">
        <x:v>SKU sin precio actual</x:v>
      </x:c>
      <x:c r="B8" s="196" t="n">
        <x:f>COUNTBLANK('Detalle SKU'!$Y$5:$Y$582)</x:f>
        <x:v>0</x:v>
      </x:c>
      <x:c r="C8" s="196" t="str">
        <x:f>IF(B8=D8,"PASS","FAIL")</x:f>
        <x:v>PASS</x:v>
      </x:c>
      <x:c r="D8" s="196" t="n">
        <x:v>0</x:v>
      </x:c>
      <x:c r="E8" s="196" t="str">
        <x:v>Detalle SKU</x:v>
      </x:c>
      <x:c r="F8" s="197" t="str">
        <x:v>Afecta valoración comercial</x:v>
      </x:c>
    </x:row>
    <x:row r="9">
      <x:c r="A9" s="198" t="str">
        <x:v>Cobertura de trazabilidad por lote</x:v>
      </x:c>
      <x:c r="B9" s="199" t="str">
        <x:v>No disponible</x:v>
      </x:c>
      <x:c r="C9" s="199" t="str">
        <x:v>ADVERTENCIA</x:v>
      </x:c>
      <x:c r="D9" s="199" t="str">
        <x:v>Lote/serial</x:v>
      </x:c>
      <x:c r="E9" s="199" t="str">
        <x:v>Kardex/POS</x:v>
      </x:c>
      <x:c r="F9" s="200" t="str">
        <x:v>No existe vínculo lote-compra-stock; el residual es una cota, no un conteo exacto</x:v>
      </x:c>
    </x:row>
    <x:row r="11">
      <x:c r="A11" s="187" t="str">
        <x:v>Definiciones metodológicas</x:v>
      </x:c>
      <x:c r="B11" s="187"/>
      <x:c r="C11" s="187"/>
      <x:c r="D11" s="187"/>
      <x:c r="E11" s="187"/>
      <x:c r="F11" s="187"/>
    </x:row>
    <x:row r="12">
      <x:c r="A12" s="189" t="str">
        <x:v>Absorción aparente</x:v>
      </x:c>
      <x:c r="B12" s="191" t="str">
        <x:v>MIN(unidades compradas, unidades vendidas después de la compra). Es una señal comercial, no una identificación física del lote.</x:v>
      </x:c>
    </x:row>
    <x:row r="13">
      <x:c r="A13" s="189" t="str">
        <x:v>Remanente mínimo</x:v>
      </x:c>
      <x:c r="B13" s="191" t="str">
        <x:v>MIN(stock actual positivo, MAX(unidades compradas - ventas posteriores, 0)). Es la cantidad mínima potencialmente atribuible a la factura bajo la información disponible.</x:v>
      </x:c>
    </x:row>
    <x:row r="14">
      <x:c r="A14" s="189" t="str">
        <x:v>Ingreso de cohorte estimado</x:v>
      </x:c>
      <x:c r="B14" s="191" t="str">
        <x:v>Unidades absorbidas × precio promedio de venta observado para el SKU después de la compra.</x:v>
      </x:c>
    </x:row>
    <x:row r="15">
      <x:c r="A15" s="189" t="str">
        <x:v>Buena compra</x:v>
      </x:c>
      <x:c r="B15" s="191" t="str">
        <x:v>Juicio integral: velocidad, amplitud de salida, capital todavía inmovilizado y recuperación. No usa un estándar externo ni reemplaza el conteo físico.</x:v>
      </x:c>
    </x:row>
  </x:sheetData>
  <x:mergeCells>
    <x:mergeCell ref="A1:F1"/>
    <x:mergeCell ref="A2:F2"/>
    <x:mergeCell ref="A11:F11"/>
  </x:mergeCells>
  <x:conditionalFormatting sqref="C5:C9">
    <x:cfRule type="containsText" dxfId="1" priority="1" operator="containsText" text="FAIL"/>
    <x:cfRule type="containsText" dxfId="2" priority="2" operator="containsText" text="PASS"/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8" hidden="0" customWidth="1"/>
    <x:col min="3" max="3" width="13" hidden="0" customWidth="1"/>
    <x:col min="4" max="4" width="20" hidden="0" customWidth="1"/>
    <x:col min="5" max="5" width="14" hidden="0" customWidth="1"/>
    <x:col min="6" max="6" width="28" hidden="0" customWidth="1"/>
    <x:col min="7" max="7" width="52" hidden="0" customWidth="1"/>
    <x:col min="8" max="8" width="40" hidden="0" customWidth="1"/>
  </x:cols>
  <x:sheetData>
    <x:row r="1" ht="32" customHeight="1">
      <x:c r="A1" s="3" t="str">
        <x:v>Fuentes y trazabilidad</x:v>
      </x:c>
      <x:c r="B1" s="3"/>
      <x:c r="C1" s="3"/>
      <x:c r="D1" s="3"/>
      <x:c r="E1" s="3"/>
      <x:c r="F1" s="3"/>
      <x:c r="G1" s="3"/>
      <x:c r="H1" s="3"/>
    </x:row>
    <x:row r="2" ht="24" customHeight="1">
      <x:c r="A2" s="6" t="str">
        <x:v>Extracción de producción y tablas utilizadas</x:v>
      </x:c>
      <x:c r="B2" s="6"/>
      <x:c r="C2" s="6"/>
      <x:c r="D2" s="6"/>
      <x:c r="E2" s="6"/>
      <x:c r="F2" s="6"/>
      <x:c r="G2" s="6"/>
      <x:c r="H2" s="6"/>
    </x:row>
    <x:row r="4">
      <x:c r="A4" s="15" t="str">
        <x:v>Item</x:v>
      </x:c>
      <x:c r="B4" s="16" t="str">
        <x:v>Valor</x:v>
      </x:c>
      <x:c r="C4" s="16" t="str">
        <x:v>Unidad</x:v>
      </x:c>
      <x:c r="D4" s="16" t="str">
        <x:v>Corte</x:v>
      </x:c>
      <x:c r="E4" s="16" t="str">
        <x:v>Tipo</x:v>
      </x:c>
      <x:c r="F4" s="16" t="str">
        <x:v>Fuente</x:v>
      </x:c>
      <x:c r="G4" s="16" t="str">
        <x:v>Referencia</x:v>
      </x:c>
      <x:c r="H4" s="17" t="str">
        <x:v>Notas</x:v>
      </x:c>
    </x:row>
    <x:row r="5">
      <x:c r="A5" s="210" t="str">
        <x:v>Compra analizada</x:v>
      </x:c>
      <x:c r="B5" s="211" t="str">
        <x:v>Factura 13 / S18</x:v>
      </x:c>
      <x:c r="C5" s="211" t="str">
        <x:v>Documento</x:v>
      </x:c>
      <x:c r="D5" s="211" t="str">
        <x:v>2024-07-27 15:40</x:v>
      </x:c>
      <x:c r="E5" s="211" t="str">
        <x:v>POS</x:v>
      </x:c>
      <x:c r="F5" s="211" t="str">
        <x:v>MotoShop</x:v>
      </x:c>
      <x:c r="G5" s="211" t="str">
        <x:v>https://app.fragloesja.uk/dashboards/compras/dia/2024-07-27?from=mensual</x:v>
      </x:c>
      <x:c r="H5" s="212" t="str">
        <x:v>Proveedor NIT 1116274616</x:v>
      </x:c>
    </x:row>
    <x:row r="6">
      <x:c r="A6" s="213" t="str">
        <x:v>Base analítica</x:v>
      </x:c>
      <x:c r="B6" s="214" t="str">
        <x:v>motoshop_gold.duckdb</x:v>
      </x:c>
      <x:c r="C6" s="214" t="str">
        <x:v>Archivo</x:v>
      </x:c>
      <x:c r="D6" s="214" t="str">
        <x:v>Descarga 2026-09-02 15:09 -05</x:v>
      </x:c>
      <x:c r="E6" s="214" t="str">
        <x:v>Cloudflare R2</x:v>
      </x:c>
      <x:c r="F6" s="214" t="str">
        <x:v>Bucket motoshop-gold</x:v>
      </x:c>
      <x:c r="G6" s="214" t="str">
        <x:v>https://4bd1502b7fa3f33d1d3c45ae2d252cfd.r2.cloudflarestorage.com</x:v>
      </x:c>
      <x:c r="H6" s="215" t="str">
        <x:v>Objeto productivo descargado en modo lectura</x:v>
      </x:c>
    </x:row>
    <x:row r="7">
      <x:c r="A7" s="213" t="str">
        <x:v>Compra</x:v>
      </x:c>
      <x:c r="B7" s="214" t="str">
        <x:v>11.267.897</x:v>
      </x:c>
      <x:c r="C7" s="214" t="str">
        <x:v>COP</x:v>
      </x:c>
      <x:c r="D7" s="214" t="str">
        <x:v>2024-07-27</x:v>
      </x:c>
      <x:c r="E7" s="214" t="str">
        <x:v>Tabla</x:v>
      </x:c>
      <x:c r="F7" s="214" t="str">
        <x:v>silver_fact_compras + detalle</x:v>
      </x:c>
      <x:c r="G7" s="214" t="str">
        <x:v>num_documento=13; cod_clase=S18</x:v>
      </x:c>
      <x:c r="H7" s="215" t="str">
        <x:v>Encabezado y detalle concilian</x:v>
      </x:c>
    </x:row>
    <x:row r="8">
      <x:c r="A8" s="213" t="str">
        <x:v>Ventas</x:v>
      </x:c>
      <x:c r="B8" s="214" t="str">
        <x:v>Hasta 2026-09-02 12:06</x:v>
      </x:c>
      <x:c r="C8" s="214" t="str">
        <x:v>Fecha/hora</x:v>
      </x:c>
      <x:c r="D8" s="214" t="str">
        <x:v>2026-09-02</x:v>
      </x:c>
      <x:c r="E8" s="214" t="str">
        <x:v>Tabla</x:v>
      </x:c>
      <x:c r="F8" s="214" t="str">
        <x:v>silver_fact_ventas + detalle</x:v>
      </x:c>
      <x:c r="G8" s="214" t="str">
        <x:v>estado_documento=B</x:v>
      </x:c>
      <x:c r="H8" s="215" t="str">
        <x:v>Solo ventas vigentes</x:v>
      </x:c>
    </x:row>
    <x:row r="9">
      <x:c r="A9" s="213" t="str">
        <x:v>Inventario</x:v>
      </x:c>
      <x:c r="B9" s="214" t="str">
        <x:v>Snapshot 2026-09-02</x:v>
      </x:c>
      <x:c r="C9" s="214" t="str">
        <x:v>Fecha</x:v>
      </x:c>
      <x:c r="D9" s="214" t="str">
        <x:v>2026-09-02</x:v>
      </x:c>
      <x:c r="E9" s="214" t="str">
        <x:v>Tabla</x:v>
      </x:c>
      <x:c r="F9" s="214" t="str">
        <x:v>gold_mart_inventario_actual</x:v>
      </x:c>
      <x:c r="G9" s="214" t="str">
        <x:v>cantidad_actual</x:v>
      </x:c>
      <x:c r="H9" s="215" t="str">
        <x:v>Stock actual por SKU</x:v>
      </x:c>
    </x:row>
    <x:row r="10">
      <x:c r="A10" s="216" t="str">
        <x:v>Maestro producto</x:v>
      </x:c>
      <x:c r="B10" s="217" t="str">
        <x:v>6.356 SKU</x:v>
      </x:c>
      <x:c r="C10" s="217" t="str">
        <x:v>Registros</x:v>
      </x:c>
      <x:c r="D10" s="217" t="str">
        <x:v>2026-09-02</x:v>
      </x:c>
      <x:c r="E10" s="217" t="str">
        <x:v>Tabla</x:v>
      </x:c>
      <x:c r="F10" s="217" t="str">
        <x:v>silver_dim_producto</x:v>
      </x:c>
      <x:c r="G10" s="217" t="str">
        <x:v>precio/costo/existencia</x:v>
      </x:c>
      <x:c r="H10" s="218" t="str">
        <x:v>Usado para precio actual</x:v>
      </x:c>
    </x:row>
  </x:sheetData>
  <x:mergeCells>
    <x:mergeCell ref="A1:H1"/>
    <x:mergeCell ref="A2:H2"/>
  </x:mergeCells>
  <x:pageMargins left="0.7" right="0.7" top="0.75" bottom="0.75" header="0.3" footer="0.3"/>
</x:worksheet>
</file>